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drawings/drawing10.xml" ContentType="application/vnd.openxmlformats-officedocument.drawing+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D4823E52-DF53-490E-A636-9E8637601944}" xr6:coauthVersionLast="47" xr6:coauthVersionMax="47" xr10:uidLastSave="{00000000-0000-0000-0000-000000000000}"/>
  <bookViews>
    <workbookView xWindow="-90" yWindow="-21710" windowWidth="38620" windowHeight="21100" tabRatio="819" firstSheet="1" activeTab="3"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ospitalDischargeRep-ConceptMap" sheetId="154" r:id="rId5"/>
    <sheet name="HospitalDischargeReport-CM-fsh" sheetId="155" r:id="rId6"/>
    <sheet name="HDR-SK" sheetId="170" r:id="rId7"/>
    <sheet name="HospitalDischargeReportSK" sheetId="175" r:id="rId8"/>
    <sheet name="HospitalDischargeReportSK-Map" sheetId="176" r:id="rId9"/>
    <sheet name="HospitalDischargeReportSK-fsh" sheetId="177" r:id="rId10"/>
    <sheet name="Subject" sheetId="108" r:id="rId11"/>
    <sheet name="Subject-Map-1" sheetId="109" r:id="rId12"/>
    <sheet name="Subject-fsh" sheetId="110" r:id="rId13"/>
    <sheet name="Subject-ConceptMap" sheetId="148" r:id="rId14"/>
    <sheet name="Subject-CM-fsh" sheetId="149" r:id="rId15"/>
    <sheet name="Staging" sheetId="159" r:id="rId16"/>
    <sheet name="Staging-Map-1" sheetId="160" r:id="rId17"/>
    <sheet name="Staging-fsh" sheetId="161" r:id="rId18"/>
    <sheet name="Staging-ConceptMap" sheetId="162" r:id="rId19"/>
    <sheet name="Staging-CM-fsh" sheetId="163" r:id="rId20"/>
    <sheet name="Treatment" sheetId="164" r:id="rId21"/>
    <sheet name="Treatment-Map-1" sheetId="165" r:id="rId22"/>
    <sheet name="Treatment-fsh" sheetId="166" r:id="rId23"/>
    <sheet name="Treatment-ConceptMap" sheetId="167" r:id="rId24"/>
    <sheet name="Treatment-CM-fsh" sheetId="168" r:id="rId25"/>
    <sheet name="ConvertOsiris" sheetId="138" r:id="rId26"/>
    <sheet name="Osiris" sheetId="141" r:id="rId27"/>
    <sheet name="Osiris-Map" sheetId="142" r:id="rId28"/>
    <sheet name="Osiris-fsh-noMap" sheetId="144" r:id="rId29"/>
    <sheet name="Osiris-fsh" sheetId="143" r:id="rId30"/>
    <sheet name="Osiris-ConceptMap" sheetId="145" r:id="rId31"/>
    <sheet name="Osiris-CM-fsh" sheetId="147" r:id="rId32"/>
    <sheet name="Foglio2" sheetId="146" r:id="rId33"/>
  </sheets>
  <definedNames>
    <definedName name="_xlnm._FilterDatabase" localSheetId="25" hidden="1">ConvertOsiris!$D$2:$U$232</definedName>
    <definedName name="_xlnm._FilterDatabase" localSheetId="6"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7" hidden="1">HospitalDischargeReportSK!$A$7:$M$84</definedName>
    <definedName name="CENEN13606Lekarska_prepustacia_sprava" localSheetId="6">'HDR-SK'!#REF!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5" i="177" l="1"/>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C157" i="153"/>
  <c r="C158" i="153"/>
  <c r="C159" i="153"/>
  <c r="C160" i="153"/>
  <c r="C161" i="153"/>
  <c r="C162" i="153"/>
  <c r="C163" i="153"/>
  <c r="C164" i="153"/>
  <c r="C165" i="153"/>
  <c r="C166" i="153"/>
  <c r="C167" i="153"/>
  <c r="C168" i="153"/>
  <c r="C169" i="153"/>
  <c r="C170" i="153"/>
  <c r="C171" i="153"/>
  <c r="C172" i="153"/>
  <c r="C173" i="153"/>
  <c r="C174" i="153"/>
  <c r="C156" i="153"/>
  <c r="C151" i="153"/>
  <c r="C152" i="153"/>
  <c r="C154" i="153"/>
  <c r="C155" i="153"/>
  <c r="C137" i="153"/>
  <c r="C138" i="153"/>
  <c r="C139" i="153"/>
  <c r="C140" i="153"/>
  <c r="C141" i="153"/>
  <c r="C142" i="153"/>
  <c r="C148" i="153"/>
  <c r="C149" i="153"/>
  <c r="C116" i="153"/>
  <c r="C117" i="153"/>
  <c r="C118" i="153"/>
  <c r="C119" i="153"/>
  <c r="C120" i="153"/>
  <c r="C121" i="153"/>
  <c r="C122" i="153"/>
  <c r="C123" i="153"/>
  <c r="C124" i="153"/>
  <c r="C125" i="153"/>
  <c r="C126" i="153"/>
  <c r="C127" i="153"/>
  <c r="C128" i="153"/>
  <c r="C129" i="153"/>
  <c r="C130" i="153"/>
  <c r="C131" i="153"/>
  <c r="C132" i="153"/>
  <c r="C133" i="153"/>
  <c r="C134" i="153"/>
  <c r="C135" i="153"/>
  <c r="C136" i="153"/>
  <c r="C97" i="153"/>
  <c r="C98" i="153"/>
  <c r="C99" i="153"/>
  <c r="C101" i="153"/>
  <c r="C102" i="153"/>
  <c r="C103" i="153"/>
  <c r="C104" i="153"/>
  <c r="C105" i="153"/>
  <c r="C106" i="153"/>
  <c r="C107" i="153"/>
  <c r="C108" i="153"/>
  <c r="C109" i="153"/>
  <c r="C110" i="153"/>
  <c r="C111" i="153"/>
  <c r="C112" i="153"/>
  <c r="C113" i="153"/>
  <c r="C114" i="153"/>
  <c r="C115" i="153"/>
  <c r="C86" i="153"/>
  <c r="C87" i="153"/>
  <c r="C74" i="153"/>
  <c r="C75" i="153"/>
  <c r="C76" i="153"/>
  <c r="C77" i="153"/>
  <c r="C78" i="153"/>
  <c r="C79" i="153"/>
  <c r="C80" i="153"/>
  <c r="C81" i="153"/>
  <c r="C82" i="153"/>
  <c r="C83" i="153"/>
  <c r="C84" i="153"/>
  <c r="C85" i="153"/>
  <c r="C63" i="153"/>
  <c r="C64" i="153"/>
  <c r="C66" i="153"/>
  <c r="C67" i="153"/>
  <c r="C69" i="153"/>
  <c r="C70" i="153"/>
  <c r="C71" i="153"/>
  <c r="C72" i="153"/>
  <c r="C7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L57" i="151"/>
  <c r="L60" i="151"/>
  <c r="C145" i="153" s="1"/>
  <c r="L61" i="151"/>
  <c r="C146" i="153" s="1"/>
  <c r="L62" i="151"/>
  <c r="C147" i="153" s="1"/>
  <c r="L63" i="151"/>
  <c r="L64" i="151"/>
  <c r="L66" i="151"/>
  <c r="L67" i="151"/>
  <c r="L69" i="151"/>
  <c r="L70" i="151"/>
  <c r="L71" i="151"/>
  <c r="L72" i="151"/>
  <c r="L73" i="151"/>
  <c r="L74" i="151"/>
  <c r="L75" i="151"/>
  <c r="L76" i="151"/>
  <c r="L77" i="151"/>
  <c r="L78" i="151"/>
  <c r="L79" i="151"/>
  <c r="L80" i="151"/>
  <c r="L81" i="151"/>
  <c r="L82" i="151"/>
  <c r="L83" i="151"/>
  <c r="L84" i="151"/>
  <c r="L85" i="151"/>
  <c r="L86" i="151"/>
  <c r="L87" i="151"/>
  <c r="L88" i="151"/>
  <c r="L89" i="151"/>
  <c r="L52" i="151"/>
  <c r="L53" i="151"/>
  <c r="L54" i="151"/>
  <c r="L55" i="151"/>
  <c r="L56" i="151"/>
  <c r="L9" i="151"/>
  <c r="L10" i="151"/>
  <c r="L11" i="151"/>
  <c r="L12" i="151"/>
  <c r="L13" i="151"/>
  <c r="L14" i="151"/>
  <c r="L16" i="151"/>
  <c r="L17" i="151"/>
  <c r="L18" i="151"/>
  <c r="L19" i="151"/>
  <c r="L20" i="151"/>
  <c r="L21" i="151"/>
  <c r="L22" i="151"/>
  <c r="L23" i="151"/>
  <c r="L24" i="151"/>
  <c r="L25" i="151"/>
  <c r="L26" i="151"/>
  <c r="L27" i="151"/>
  <c r="L28" i="151"/>
  <c r="L29" i="151"/>
  <c r="L30" i="151"/>
  <c r="L31" i="151"/>
  <c r="L32" i="151"/>
  <c r="L33" i="151"/>
  <c r="L34" i="151"/>
  <c r="L35" i="151"/>
  <c r="L36" i="151"/>
  <c r="L37" i="151"/>
  <c r="L38" i="151"/>
  <c r="L39" i="151"/>
  <c r="L40" i="151"/>
  <c r="L41" i="151"/>
  <c r="L42" i="151"/>
  <c r="L43" i="151"/>
  <c r="L44" i="151"/>
  <c r="L45" i="151"/>
  <c r="L46" i="151"/>
  <c r="L47" i="151"/>
  <c r="L48" i="151"/>
  <c r="L49" i="151"/>
  <c r="L50" i="151"/>
  <c r="L51" i="151"/>
  <c r="J76" i="151"/>
  <c r="J77" i="151"/>
  <c r="J78" i="151"/>
  <c r="J79" i="151"/>
  <c r="J80" i="151"/>
  <c r="J81" i="151"/>
  <c r="J82" i="151"/>
  <c r="J83" i="151"/>
  <c r="J84" i="151"/>
  <c r="J85" i="151"/>
  <c r="J86" i="151"/>
  <c r="J87" i="151"/>
  <c r="J88" i="151"/>
  <c r="J89" i="151"/>
  <c r="J74" i="151"/>
  <c r="J75" i="151"/>
  <c r="J10" i="151"/>
  <c r="J11" i="151"/>
  <c r="J12" i="151"/>
  <c r="J13" i="151"/>
  <c r="J14" i="151"/>
  <c r="J15" i="151"/>
  <c r="C15" i="153" s="1"/>
  <c r="J16" i="151"/>
  <c r="J17" i="151"/>
  <c r="C17" i="153" s="1"/>
  <c r="J18" i="151"/>
  <c r="J19" i="151"/>
  <c r="J20" i="151"/>
  <c r="J21" i="151"/>
  <c r="J22" i="151"/>
  <c r="J23" i="151"/>
  <c r="C23" i="153" s="1"/>
  <c r="J24" i="151"/>
  <c r="J25" i="151"/>
  <c r="J26" i="151"/>
  <c r="J27" i="151"/>
  <c r="J28" i="151"/>
  <c r="J29" i="151"/>
  <c r="C29" i="153" s="1"/>
  <c r="J30" i="151"/>
  <c r="C30" i="153" s="1"/>
  <c r="J31" i="151"/>
  <c r="J32" i="151"/>
  <c r="C32" i="153" s="1"/>
  <c r="J33" i="151"/>
  <c r="C33" i="153" s="1"/>
  <c r="J34" i="151"/>
  <c r="J35" i="151"/>
  <c r="J36" i="151"/>
  <c r="J37" i="151"/>
  <c r="C37" i="153" s="1"/>
  <c r="J38" i="151"/>
  <c r="C38" i="153" s="1"/>
  <c r="J39" i="151"/>
  <c r="J40" i="151"/>
  <c r="C40" i="153" s="1"/>
  <c r="J41" i="151"/>
  <c r="C41" i="153" s="1"/>
  <c r="J42" i="151"/>
  <c r="J43" i="151"/>
  <c r="J44" i="151"/>
  <c r="J45" i="151"/>
  <c r="J46" i="151"/>
  <c r="C46" i="153" s="1"/>
  <c r="J47" i="151"/>
  <c r="J48" i="151"/>
  <c r="C48" i="153" s="1"/>
  <c r="J49" i="151"/>
  <c r="C49" i="153" s="1"/>
  <c r="J50" i="151"/>
  <c r="J51" i="151"/>
  <c r="J52" i="151"/>
  <c r="J53" i="151"/>
  <c r="J54" i="151"/>
  <c r="J55" i="151"/>
  <c r="C55" i="153" s="1"/>
  <c r="J56" i="151"/>
  <c r="C56" i="153" s="1"/>
  <c r="J57" i="151"/>
  <c r="C57" i="153" s="1"/>
  <c r="J58" i="151"/>
  <c r="C58" i="153" s="1"/>
  <c r="J59" i="151"/>
  <c r="L59" i="151" s="1"/>
  <c r="C144" i="153" s="1"/>
  <c r="J60" i="151"/>
  <c r="C60" i="153" s="1"/>
  <c r="J61" i="151"/>
  <c r="J62" i="151"/>
  <c r="J63" i="151"/>
  <c r="J64" i="151"/>
  <c r="J65" i="151"/>
  <c r="C65" i="153" s="1"/>
  <c r="J66" i="151"/>
  <c r="J67" i="151"/>
  <c r="J68" i="151"/>
  <c r="L68" i="151" s="1"/>
  <c r="C153" i="153" s="1"/>
  <c r="J69" i="151"/>
  <c r="J70" i="151"/>
  <c r="J71" i="151"/>
  <c r="J72" i="151"/>
  <c r="J73" i="151"/>
  <c r="C31" i="153"/>
  <c r="C39" i="153"/>
  <c r="C10" i="153"/>
  <c r="C11" i="153"/>
  <c r="C12" i="153"/>
  <c r="C13" i="153"/>
  <c r="C14" i="153"/>
  <c r="C18" i="153"/>
  <c r="C19" i="153"/>
  <c r="C20" i="153"/>
  <c r="C21" i="153"/>
  <c r="C26" i="153"/>
  <c r="C27" i="153"/>
  <c r="C28" i="153"/>
  <c r="C34" i="153"/>
  <c r="C35" i="153"/>
  <c r="C36" i="153"/>
  <c r="C42" i="153"/>
  <c r="C43" i="153"/>
  <c r="C44" i="153"/>
  <c r="C45" i="153"/>
  <c r="C50" i="153"/>
  <c r="C51" i="153"/>
  <c r="C52" i="153"/>
  <c r="C53" i="153"/>
  <c r="C54" i="153"/>
  <c r="C59" i="153"/>
  <c r="C61" i="153"/>
  <c r="C62" i="153"/>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C95" i="153"/>
  <c r="C96" i="153"/>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58" i="151" l="1"/>
  <c r="C143" i="153"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L65" i="151"/>
  <c r="C150" i="153" s="1"/>
  <c r="C68" i="153"/>
  <c r="L15" i="151"/>
  <c r="C100" i="153"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C25" i="153"/>
  <c r="C16" i="153"/>
  <c r="C24" i="153"/>
  <c r="C22" i="153"/>
  <c r="C47" i="153"/>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C70"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408" i="169"/>
  <c r="C409" i="169"/>
  <c r="C410" i="169"/>
  <c r="C411" i="169"/>
  <c r="C412" i="169"/>
  <c r="C413" i="169"/>
  <c r="C414" i="169"/>
  <c r="C415" i="169"/>
  <c r="C416" i="169"/>
  <c r="C417" i="169"/>
  <c r="C418" i="169"/>
  <c r="C419" i="169"/>
  <c r="C420" i="169"/>
  <c r="C421" i="169"/>
  <c r="C422" i="169"/>
  <c r="C423" i="169"/>
  <c r="C424" i="169"/>
  <c r="C395" i="169"/>
  <c r="C396" i="169"/>
  <c r="C397" i="169"/>
  <c r="C398" i="169"/>
  <c r="C399" i="169"/>
  <c r="C400" i="169"/>
  <c r="C401" i="169"/>
  <c r="C402" i="169"/>
  <c r="C403" i="169"/>
  <c r="C404" i="169"/>
  <c r="C405" i="169"/>
  <c r="C406" i="169"/>
  <c r="C407" i="169"/>
  <c r="C378" i="169"/>
  <c r="C379" i="169"/>
  <c r="C380" i="169"/>
  <c r="C381" i="169"/>
  <c r="C382" i="169"/>
  <c r="C383" i="169"/>
  <c r="C384" i="169"/>
  <c r="C385" i="169"/>
  <c r="C386" i="169"/>
  <c r="C387" i="169"/>
  <c r="C388" i="169"/>
  <c r="C389" i="169"/>
  <c r="C390" i="169"/>
  <c r="C391" i="169"/>
  <c r="C392" i="169"/>
  <c r="C393" i="169"/>
  <c r="C394" i="169"/>
  <c r="C374" i="169"/>
  <c r="C375" i="169"/>
  <c r="C376" i="169"/>
  <c r="C377" i="169"/>
  <c r="C370" i="169"/>
  <c r="C371" i="169"/>
  <c r="C372" i="169"/>
  <c r="C373" i="169"/>
  <c r="C357" i="169"/>
  <c r="C358" i="169"/>
  <c r="C359" i="169"/>
  <c r="C360" i="169"/>
  <c r="C361" i="169"/>
  <c r="C362" i="169"/>
  <c r="C363" i="169"/>
  <c r="C364" i="169"/>
  <c r="C365" i="169"/>
  <c r="C366" i="169"/>
  <c r="C367" i="169"/>
  <c r="C368" i="169"/>
  <c r="C369" i="169"/>
  <c r="C352" i="169"/>
  <c r="C353" i="169"/>
  <c r="C354" i="169"/>
  <c r="C355" i="169"/>
  <c r="C356"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297" i="169"/>
  <c r="C298" i="169"/>
  <c r="C299" i="169"/>
  <c r="C300" i="169"/>
  <c r="C301" i="169"/>
  <c r="C302" i="169"/>
  <c r="C303" i="169"/>
  <c r="C289" i="169"/>
  <c r="C290" i="169"/>
  <c r="C291" i="169"/>
  <c r="C292" i="169"/>
  <c r="C293" i="169"/>
  <c r="C294" i="169"/>
  <c r="C295" i="169"/>
  <c r="C296" i="169"/>
  <c r="C285" i="169"/>
  <c r="C286" i="169"/>
  <c r="C287" i="169"/>
  <c r="C288"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09" i="169"/>
  <c r="C210" i="169"/>
  <c r="C211" i="169"/>
  <c r="C212" i="169"/>
  <c r="C213" i="169"/>
  <c r="C214" i="169"/>
  <c r="C215" i="169"/>
  <c r="C216" i="169"/>
  <c r="C217" i="169"/>
  <c r="C218" i="169"/>
  <c r="C205" i="169"/>
  <c r="C206" i="169"/>
  <c r="C207" i="169"/>
  <c r="C208" i="169"/>
  <c r="C197" i="169"/>
  <c r="C198" i="169"/>
  <c r="C199" i="169"/>
  <c r="C200" i="169"/>
  <c r="C201" i="169"/>
  <c r="C202" i="169"/>
  <c r="C203" i="169"/>
  <c r="C204" i="169"/>
  <c r="C184" i="169"/>
  <c r="C185" i="169"/>
  <c r="C186" i="169"/>
  <c r="C187" i="169"/>
  <c r="C188" i="169"/>
  <c r="C189" i="169"/>
  <c r="C190" i="169"/>
  <c r="C191" i="169"/>
  <c r="C192" i="169"/>
  <c r="C193" i="169"/>
  <c r="C194" i="169"/>
  <c r="C195" i="169"/>
  <c r="C196" i="169"/>
  <c r="C176" i="169"/>
  <c r="C177" i="169"/>
  <c r="C178" i="169"/>
  <c r="C179" i="169"/>
  <c r="C180" i="169"/>
  <c r="C181" i="169"/>
  <c r="C182" i="169"/>
  <c r="C183" i="169"/>
  <c r="C167" i="169"/>
  <c r="C168" i="169"/>
  <c r="C169" i="169"/>
  <c r="C170" i="169"/>
  <c r="C171" i="169"/>
  <c r="C172" i="169"/>
  <c r="C173" i="169"/>
  <c r="C174" i="169"/>
  <c r="C175" i="169"/>
  <c r="C163" i="169"/>
  <c r="C164" i="169"/>
  <c r="C165" i="169"/>
  <c r="C166" i="169"/>
  <c r="C159" i="169"/>
  <c r="C160" i="169"/>
  <c r="C161" i="169"/>
  <c r="C162" i="169"/>
  <c r="C153" i="169"/>
  <c r="C154" i="169"/>
  <c r="C155" i="169"/>
  <c r="C156" i="169"/>
  <c r="C157" i="169"/>
  <c r="C158" i="169"/>
  <c r="C150" i="169"/>
  <c r="C151" i="169"/>
  <c r="C152" i="169"/>
  <c r="C149" i="169"/>
  <c r="C140" i="169"/>
  <c r="C141" i="169"/>
  <c r="C142" i="169"/>
  <c r="C143" i="169"/>
  <c r="C144" i="169"/>
  <c r="C145" i="169"/>
  <c r="C146" i="169"/>
  <c r="C147" i="169"/>
  <c r="C148" i="169"/>
  <c r="C137" i="169"/>
  <c r="C138" i="169"/>
  <c r="C139" i="169"/>
  <c r="C132" i="169"/>
  <c r="C133" i="169"/>
  <c r="C134" i="169"/>
  <c r="C135" i="169"/>
  <c r="C136" i="169"/>
  <c r="C127" i="169"/>
  <c r="C128" i="169"/>
  <c r="C129" i="169"/>
  <c r="C130" i="169"/>
  <c r="C131" i="169"/>
  <c r="C122" i="169"/>
  <c r="C123" i="169"/>
  <c r="C124" i="169"/>
  <c r="C125" i="169"/>
  <c r="C126" i="169"/>
  <c r="C113" i="169"/>
  <c r="C114" i="169"/>
  <c r="C115" i="169"/>
  <c r="C116" i="169"/>
  <c r="C117" i="169"/>
  <c r="C118" i="169"/>
  <c r="C119" i="169"/>
  <c r="C120" i="169"/>
  <c r="C121" i="169"/>
  <c r="C97" i="169"/>
  <c r="C98" i="169"/>
  <c r="C99" i="169"/>
  <c r="C100" i="169"/>
  <c r="C101" i="169"/>
  <c r="C102" i="169"/>
  <c r="C103" i="169"/>
  <c r="C104" i="169"/>
  <c r="C105" i="169"/>
  <c r="C106" i="169"/>
  <c r="C107" i="169"/>
  <c r="C108" i="169"/>
  <c r="C109" i="169"/>
  <c r="C110" i="169"/>
  <c r="C111" i="169"/>
  <c r="C112" i="169"/>
  <c r="C91" i="169"/>
  <c r="C92" i="169"/>
  <c r="C93" i="169"/>
  <c r="C94" i="169"/>
  <c r="C95" i="169"/>
  <c r="C96" i="169"/>
  <c r="C90" i="169"/>
  <c r="C88" i="169"/>
  <c r="C89" i="169"/>
  <c r="C86" i="169"/>
  <c r="C87" i="169"/>
  <c r="C84" i="169"/>
  <c r="C85" i="169"/>
  <c r="C78" i="169"/>
  <c r="C79" i="169"/>
  <c r="C80" i="169"/>
  <c r="C81" i="169"/>
  <c r="C82" i="169"/>
  <c r="C83" i="169"/>
  <c r="C73" i="169"/>
  <c r="C74" i="169"/>
  <c r="C75" i="169"/>
  <c r="C76" i="169"/>
  <c r="C77" i="169"/>
  <c r="C67" i="169"/>
  <c r="C68" i="169"/>
  <c r="C69" i="169"/>
  <c r="C71" i="169"/>
  <c r="C72" i="169"/>
  <c r="C58" i="169"/>
  <c r="C59" i="169"/>
  <c r="C60" i="169"/>
  <c r="C61" i="169"/>
  <c r="C62" i="169"/>
  <c r="C63" i="169"/>
  <c r="C64" i="169"/>
  <c r="C65" i="169"/>
  <c r="C66" i="169"/>
  <c r="C52" i="169"/>
  <c r="C53" i="169"/>
  <c r="C54" i="169"/>
  <c r="C55" i="169"/>
  <c r="C56" i="169"/>
  <c r="C57" i="169"/>
  <c r="C44" i="169"/>
  <c r="C45" i="169"/>
  <c r="C46" i="169"/>
  <c r="C47" i="169"/>
  <c r="C48" i="169"/>
  <c r="C49" i="169"/>
  <c r="C50" i="169"/>
  <c r="C51" i="169"/>
  <c r="C38" i="169"/>
  <c r="C39" i="169"/>
  <c r="C40" i="169"/>
  <c r="C41" i="169"/>
  <c r="C42" i="169"/>
  <c r="C43" i="169"/>
  <c r="C30" i="169"/>
  <c r="C31" i="169"/>
  <c r="C32" i="169"/>
  <c r="C33" i="169"/>
  <c r="C34" i="169"/>
  <c r="C35" i="169"/>
  <c r="C36" i="169"/>
  <c r="C37" i="169"/>
  <c r="C21" i="169"/>
  <c r="C22" i="169"/>
  <c r="C23" i="169"/>
  <c r="C24" i="169"/>
  <c r="C25" i="169"/>
  <c r="C26" i="169"/>
  <c r="C27" i="169"/>
  <c r="C28" i="169"/>
  <c r="C29" i="169"/>
  <c r="C19" i="169"/>
  <c r="C20" i="169"/>
  <c r="C14" i="169"/>
  <c r="C15" i="169"/>
  <c r="C16" i="169"/>
  <c r="C17" i="169"/>
  <c r="C18" i="169"/>
  <c r="C11" i="169"/>
  <c r="C12" i="169"/>
  <c r="C13" i="169"/>
  <c r="C3" i="169"/>
  <c r="C4" i="169"/>
  <c r="C5" i="169"/>
  <c r="C6" i="169"/>
  <c r="C7" i="169"/>
  <c r="C8" i="169"/>
  <c r="C9" i="169"/>
  <c r="C10" i="169"/>
  <c r="C2" i="169"/>
  <c r="C537" i="166"/>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P22" i="167"/>
  <c r="O22" i="167"/>
  <c r="P21" i="167"/>
  <c r="O21" i="167"/>
  <c r="P20" i="167"/>
  <c r="O20" i="167"/>
  <c r="P19" i="167"/>
  <c r="O19" i="167"/>
  <c r="Q19" i="167" s="1" a="1"/>
  <c r="Q19" i="167" s="1"/>
  <c r="B29" i="168" s="1"/>
  <c r="P18" i="167"/>
  <c r="O18" i="167"/>
  <c r="P17" i="167"/>
  <c r="O17" i="167"/>
  <c r="L17" i="167"/>
  <c r="K17" i="167"/>
  <c r="J17" i="167"/>
  <c r="Q47" i="167" s="1" a="1"/>
  <c r="Q47" i="167" s="1"/>
  <c r="B57" i="168" s="1"/>
  <c r="C17" i="167"/>
  <c r="I17" i="167" s="1"/>
  <c r="P16" i="167"/>
  <c r="O16" i="167"/>
  <c r="L16" i="167"/>
  <c r="C16" i="167"/>
  <c r="I16" i="167" s="1"/>
  <c r="P15" i="167"/>
  <c r="O15" i="167"/>
  <c r="L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L12" i="167"/>
  <c r="C12" i="167"/>
  <c r="I12" i="167" s="1"/>
  <c r="P11" i="167"/>
  <c r="O11" i="167"/>
  <c r="L11" i="167"/>
  <c r="C11" i="167"/>
  <c r="I11" i="167" s="1"/>
  <c r="P10" i="167"/>
  <c r="O10" i="167"/>
  <c r="L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P42" i="162"/>
  <c r="O42" i="162"/>
  <c r="P41" i="162"/>
  <c r="O41" i="162"/>
  <c r="P40" i="162"/>
  <c r="O40" i="162"/>
  <c r="P39" i="162"/>
  <c r="O39" i="162"/>
  <c r="Q39" i="162" s="1" a="1"/>
  <c r="Q39" i="162" s="1"/>
  <c r="B49" i="163" s="1"/>
  <c r="P38" i="162"/>
  <c r="O38" i="162"/>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P22" i="162"/>
  <c r="O22" i="162"/>
  <c r="P21" i="162"/>
  <c r="O21" i="162"/>
  <c r="P20" i="162"/>
  <c r="O20" i="162"/>
  <c r="P19" i="162"/>
  <c r="O19" i="162"/>
  <c r="Q19" i="162" s="1" a="1"/>
  <c r="Q19" i="162" s="1"/>
  <c r="B29" i="163" s="1"/>
  <c r="P18" i="162"/>
  <c r="O18" i="162"/>
  <c r="P17" i="162"/>
  <c r="O17" i="162"/>
  <c r="L17" i="162"/>
  <c r="K17" i="162"/>
  <c r="J17" i="162"/>
  <c r="C17" i="162"/>
  <c r="I17" i="162" s="1"/>
  <c r="Q46" i="162" s="1" a="1"/>
  <c r="Q46" i="162" s="1"/>
  <c r="B56" i="163" s="1"/>
  <c r="P16" i="162"/>
  <c r="O16" i="162"/>
  <c r="L16" i="162"/>
  <c r="C16" i="162"/>
  <c r="I16" i="162" s="1"/>
  <c r="P15" i="162"/>
  <c r="O15" i="162"/>
  <c r="L15" i="162"/>
  <c r="C15" i="162"/>
  <c r="I15" i="162" s="1"/>
  <c r="P14" i="162"/>
  <c r="Q14" i="162" s="1" a="1"/>
  <c r="Q14" i="162" s="1"/>
  <c r="B24" i="163" s="1"/>
  <c r="O14" i="162"/>
  <c r="L14" i="162"/>
  <c r="K14" i="162"/>
  <c r="J14" i="162"/>
  <c r="C14" i="162"/>
  <c r="I14" i="162" s="1"/>
  <c r="P13" i="162"/>
  <c r="O13" i="162"/>
  <c r="L13" i="162"/>
  <c r="Q29" i="162" s="1" a="1"/>
  <c r="Q29" i="162" s="1"/>
  <c r="B39" i="163" s="1"/>
  <c r="K13" i="162"/>
  <c r="J13" i="162"/>
  <c r="C13" i="162"/>
  <c r="I13" i="162" s="1"/>
  <c r="P12" i="162"/>
  <c r="O12" i="162"/>
  <c r="L12" i="162"/>
  <c r="C12" i="162"/>
  <c r="I12" i="162" s="1"/>
  <c r="B12" i="162"/>
  <c r="H12" i="162" s="1"/>
  <c r="P11" i="162"/>
  <c r="O11" i="162"/>
  <c r="Q11" i="162" s="1" a="1"/>
  <c r="Q11" i="162" s="1"/>
  <c r="B21" i="163" s="1"/>
  <c r="L11" i="162"/>
  <c r="C11" i="162"/>
  <c r="I11" i="162" s="1"/>
  <c r="P10" i="162"/>
  <c r="O10" i="162"/>
  <c r="L10" i="162"/>
  <c r="I10" i="162"/>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J9"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P42" i="154"/>
  <c r="O42" i="154"/>
  <c r="P41" i="154"/>
  <c r="O41" i="154"/>
  <c r="P40" i="154"/>
  <c r="O40" i="154"/>
  <c r="P39" i="154"/>
  <c r="O39" i="154"/>
  <c r="Q39" i="154" s="1" a="1"/>
  <c r="Q39" i="154" s="1"/>
  <c r="B49" i="155" s="1"/>
  <c r="P38" i="154"/>
  <c r="O38" i="154"/>
  <c r="P37" i="154"/>
  <c r="O37" i="154"/>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O18" i="154"/>
  <c r="P17" i="154"/>
  <c r="O17" i="154"/>
  <c r="L17" i="154"/>
  <c r="K17" i="154"/>
  <c r="J17" i="154"/>
  <c r="Q47" i="154" s="1" a="1"/>
  <c r="Q47" i="154" s="1"/>
  <c r="B57" i="155" s="1"/>
  <c r="C17" i="154"/>
  <c r="I17" i="154" s="1"/>
  <c r="P16" i="154"/>
  <c r="O16" i="154"/>
  <c r="L16" i="154"/>
  <c r="P15" i="154"/>
  <c r="O15" i="154"/>
  <c r="L15" i="154"/>
  <c r="Q14" i="154" a="1"/>
  <c r="Q14" i="154" s="1"/>
  <c r="B24" i="155" s="1"/>
  <c r="P14" i="154"/>
  <c r="O14" i="154"/>
  <c r="L14" i="154"/>
  <c r="Q34" i="154" s="1" a="1"/>
  <c r="Q34" i="154" s="1"/>
  <c r="B44" i="155" s="1"/>
  <c r="K14" i="154"/>
  <c r="J14" i="154"/>
  <c r="C14" i="154"/>
  <c r="I14" i="154" s="1"/>
  <c r="Q31" i="154" s="1" a="1"/>
  <c r="Q31" i="154" s="1"/>
  <c r="B41" i="155" s="1"/>
  <c r="P13" i="154"/>
  <c r="O13" i="154"/>
  <c r="L13" i="154"/>
  <c r="K13" i="154"/>
  <c r="J13" i="154"/>
  <c r="C13" i="154"/>
  <c r="I13" i="154" s="1"/>
  <c r="P12" i="154"/>
  <c r="O12" i="154"/>
  <c r="L12" i="154"/>
  <c r="C12" i="154"/>
  <c r="I12" i="154" s="1"/>
  <c r="Q21" i="154" s="1" a="1"/>
  <c r="Q21" i="154" s="1"/>
  <c r="B31" i="155" s="1"/>
  <c r="P11" i="154"/>
  <c r="O11" i="154"/>
  <c r="L11" i="154"/>
  <c r="Q19" i="154" s="1" a="1"/>
  <c r="Q19" i="154" s="1"/>
  <c r="B29" i="155" s="1"/>
  <c r="C11" i="154"/>
  <c r="I11" i="154" s="1"/>
  <c r="P10" i="154"/>
  <c r="O10" i="154"/>
  <c r="L10" i="154"/>
  <c r="C10" i="154"/>
  <c r="I10" i="154" s="1"/>
  <c r="B10" i="154"/>
  <c r="B16" i="154" s="1"/>
  <c r="H16" i="154" s="1"/>
  <c r="Q40" i="154" s="1" a="1"/>
  <c r="Q40" i="154" s="1"/>
  <c r="B50" i="155" s="1"/>
  <c r="C181" i="153"/>
  <c r="C180" i="153"/>
  <c r="C2" i="153"/>
  <c r="C1" i="153"/>
  <c r="E9" i="152"/>
  <c r="C189" i="153" s="1"/>
  <c r="B9" i="152"/>
  <c r="E8" i="152"/>
  <c r="C187" i="153" s="1"/>
  <c r="E6" i="152"/>
  <c r="C185" i="153" s="1"/>
  <c r="E5" i="152"/>
  <c r="C184" i="153" s="1"/>
  <c r="E4" i="152"/>
  <c r="C183" i="153" s="1"/>
  <c r="E3" i="152"/>
  <c r="C182" i="153" s="1"/>
  <c r="J8" i="151"/>
  <c r="C8" i="153" s="1"/>
  <c r="J7" i="151"/>
  <c r="C7" i="153" s="1"/>
  <c r="J6" i="151"/>
  <c r="C6" i="153" s="1"/>
  <c r="J5" i="151"/>
  <c r="C5" i="153" s="1"/>
  <c r="J4" i="151"/>
  <c r="C4" i="153" s="1"/>
  <c r="J3" i="151"/>
  <c r="C3" i="153" s="1"/>
  <c r="J13" i="148"/>
  <c r="J14" i="148"/>
  <c r="J17" i="148"/>
  <c r="H11" i="148"/>
  <c r="H12" i="148"/>
  <c r="H13" i="148"/>
  <c r="H14" i="148"/>
  <c r="H15" i="148"/>
  <c r="H16" i="148"/>
  <c r="H17" i="148"/>
  <c r="H10"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I16" i="148"/>
  <c r="P15" i="148"/>
  <c r="O15" i="148"/>
  <c r="L15" i="148"/>
  <c r="P14" i="148"/>
  <c r="O14" i="148"/>
  <c r="Q14" i="148" s="1" a="1"/>
  <c r="Q14" i="148" s="1"/>
  <c r="B24" i="149" s="1"/>
  <c r="L14" i="148"/>
  <c r="I14" i="148"/>
  <c r="Q30" i="148" a="1"/>
  <c r="Q30" i="148" s="1"/>
  <c r="B40" i="149" s="1"/>
  <c r="P13" i="148"/>
  <c r="O13" i="148"/>
  <c r="L13" i="148"/>
  <c r="K13" i="148"/>
  <c r="I13" i="148"/>
  <c r="P12" i="148"/>
  <c r="O12" i="148"/>
  <c r="L12" i="148"/>
  <c r="I12" i="148"/>
  <c r="Q11" i="148" a="1"/>
  <c r="Q11" i="148" s="1"/>
  <c r="B21" i="149" s="1"/>
  <c r="P11" i="148"/>
  <c r="O11" i="148"/>
  <c r="L11" i="148"/>
  <c r="Q19" i="148" s="1" a="1"/>
  <c r="Q19" i="148" s="1"/>
  <c r="B29" i="149" s="1"/>
  <c r="I11" i="148"/>
  <c r="Q16" i="148" s="1" a="1"/>
  <c r="Q16" i="148" s="1"/>
  <c r="B26" i="149" s="1"/>
  <c r="P10" i="148"/>
  <c r="O10" i="148"/>
  <c r="L10" i="148"/>
  <c r="I10" i="148"/>
  <c r="G19" i="141"/>
  <c r="G22" i="141"/>
  <c r="G26" i="141"/>
  <c r="G29" i="141"/>
  <c r="G43" i="141"/>
  <c r="G49" i="141"/>
  <c r="G53" i="141"/>
  <c r="G56" i="141"/>
  <c r="G60" i="141"/>
  <c r="G71" i="141"/>
  <c r="G75" i="141"/>
  <c r="G76" i="141"/>
  <c r="G79" i="141"/>
  <c r="G88" i="141"/>
  <c r="G93" i="141"/>
  <c r="G95" i="141"/>
  <c r="G97" i="141"/>
  <c r="G101" i="141"/>
  <c r="G106" i="141"/>
  <c r="G110" i="141"/>
  <c r="G116" i="141"/>
  <c r="G121" i="141"/>
  <c r="G130" i="141"/>
  <c r="G136" i="141"/>
  <c r="G140" i="141"/>
  <c r="G155" i="141"/>
  <c r="G158"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E19" i="141"/>
  <c r="B22" i="141"/>
  <c r="C22" i="141"/>
  <c r="D22" i="141"/>
  <c r="E22" i="141"/>
  <c r="B26" i="141"/>
  <c r="C26" i="141"/>
  <c r="D26" i="141"/>
  <c r="E26" i="141"/>
  <c r="B29" i="141"/>
  <c r="C29" i="141"/>
  <c r="D29" i="141"/>
  <c r="E29" i="141"/>
  <c r="B43" i="141"/>
  <c r="C43" i="141"/>
  <c r="D43" i="141"/>
  <c r="E43" i="141"/>
  <c r="B49" i="141"/>
  <c r="C49" i="141"/>
  <c r="D49" i="141"/>
  <c r="E49" i="141"/>
  <c r="B53" i="141"/>
  <c r="C53" i="141"/>
  <c r="D53" i="141"/>
  <c r="E53" i="141"/>
  <c r="B56" i="141"/>
  <c r="C56" i="141"/>
  <c r="D56" i="141"/>
  <c r="E56" i="141"/>
  <c r="B60" i="141"/>
  <c r="C60" i="141"/>
  <c r="D60" i="141"/>
  <c r="E60" i="141"/>
  <c r="B71" i="141"/>
  <c r="C71" i="141"/>
  <c r="D71" i="141"/>
  <c r="E71" i="141"/>
  <c r="B76" i="141"/>
  <c r="C76" i="141"/>
  <c r="D76" i="141"/>
  <c r="E76" i="141"/>
  <c r="B79" i="141"/>
  <c r="C79" i="141"/>
  <c r="D79" i="141"/>
  <c r="E79" i="141"/>
  <c r="B88" i="141"/>
  <c r="C88" i="141"/>
  <c r="D88" i="141"/>
  <c r="E88" i="141"/>
  <c r="B93" i="141"/>
  <c r="C93" i="141"/>
  <c r="D93" i="141"/>
  <c r="E93" i="141"/>
  <c r="B95" i="141"/>
  <c r="C95" i="141"/>
  <c r="D95" i="141"/>
  <c r="E95" i="141"/>
  <c r="B97" i="141"/>
  <c r="C97" i="141"/>
  <c r="D97" i="141"/>
  <c r="E97" i="141"/>
  <c r="B101" i="141"/>
  <c r="C101" i="141"/>
  <c r="D101" i="141"/>
  <c r="E101" i="141"/>
  <c r="B106" i="141"/>
  <c r="C106" i="141"/>
  <c r="D106" i="141"/>
  <c r="E106" i="141"/>
  <c r="B110" i="141"/>
  <c r="C110" i="141"/>
  <c r="D110" i="141"/>
  <c r="E110" i="141"/>
  <c r="E116" i="141"/>
  <c r="B121" i="141"/>
  <c r="E121" i="141"/>
  <c r="E130" i="141"/>
  <c r="E136" i="141"/>
  <c r="E140" i="141"/>
  <c r="C158" i="141"/>
  <c r="E158" i="141"/>
  <c r="D164" i="141"/>
  <c r="E164" i="141"/>
  <c r="E167" i="141"/>
  <c r="D170" i="141"/>
  <c r="E170" i="141"/>
  <c r="C178" i="141"/>
  <c r="E178" i="141"/>
  <c r="E186" i="141"/>
  <c r="E193" i="141"/>
  <c r="E200" i="141"/>
  <c r="E210" i="141"/>
  <c r="E217" i="141"/>
  <c r="E221" i="141"/>
  <c r="E225" i="141"/>
  <c r="D234" i="141"/>
  <c r="E234" i="141"/>
  <c r="E241" i="141"/>
  <c r="E255" i="141"/>
  <c r="E263" i="141"/>
  <c r="B267" i="141"/>
  <c r="C267" i="141"/>
  <c r="D267" i="141"/>
  <c r="E267" i="141"/>
  <c r="B268" i="141"/>
  <c r="C268" i="141"/>
  <c r="D268" i="141"/>
  <c r="E268" i="141"/>
  <c r="B269" i="141"/>
  <c r="I269" i="141" s="1"/>
  <c r="C269" i="144" s="1"/>
  <c r="C269" i="141"/>
  <c r="D269" i="141"/>
  <c r="E269" i="141"/>
  <c r="B270" i="141"/>
  <c r="C270" i="141"/>
  <c r="D270" i="141"/>
  <c r="E270" i="141"/>
  <c r="M154" i="138"/>
  <c r="G160" i="141" s="1"/>
  <c r="M155" i="138"/>
  <c r="G161" i="141" s="1"/>
  <c r="M156" i="138"/>
  <c r="G162" i="141" s="1"/>
  <c r="M153" i="138"/>
  <c r="G159" i="141" s="1"/>
  <c r="M136" i="138"/>
  <c r="G142" i="141" s="1"/>
  <c r="M137" i="138"/>
  <c r="G143" i="141" s="1"/>
  <c r="M138" i="138"/>
  <c r="G144" i="141" s="1"/>
  <c r="M139" i="138"/>
  <c r="G145" i="141" s="1"/>
  <c r="M140" i="138"/>
  <c r="G146" i="141" s="1"/>
  <c r="M141" i="138"/>
  <c r="G147" i="141" s="1"/>
  <c r="M142" i="138"/>
  <c r="G148" i="141" s="1"/>
  <c r="M143" i="138"/>
  <c r="G149" i="141" s="1"/>
  <c r="M144" i="138"/>
  <c r="G150" i="141" s="1"/>
  <c r="M145" i="138"/>
  <c r="G151" i="141" s="1"/>
  <c r="M146" i="138"/>
  <c r="G152" i="141" s="1"/>
  <c r="M147" i="138"/>
  <c r="G153" i="141" s="1"/>
  <c r="M148" i="138"/>
  <c r="G154" i="141" s="1"/>
  <c r="M149" i="138"/>
  <c r="M150" i="138"/>
  <c r="G156" i="141" s="1"/>
  <c r="M151" i="138"/>
  <c r="G157" i="141" s="1"/>
  <c r="M135" i="138"/>
  <c r="G141" i="141" s="1"/>
  <c r="M132" i="138"/>
  <c r="G138" i="141" s="1"/>
  <c r="M133" i="138"/>
  <c r="G139" i="141" s="1"/>
  <c r="M131" i="138"/>
  <c r="G137" i="141" s="1"/>
  <c r="M126" i="138"/>
  <c r="G132" i="141" s="1"/>
  <c r="M127" i="138"/>
  <c r="G133" i="141" s="1"/>
  <c r="M128" i="138"/>
  <c r="G134" i="141" s="1"/>
  <c r="M129" i="138"/>
  <c r="G135" i="141" s="1"/>
  <c r="M125" i="138"/>
  <c r="G131" i="141" s="1"/>
  <c r="M117" i="138"/>
  <c r="G123" i="141" s="1"/>
  <c r="M118" i="138"/>
  <c r="G124" i="141" s="1"/>
  <c r="M119" i="138"/>
  <c r="G125" i="141" s="1"/>
  <c r="M120" i="138"/>
  <c r="G126" i="141" s="1"/>
  <c r="M121" i="138"/>
  <c r="G127" i="141" s="1"/>
  <c r="M122" i="138"/>
  <c r="G128" i="141" s="1"/>
  <c r="M123" i="138"/>
  <c r="G129" i="141" s="1"/>
  <c r="M116" i="138"/>
  <c r="G122" i="141" s="1"/>
  <c r="M112" i="138"/>
  <c r="G118" i="141" s="1"/>
  <c r="M113" i="138"/>
  <c r="G119" i="141" s="1"/>
  <c r="M114" i="138"/>
  <c r="G120" i="141" s="1"/>
  <c r="M111" i="138"/>
  <c r="G117" i="141" s="1"/>
  <c r="M106" i="138"/>
  <c r="G112" i="141" s="1"/>
  <c r="M107" i="138"/>
  <c r="G113" i="141" s="1"/>
  <c r="M108" i="138"/>
  <c r="G114" i="141" s="1"/>
  <c r="M109" i="138"/>
  <c r="G115" i="141" s="1"/>
  <c r="M105" i="138"/>
  <c r="G111" i="141" s="1"/>
  <c r="M102" i="138"/>
  <c r="G108" i="141" s="1"/>
  <c r="M103" i="138"/>
  <c r="G109" i="141" s="1"/>
  <c r="M101" i="138"/>
  <c r="G107" i="141" s="1"/>
  <c r="M97" i="138"/>
  <c r="G103" i="141" s="1"/>
  <c r="M98" i="138"/>
  <c r="G104" i="141" s="1"/>
  <c r="M99" i="138"/>
  <c r="G105" i="141" s="1"/>
  <c r="M96" i="138"/>
  <c r="G102" i="141" s="1"/>
  <c r="M93" i="138"/>
  <c r="G99" i="141" s="1"/>
  <c r="M94" i="138"/>
  <c r="G100" i="141" s="1"/>
  <c r="M92" i="138"/>
  <c r="G98" i="141" s="1"/>
  <c r="M90" i="138"/>
  <c r="G96" i="141" s="1"/>
  <c r="M88" i="138"/>
  <c r="G94" i="141" s="1"/>
  <c r="M84" i="138"/>
  <c r="G90" i="141" s="1"/>
  <c r="M85" i="138"/>
  <c r="G91" i="141" s="1"/>
  <c r="M86" i="138"/>
  <c r="G92" i="141" s="1"/>
  <c r="M83" i="138"/>
  <c r="G89" i="141" s="1"/>
  <c r="M75" i="138"/>
  <c r="G81" i="141" s="1"/>
  <c r="M76" i="138"/>
  <c r="G82" i="141" s="1"/>
  <c r="M77" i="138"/>
  <c r="G83" i="141" s="1"/>
  <c r="M78" i="138"/>
  <c r="G84" i="141" s="1"/>
  <c r="M79" i="138"/>
  <c r="G85" i="141" s="1"/>
  <c r="M80" i="138"/>
  <c r="G86" i="141" s="1"/>
  <c r="M81" i="138"/>
  <c r="G87" i="141" s="1"/>
  <c r="M74" i="138"/>
  <c r="G80" i="141" s="1"/>
  <c r="M72" i="138"/>
  <c r="G78" i="141" s="1"/>
  <c r="M71" i="138"/>
  <c r="G77" i="141" s="1"/>
  <c r="M67" i="138"/>
  <c r="G73" i="141" s="1"/>
  <c r="M68" i="138"/>
  <c r="G74" i="141" s="1"/>
  <c r="M69" i="138"/>
  <c r="M66" i="138"/>
  <c r="G72" i="141" s="1"/>
  <c r="M56" i="138"/>
  <c r="G62" i="141" s="1"/>
  <c r="M57" i="138"/>
  <c r="G63" i="141" s="1"/>
  <c r="M58" i="138"/>
  <c r="G64" i="141" s="1"/>
  <c r="M59" i="138"/>
  <c r="G65" i="141" s="1"/>
  <c r="M60" i="138"/>
  <c r="G66" i="141" s="1"/>
  <c r="M61" i="138"/>
  <c r="G67" i="141" s="1"/>
  <c r="M62" i="138"/>
  <c r="G68" i="141" s="1"/>
  <c r="M63" i="138"/>
  <c r="G69" i="141" s="1"/>
  <c r="M64" i="138"/>
  <c r="G70" i="141" s="1"/>
  <c r="M55" i="138"/>
  <c r="G61" i="141" s="1"/>
  <c r="M52" i="138"/>
  <c r="G58" i="141" s="1"/>
  <c r="M53" i="138"/>
  <c r="G59" i="141" s="1"/>
  <c r="M51" i="138"/>
  <c r="G57" i="141" s="1"/>
  <c r="M49" i="138"/>
  <c r="G55" i="141" s="1"/>
  <c r="M48" i="138"/>
  <c r="G54" i="141" s="1"/>
  <c r="M45" i="138"/>
  <c r="G51" i="141" s="1"/>
  <c r="M46" i="138"/>
  <c r="G52" i="141" s="1"/>
  <c r="M44" i="138"/>
  <c r="G50" i="141" s="1"/>
  <c r="M39" i="138"/>
  <c r="G45" i="141" s="1"/>
  <c r="M40" i="138"/>
  <c r="G46" i="141" s="1"/>
  <c r="M41" i="138"/>
  <c r="G47" i="141" s="1"/>
  <c r="M42" i="138"/>
  <c r="G48" i="141" s="1"/>
  <c r="M38" i="138"/>
  <c r="G44" i="141" s="1"/>
  <c r="M15" i="138"/>
  <c r="G21" i="141" s="1"/>
  <c r="M14" i="138"/>
  <c r="G20" i="141" s="1"/>
  <c r="M24" i="138"/>
  <c r="G30" i="141" s="1"/>
  <c r="M4" i="138"/>
  <c r="G10" i="141" s="1"/>
  <c r="M5" i="138"/>
  <c r="G11" i="141" s="1"/>
  <c r="M6" i="138"/>
  <c r="G12" i="141" s="1"/>
  <c r="M7" i="138"/>
  <c r="G13" i="141" s="1"/>
  <c r="M8" i="138"/>
  <c r="G14" i="141" s="1"/>
  <c r="M9" i="138"/>
  <c r="G15" i="141" s="1"/>
  <c r="M10" i="138"/>
  <c r="G16" i="141" s="1"/>
  <c r="M11" i="138"/>
  <c r="G17" i="141" s="1"/>
  <c r="M12" i="138"/>
  <c r="G18" i="141" s="1"/>
  <c r="M3" i="138"/>
  <c r="G9" i="141" s="1"/>
  <c r="I268" i="141"/>
  <c r="C268" i="144" s="1"/>
  <c r="I270" i="141"/>
  <c r="C270" i="144" s="1"/>
  <c r="I257" i="138"/>
  <c r="B263" i="141" s="1"/>
  <c r="J257" i="138"/>
  <c r="C263" i="141" s="1"/>
  <c r="K257" i="138"/>
  <c r="D263" i="141" s="1"/>
  <c r="H257" i="138"/>
  <c r="H251" i="138"/>
  <c r="H252" i="138"/>
  <c r="H253" i="138"/>
  <c r="H254" i="138"/>
  <c r="H255" i="138"/>
  <c r="H256" i="138"/>
  <c r="H258" i="138"/>
  <c r="I249" i="138"/>
  <c r="B255" i="141" s="1"/>
  <c r="J249" i="138"/>
  <c r="C255" i="141" s="1"/>
  <c r="K249" i="138"/>
  <c r="D255" i="141" s="1"/>
  <c r="H249" i="138"/>
  <c r="H237" i="138"/>
  <c r="H238" i="138"/>
  <c r="H239" i="138"/>
  <c r="H240" i="138"/>
  <c r="H241" i="138"/>
  <c r="H242" i="138"/>
  <c r="H243" i="138"/>
  <c r="H244" i="138"/>
  <c r="H250" i="138"/>
  <c r="I235" i="138"/>
  <c r="B241" i="141" s="1"/>
  <c r="J235" i="138"/>
  <c r="C241" i="141" s="1"/>
  <c r="K235" i="138"/>
  <c r="D241" i="141" s="1"/>
  <c r="H235" i="138"/>
  <c r="H236" i="138"/>
  <c r="I228" i="138"/>
  <c r="B234" i="141" s="1"/>
  <c r="J228" i="138"/>
  <c r="C234" i="141" s="1"/>
  <c r="K228" i="138"/>
  <c r="H228" i="138"/>
  <c r="I219" i="138"/>
  <c r="B225" i="141" s="1"/>
  <c r="J219" i="138"/>
  <c r="C225" i="141" s="1"/>
  <c r="K219" i="138"/>
  <c r="D225" i="141" s="1"/>
  <c r="H219" i="138"/>
  <c r="I215" i="138"/>
  <c r="B221" i="141" s="1"/>
  <c r="J215" i="138"/>
  <c r="C221" i="141" s="1"/>
  <c r="K215" i="138"/>
  <c r="D221" i="141" s="1"/>
  <c r="H215" i="138"/>
  <c r="I211" i="138"/>
  <c r="B217" i="141" s="1"/>
  <c r="J211" i="138"/>
  <c r="C217" i="141" s="1"/>
  <c r="K211" i="138"/>
  <c r="D217" i="141" s="1"/>
  <c r="H211" i="138"/>
  <c r="I204" i="138"/>
  <c r="B210" i="141" s="1"/>
  <c r="J204" i="138"/>
  <c r="C210" i="141" s="1"/>
  <c r="K204" i="138"/>
  <c r="D210" i="141" s="1"/>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B200" i="141" s="1"/>
  <c r="J194" i="138"/>
  <c r="C200" i="141" s="1"/>
  <c r="K194" i="138"/>
  <c r="D200" i="141" s="1"/>
  <c r="H194" i="138"/>
  <c r="I187" i="138"/>
  <c r="B193" i="141" s="1"/>
  <c r="J187" i="138"/>
  <c r="C193" i="141" s="1"/>
  <c r="K187" i="138"/>
  <c r="D193" i="141" s="1"/>
  <c r="H187" i="138"/>
  <c r="I180" i="138"/>
  <c r="B186" i="141" s="1"/>
  <c r="J180" i="138"/>
  <c r="C186" i="141" s="1"/>
  <c r="K180" i="138"/>
  <c r="D186" i="141" s="1"/>
  <c r="H180" i="138"/>
  <c r="I172" i="138"/>
  <c r="B178" i="141" s="1"/>
  <c r="J172" i="138"/>
  <c r="K172" i="138"/>
  <c r="D178" i="141" s="1"/>
  <c r="H172" i="138"/>
  <c r="I164" i="138"/>
  <c r="B170" i="141" s="1"/>
  <c r="J164" i="138"/>
  <c r="C170" i="141" s="1"/>
  <c r="K164" i="138"/>
  <c r="H164" i="138"/>
  <c r="I161" i="138"/>
  <c r="B167" i="141" s="1"/>
  <c r="J161" i="138"/>
  <c r="C167" i="141" s="1"/>
  <c r="K161" i="138"/>
  <c r="D167" i="141" s="1"/>
  <c r="H161" i="138"/>
  <c r="K158" i="138"/>
  <c r="I158" i="138"/>
  <c r="B164" i="141" s="1"/>
  <c r="J158" i="138"/>
  <c r="C164" i="141" s="1"/>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B158" i="141" s="1"/>
  <c r="J152" i="138"/>
  <c r="K152" i="138"/>
  <c r="D158" i="141" s="1"/>
  <c r="H152" i="138"/>
  <c r="H136" i="138"/>
  <c r="H137" i="138"/>
  <c r="H138" i="138"/>
  <c r="H139" i="138"/>
  <c r="H140" i="138"/>
  <c r="H141" i="138"/>
  <c r="H142" i="138"/>
  <c r="H143" i="138"/>
  <c r="H144" i="138"/>
  <c r="H145" i="138"/>
  <c r="H146" i="138"/>
  <c r="H147" i="138"/>
  <c r="H148" i="138"/>
  <c r="H149" i="138"/>
  <c r="H150" i="138"/>
  <c r="H153" i="138"/>
  <c r="I134" i="138"/>
  <c r="B140" i="141" s="1"/>
  <c r="J134" i="138"/>
  <c r="C140" i="141" s="1"/>
  <c r="K134" i="138"/>
  <c r="D140" i="141" s="1"/>
  <c r="H134" i="138"/>
  <c r="H132" i="138"/>
  <c r="H133" i="138"/>
  <c r="H135" i="138"/>
  <c r="I130" i="138"/>
  <c r="B136" i="141" s="1"/>
  <c r="J130" i="138"/>
  <c r="C136" i="141" s="1"/>
  <c r="K130" i="138"/>
  <c r="D136" i="141" s="1"/>
  <c r="H130" i="138"/>
  <c r="H126" i="138"/>
  <c r="H127" i="138"/>
  <c r="H131" i="138"/>
  <c r="I124" i="138"/>
  <c r="B130" i="141" s="1"/>
  <c r="J124" i="138"/>
  <c r="C130" i="141" s="1"/>
  <c r="K124" i="138"/>
  <c r="D130" i="141" s="1"/>
  <c r="H124" i="138"/>
  <c r="H117" i="138"/>
  <c r="H118" i="138"/>
  <c r="H119" i="138"/>
  <c r="H120" i="138"/>
  <c r="H121" i="138"/>
  <c r="H123" i="138"/>
  <c r="H125" i="138"/>
  <c r="I115" i="138"/>
  <c r="J115" i="138"/>
  <c r="C121" i="141" s="1"/>
  <c r="K115" i="138"/>
  <c r="D121" i="141" s="1"/>
  <c r="H115" i="138"/>
  <c r="H112" i="138"/>
  <c r="H113" i="138"/>
  <c r="H116" i="138"/>
  <c r="I110" i="138"/>
  <c r="B116" i="141" s="1"/>
  <c r="J110" i="138"/>
  <c r="C116" i="141" s="1"/>
  <c r="K110" i="138"/>
  <c r="D116" i="141" s="1"/>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9" i="153" l="1"/>
  <c r="C94" i="153"/>
  <c r="C7" i="152"/>
  <c r="E7" i="152" s="1"/>
  <c r="C186" i="153" s="1"/>
  <c r="E23" i="152"/>
  <c r="C203" i="153" s="1"/>
  <c r="E22" i="152"/>
  <c r="C202" i="153" s="1"/>
  <c r="E12" i="152"/>
  <c r="C192" i="153" s="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6" i="167" a="1"/>
  <c r="Q26" i="167" s="1"/>
  <c r="B36" i="168" s="1"/>
  <c r="C84" i="166"/>
  <c r="C15" i="166"/>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8" i="151"/>
  <c r="C93" i="153" s="1"/>
  <c r="H10" i="154"/>
  <c r="Q10" i="154" s="1" a="1"/>
  <c r="Q10" i="154" s="1"/>
  <c r="B20" i="155" s="1"/>
  <c r="Q11" i="154" a="1"/>
  <c r="Q11" i="154" s="1"/>
  <c r="B21" i="155" s="1"/>
  <c r="Q16" i="154" a="1"/>
  <c r="Q16" i="154" s="1"/>
  <c r="B26" i="155" s="1"/>
  <c r="Q26" i="154" a="1"/>
  <c r="Q26" i="154" s="1"/>
  <c r="B36" i="155" s="1"/>
  <c r="Q46" i="154" a="1"/>
  <c r="Q46" i="154" s="1"/>
  <c r="B56"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7" i="148" a="1"/>
  <c r="Q47" i="148" s="1"/>
  <c r="B57" i="149" s="1"/>
  <c r="Q63" i="148" a="1"/>
  <c r="Q63" i="148" s="1"/>
  <c r="Q28" i="148" a="1"/>
  <c r="Q28" i="148" s="1"/>
  <c r="B38" i="149" s="1"/>
  <c r="Q52" i="148" a="1"/>
  <c r="Q52" i="148" s="1"/>
  <c r="B62" i="149" s="1"/>
  <c r="Q57" i="148" a="1"/>
  <c r="Q57" i="148" s="1"/>
  <c r="Q53" i="148" a="1"/>
  <c r="Q53" i="148" s="1"/>
  <c r="Q58" i="148" a="1"/>
  <c r="Q58" i="148"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43" i="141"/>
  <c r="C43" i="144" s="1"/>
  <c r="I56" i="141"/>
  <c r="C56" i="144" s="1"/>
  <c r="I53" i="141"/>
  <c r="C53" i="144" s="1"/>
  <c r="I49" i="141"/>
  <c r="C49" i="144" s="1"/>
  <c r="I60" i="141"/>
  <c r="C60" i="144" s="1"/>
  <c r="E14" i="145"/>
  <c r="K14" i="145" s="1"/>
  <c r="E13" i="145"/>
  <c r="K13" i="145" s="1"/>
  <c r="E12" i="145"/>
  <c r="K12" i="145" s="1"/>
  <c r="E10" i="145"/>
  <c r="K10" i="145" s="1"/>
  <c r="D10" i="145"/>
  <c r="B9" i="145"/>
  <c r="C4" i="144"/>
  <c r="C2" i="144"/>
  <c r="C1" i="144"/>
  <c r="G8" i="141"/>
  <c r="E8" i="141"/>
  <c r="I26" i="141"/>
  <c r="C26" i="144" s="1"/>
  <c r="M29" i="138"/>
  <c r="G35" i="141" s="1"/>
  <c r="M30" i="138"/>
  <c r="G36" i="141" s="1"/>
  <c r="M31" i="138"/>
  <c r="G37" i="141" s="1"/>
  <c r="M32" i="138"/>
  <c r="G38" i="141" s="1"/>
  <c r="M33" i="138"/>
  <c r="G39" i="141" s="1"/>
  <c r="M34" i="138"/>
  <c r="G40" i="141" s="1"/>
  <c r="M35" i="138"/>
  <c r="G41" i="141" s="1"/>
  <c r="M36" i="138"/>
  <c r="G42" i="141" s="1"/>
  <c r="M28" i="138"/>
  <c r="G34" i="141" s="1"/>
  <c r="H18" i="138"/>
  <c r="H19" i="138"/>
  <c r="H20" i="138"/>
  <c r="H21" i="138"/>
  <c r="H12" i="138"/>
  <c r="H13" i="138"/>
  <c r="H14" i="138"/>
  <c r="H15" i="138"/>
  <c r="H16" i="138"/>
  <c r="H17" i="138"/>
  <c r="M17" i="138"/>
  <c r="G23" i="141" s="1"/>
  <c r="M18" i="138"/>
  <c r="G24" i="141" s="1"/>
  <c r="M19" i="138"/>
  <c r="G25" i="141" s="1"/>
  <c r="M21" i="138"/>
  <c r="G27" i="141" s="1"/>
  <c r="M22" i="138"/>
  <c r="G28" i="141" s="1"/>
  <c r="M25" i="138"/>
  <c r="G31" i="141" s="1"/>
  <c r="M26" i="138"/>
  <c r="G32" i="141" s="1"/>
  <c r="M27" i="138"/>
  <c r="G33" i="141" s="1"/>
  <c r="J13" i="138"/>
  <c r="C19" i="141" s="1"/>
  <c r="K13" i="138"/>
  <c r="D19" i="141" s="1"/>
  <c r="I13" i="138"/>
  <c r="B19" i="141" s="1"/>
  <c r="J2" i="138"/>
  <c r="K2" i="138"/>
  <c r="D8" i="141" s="1"/>
  <c r="I2" i="138"/>
  <c r="H4" i="138"/>
  <c r="H5" i="138"/>
  <c r="H6" i="138"/>
  <c r="H7" i="138"/>
  <c r="H8" i="138"/>
  <c r="H9" i="138"/>
  <c r="H10" i="138"/>
  <c r="H11" i="138"/>
  <c r="H3" i="138"/>
  <c r="L4" i="138"/>
  <c r="E10" i="141" s="1"/>
  <c r="L5" i="138"/>
  <c r="E11" i="141" s="1"/>
  <c r="L6" i="138"/>
  <c r="E12" i="141" s="1"/>
  <c r="L7" i="138"/>
  <c r="E13" i="141" s="1"/>
  <c r="L8" i="138"/>
  <c r="E14" i="141" s="1"/>
  <c r="L9" i="138"/>
  <c r="E15" i="141" s="1"/>
  <c r="L10" i="138"/>
  <c r="E16" i="141" s="1"/>
  <c r="L11" i="138"/>
  <c r="E17" i="141" s="1"/>
  <c r="L12" i="138"/>
  <c r="E18" i="141" s="1"/>
  <c r="L14" i="138"/>
  <c r="E20" i="141" s="1"/>
  <c r="L15" i="138"/>
  <c r="E21" i="141" s="1"/>
  <c r="L17" i="138"/>
  <c r="E23" i="141" s="1"/>
  <c r="L18" i="138"/>
  <c r="E24" i="141" s="1"/>
  <c r="L19" i="138"/>
  <c r="E25" i="141" s="1"/>
  <c r="L21" i="138"/>
  <c r="E27" i="141" s="1"/>
  <c r="L22" i="138"/>
  <c r="E28" i="141" s="1"/>
  <c r="L24" i="138"/>
  <c r="E30" i="141" s="1"/>
  <c r="L25" i="138"/>
  <c r="E31" i="141" s="1"/>
  <c r="L26" i="138"/>
  <c r="E32" i="141" s="1"/>
  <c r="L27" i="138"/>
  <c r="E33" i="141" s="1"/>
  <c r="L28" i="138"/>
  <c r="E34" i="141" s="1"/>
  <c r="L29" i="138"/>
  <c r="E35" i="141" s="1"/>
  <c r="L30" i="138"/>
  <c r="E36" i="141" s="1"/>
  <c r="L31" i="138"/>
  <c r="E37" i="141" s="1"/>
  <c r="L32" i="138"/>
  <c r="E38" i="141" s="1"/>
  <c r="L33" i="138"/>
  <c r="E39" i="141" s="1"/>
  <c r="L34" i="138"/>
  <c r="E40" i="141" s="1"/>
  <c r="L35" i="138"/>
  <c r="E41" i="141" s="1"/>
  <c r="L36" i="138"/>
  <c r="E42" i="141" s="1"/>
  <c r="L38" i="138"/>
  <c r="E44" i="141" s="1"/>
  <c r="L39" i="138"/>
  <c r="E45" i="141" s="1"/>
  <c r="L40" i="138"/>
  <c r="E46" i="141" s="1"/>
  <c r="L41" i="138"/>
  <c r="E47" i="141" s="1"/>
  <c r="L42" i="138"/>
  <c r="E48" i="141" s="1"/>
  <c r="L44" i="138"/>
  <c r="E50" i="141" s="1"/>
  <c r="L45" i="138"/>
  <c r="E51" i="141" s="1"/>
  <c r="L46" i="138"/>
  <c r="E52" i="141" s="1"/>
  <c r="L48" i="138"/>
  <c r="E54" i="141" s="1"/>
  <c r="L49" i="138"/>
  <c r="E55" i="141" s="1"/>
  <c r="L51" i="138"/>
  <c r="E57" i="141" s="1"/>
  <c r="L52" i="138"/>
  <c r="E58" i="141" s="1"/>
  <c r="L53" i="138"/>
  <c r="E59" i="141" s="1"/>
  <c r="L55" i="138"/>
  <c r="E61" i="141" s="1"/>
  <c r="L56" i="138"/>
  <c r="E62" i="141" s="1"/>
  <c r="L57" i="138"/>
  <c r="E63" i="141" s="1"/>
  <c r="L58" i="138"/>
  <c r="E64" i="141" s="1"/>
  <c r="L59" i="138"/>
  <c r="E65" i="141" s="1"/>
  <c r="L60" i="138"/>
  <c r="E66" i="141" s="1"/>
  <c r="L61" i="138"/>
  <c r="E67" i="141" s="1"/>
  <c r="L62" i="138"/>
  <c r="E68" i="141" s="1"/>
  <c r="L63" i="138"/>
  <c r="E69" i="141" s="1"/>
  <c r="L64" i="138"/>
  <c r="E70" i="141" s="1"/>
  <c r="L66" i="138"/>
  <c r="E72" i="141" s="1"/>
  <c r="L67" i="138"/>
  <c r="E73" i="141" s="1"/>
  <c r="L68" i="138"/>
  <c r="E74" i="141" s="1"/>
  <c r="L69" i="138"/>
  <c r="E75" i="141" s="1"/>
  <c r="L71" i="138"/>
  <c r="E77" i="141" s="1"/>
  <c r="L72" i="138"/>
  <c r="E78" i="141" s="1"/>
  <c r="L74" i="138"/>
  <c r="E80" i="141" s="1"/>
  <c r="L75" i="138"/>
  <c r="E81" i="141" s="1"/>
  <c r="L76" i="138"/>
  <c r="E82" i="141" s="1"/>
  <c r="L77" i="138"/>
  <c r="E83" i="141" s="1"/>
  <c r="L78" i="138"/>
  <c r="E84" i="141" s="1"/>
  <c r="L79" i="138"/>
  <c r="E85" i="141" s="1"/>
  <c r="L80" i="138"/>
  <c r="E86" i="141" s="1"/>
  <c r="L81" i="138"/>
  <c r="E87" i="141" s="1"/>
  <c r="L83" i="138"/>
  <c r="E89" i="141" s="1"/>
  <c r="L84" i="138"/>
  <c r="E90" i="141" s="1"/>
  <c r="L85" i="138"/>
  <c r="E91" i="141" s="1"/>
  <c r="L86" i="138"/>
  <c r="E92" i="141" s="1"/>
  <c r="L88" i="138"/>
  <c r="E94" i="141" s="1"/>
  <c r="L90" i="138"/>
  <c r="E96" i="141" s="1"/>
  <c r="L92" i="138"/>
  <c r="E98" i="141" s="1"/>
  <c r="L93" i="138"/>
  <c r="E99" i="141" s="1"/>
  <c r="L94" i="138"/>
  <c r="E100" i="141" s="1"/>
  <c r="L96" i="138"/>
  <c r="E102" i="141" s="1"/>
  <c r="L97" i="138"/>
  <c r="E103" i="141" s="1"/>
  <c r="L98" i="138"/>
  <c r="E104" i="141" s="1"/>
  <c r="L99" i="138"/>
  <c r="E105" i="141" s="1"/>
  <c r="L101" i="138"/>
  <c r="E107" i="141" s="1"/>
  <c r="L102" i="138"/>
  <c r="E108" i="141" s="1"/>
  <c r="L103" i="138"/>
  <c r="E109" i="141" s="1"/>
  <c r="L105" i="138"/>
  <c r="E111" i="141" s="1"/>
  <c r="L106" i="138"/>
  <c r="E112" i="141" s="1"/>
  <c r="L107" i="138"/>
  <c r="E113" i="141" s="1"/>
  <c r="L108" i="138"/>
  <c r="E114" i="141" s="1"/>
  <c r="L109" i="138"/>
  <c r="E115" i="141" s="1"/>
  <c r="L111" i="138"/>
  <c r="E117" i="141" s="1"/>
  <c r="L112" i="138"/>
  <c r="E118" i="141" s="1"/>
  <c r="L113" i="138"/>
  <c r="E119" i="141" s="1"/>
  <c r="L114" i="138"/>
  <c r="E120" i="141" s="1"/>
  <c r="L116" i="138"/>
  <c r="E122" i="141" s="1"/>
  <c r="L117" i="138"/>
  <c r="E123" i="141" s="1"/>
  <c r="L118" i="138"/>
  <c r="E124" i="141" s="1"/>
  <c r="L119" i="138"/>
  <c r="E125" i="141" s="1"/>
  <c r="L120" i="138"/>
  <c r="E126" i="141" s="1"/>
  <c r="L121" i="138"/>
  <c r="E127" i="141" s="1"/>
  <c r="L122" i="138"/>
  <c r="E128" i="141" s="1"/>
  <c r="L123" i="138"/>
  <c r="E129" i="141" s="1"/>
  <c r="L125" i="138"/>
  <c r="E131" i="141" s="1"/>
  <c r="L126" i="138"/>
  <c r="E132" i="141" s="1"/>
  <c r="L127" i="138"/>
  <c r="E133" i="141" s="1"/>
  <c r="L128" i="138"/>
  <c r="E134" i="141" s="1"/>
  <c r="L129" i="138"/>
  <c r="E135" i="141" s="1"/>
  <c r="L131" i="138"/>
  <c r="E137" i="141" s="1"/>
  <c r="L132" i="138"/>
  <c r="E138" i="141" s="1"/>
  <c r="L133" i="138"/>
  <c r="E139" i="141" s="1"/>
  <c r="L135" i="138"/>
  <c r="E141" i="141" s="1"/>
  <c r="L136" i="138"/>
  <c r="E142" i="141" s="1"/>
  <c r="L137" i="138"/>
  <c r="E143" i="141" s="1"/>
  <c r="L138" i="138"/>
  <c r="E144" i="141" s="1"/>
  <c r="L139" i="138"/>
  <c r="E145" i="141" s="1"/>
  <c r="L140" i="138"/>
  <c r="E146" i="141" s="1"/>
  <c r="L141" i="138"/>
  <c r="E147" i="141" s="1"/>
  <c r="L142" i="138"/>
  <c r="E148" i="141" s="1"/>
  <c r="L143" i="138"/>
  <c r="E149" i="141" s="1"/>
  <c r="L144" i="138"/>
  <c r="E150" i="141" s="1"/>
  <c r="L145" i="138"/>
  <c r="E151" i="141" s="1"/>
  <c r="L146" i="138"/>
  <c r="E152" i="141" s="1"/>
  <c r="L147" i="138"/>
  <c r="E153" i="141" s="1"/>
  <c r="L148" i="138"/>
  <c r="E154" i="141" s="1"/>
  <c r="L149" i="138"/>
  <c r="E155" i="141" s="1"/>
  <c r="L150" i="138"/>
  <c r="E156" i="141" s="1"/>
  <c r="L151" i="138"/>
  <c r="E157" i="141" s="1"/>
  <c r="L153" i="138"/>
  <c r="E159" i="141" s="1"/>
  <c r="L154" i="138"/>
  <c r="E160" i="141" s="1"/>
  <c r="L155" i="138"/>
  <c r="E161" i="141" s="1"/>
  <c r="L156" i="138"/>
  <c r="E162" i="141" s="1"/>
  <c r="L157" i="138"/>
  <c r="E163" i="141" s="1"/>
  <c r="L159" i="138"/>
  <c r="E165" i="141" s="1"/>
  <c r="L160" i="138"/>
  <c r="E166" i="141" s="1"/>
  <c r="L162" i="138"/>
  <c r="E168" i="141" s="1"/>
  <c r="L163" i="138"/>
  <c r="E169" i="141" s="1"/>
  <c r="L165" i="138"/>
  <c r="E171" i="141" s="1"/>
  <c r="L166" i="138"/>
  <c r="E172" i="141" s="1"/>
  <c r="L167" i="138"/>
  <c r="E173" i="141" s="1"/>
  <c r="L168" i="138"/>
  <c r="E174" i="141" s="1"/>
  <c r="L169" i="138"/>
  <c r="E175" i="141" s="1"/>
  <c r="L170" i="138"/>
  <c r="E176" i="141" s="1"/>
  <c r="L171" i="138"/>
  <c r="E177" i="141" s="1"/>
  <c r="L173" i="138"/>
  <c r="E179" i="141" s="1"/>
  <c r="L174" i="138"/>
  <c r="E180" i="141" s="1"/>
  <c r="L175" i="138"/>
  <c r="E181" i="141" s="1"/>
  <c r="L176" i="138"/>
  <c r="E182" i="141" s="1"/>
  <c r="L177" i="138"/>
  <c r="E183" i="141" s="1"/>
  <c r="L178" i="138"/>
  <c r="E184" i="141" s="1"/>
  <c r="L179" i="138"/>
  <c r="E185" i="141" s="1"/>
  <c r="L181" i="138"/>
  <c r="E187" i="141" s="1"/>
  <c r="L182" i="138"/>
  <c r="E188" i="141" s="1"/>
  <c r="L183" i="138"/>
  <c r="E189" i="141" s="1"/>
  <c r="L184" i="138"/>
  <c r="E190" i="141" s="1"/>
  <c r="L185" i="138"/>
  <c r="E191" i="141" s="1"/>
  <c r="L186" i="138"/>
  <c r="E192" i="141" s="1"/>
  <c r="L188" i="138"/>
  <c r="E194" i="141" s="1"/>
  <c r="L189" i="138"/>
  <c r="E195" i="141" s="1"/>
  <c r="L190" i="138"/>
  <c r="E196" i="141" s="1"/>
  <c r="L191" i="138"/>
  <c r="E197" i="141" s="1"/>
  <c r="L192" i="138"/>
  <c r="E198" i="141" s="1"/>
  <c r="L193" i="138"/>
  <c r="E199" i="141" s="1"/>
  <c r="L195" i="138"/>
  <c r="E201" i="141" s="1"/>
  <c r="L196" i="138"/>
  <c r="E202" i="141" s="1"/>
  <c r="L197" i="138"/>
  <c r="E203" i="141" s="1"/>
  <c r="L198" i="138"/>
  <c r="E204" i="141" s="1"/>
  <c r="L199" i="138"/>
  <c r="E205" i="141" s="1"/>
  <c r="L200" i="138"/>
  <c r="E206" i="141" s="1"/>
  <c r="L201" i="138"/>
  <c r="E207" i="141" s="1"/>
  <c r="L202" i="138"/>
  <c r="E208" i="141" s="1"/>
  <c r="L203" i="138"/>
  <c r="E209" i="141" s="1"/>
  <c r="L205" i="138"/>
  <c r="E211" i="141" s="1"/>
  <c r="L206" i="138"/>
  <c r="E212" i="141" s="1"/>
  <c r="L207" i="138"/>
  <c r="E213" i="141" s="1"/>
  <c r="L208" i="138"/>
  <c r="E214" i="141" s="1"/>
  <c r="L209" i="138"/>
  <c r="E215" i="141" s="1"/>
  <c r="L210" i="138"/>
  <c r="E216" i="141" s="1"/>
  <c r="L212" i="138"/>
  <c r="E218" i="141" s="1"/>
  <c r="L213" i="138"/>
  <c r="E219" i="141" s="1"/>
  <c r="L214" i="138"/>
  <c r="E220" i="141" s="1"/>
  <c r="L216" i="138"/>
  <c r="E222" i="141" s="1"/>
  <c r="L217" i="138"/>
  <c r="E223" i="141" s="1"/>
  <c r="L218" i="138"/>
  <c r="E224" i="141" s="1"/>
  <c r="L220" i="138"/>
  <c r="E226" i="141" s="1"/>
  <c r="L221" i="138"/>
  <c r="E227" i="141" s="1"/>
  <c r="L222" i="138"/>
  <c r="E228" i="141" s="1"/>
  <c r="L223" i="138"/>
  <c r="E229" i="141" s="1"/>
  <c r="L224" i="138"/>
  <c r="E230" i="141" s="1"/>
  <c r="L225" i="138"/>
  <c r="E231" i="141" s="1"/>
  <c r="L226" i="138"/>
  <c r="E232" i="141" s="1"/>
  <c r="L227" i="138"/>
  <c r="E233" i="141" s="1"/>
  <c r="L229" i="138"/>
  <c r="E235" i="141" s="1"/>
  <c r="L230" i="138"/>
  <c r="E236" i="141" s="1"/>
  <c r="L231" i="138"/>
  <c r="E237" i="141" s="1"/>
  <c r="L232" i="138"/>
  <c r="E238" i="141" s="1"/>
  <c r="L233" i="138"/>
  <c r="E239" i="141" s="1"/>
  <c r="L234" i="138"/>
  <c r="E240" i="141" s="1"/>
  <c r="L236" i="138"/>
  <c r="E242" i="141" s="1"/>
  <c r="L237" i="138"/>
  <c r="E243" i="141" s="1"/>
  <c r="L238" i="138"/>
  <c r="E244" i="141" s="1"/>
  <c r="L239" i="138"/>
  <c r="E245" i="141" s="1"/>
  <c r="L240" i="138"/>
  <c r="E246" i="141" s="1"/>
  <c r="L241" i="138"/>
  <c r="E247" i="141" s="1"/>
  <c r="L242" i="138"/>
  <c r="E248" i="141" s="1"/>
  <c r="L243" i="138"/>
  <c r="E249" i="141" s="1"/>
  <c r="L244" i="138"/>
  <c r="E250" i="141" s="1"/>
  <c r="L245" i="138"/>
  <c r="E251" i="141" s="1"/>
  <c r="L246" i="138"/>
  <c r="E252" i="141" s="1"/>
  <c r="L247" i="138"/>
  <c r="E253" i="141" s="1"/>
  <c r="L248" i="138"/>
  <c r="E254" i="141" s="1"/>
  <c r="L250" i="138"/>
  <c r="E256" i="141" s="1"/>
  <c r="L251" i="138"/>
  <c r="E257" i="141" s="1"/>
  <c r="L252" i="138"/>
  <c r="E258" i="141" s="1"/>
  <c r="L253" i="138"/>
  <c r="E259" i="141" s="1"/>
  <c r="L254" i="138"/>
  <c r="E260" i="141" s="1"/>
  <c r="L255" i="138"/>
  <c r="E261" i="141" s="1"/>
  <c r="L256" i="138"/>
  <c r="E262" i="141" s="1"/>
  <c r="L258" i="138"/>
  <c r="E264" i="141" s="1"/>
  <c r="L259" i="138"/>
  <c r="E265" i="141" s="1"/>
  <c r="L260" i="138"/>
  <c r="E266" i="141" s="1"/>
  <c r="K4" i="138"/>
  <c r="D10" i="141" s="1"/>
  <c r="K5" i="138"/>
  <c r="D11" i="141" s="1"/>
  <c r="K6" i="138"/>
  <c r="D12" i="141" s="1"/>
  <c r="K7" i="138"/>
  <c r="D13" i="141" s="1"/>
  <c r="K8" i="138"/>
  <c r="D14" i="141" s="1"/>
  <c r="K9" i="138"/>
  <c r="D15" i="141" s="1"/>
  <c r="K10" i="138"/>
  <c r="D16" i="141" s="1"/>
  <c r="K11" i="138"/>
  <c r="D17" i="141" s="1"/>
  <c r="K12" i="138"/>
  <c r="D18" i="141" s="1"/>
  <c r="K14" i="138"/>
  <c r="D20" i="141" s="1"/>
  <c r="K15" i="138"/>
  <c r="D21" i="141" s="1"/>
  <c r="K17" i="138"/>
  <c r="D23" i="141" s="1"/>
  <c r="K18" i="138"/>
  <c r="D24" i="141" s="1"/>
  <c r="K19" i="138"/>
  <c r="D25" i="141" s="1"/>
  <c r="K21" i="138"/>
  <c r="D27" i="141" s="1"/>
  <c r="K22" i="138"/>
  <c r="D28" i="141" s="1"/>
  <c r="K24" i="138"/>
  <c r="D30" i="141" s="1"/>
  <c r="K25" i="138"/>
  <c r="D31" i="141" s="1"/>
  <c r="K26" i="138"/>
  <c r="D32" i="141" s="1"/>
  <c r="K27" i="138"/>
  <c r="D33" i="141" s="1"/>
  <c r="K28" i="138"/>
  <c r="D34" i="141" s="1"/>
  <c r="K29" i="138"/>
  <c r="D35" i="141" s="1"/>
  <c r="K30" i="138"/>
  <c r="D36" i="141" s="1"/>
  <c r="K31" i="138"/>
  <c r="D37" i="141" s="1"/>
  <c r="K32" i="138"/>
  <c r="D38" i="141" s="1"/>
  <c r="K33" i="138"/>
  <c r="D39" i="141" s="1"/>
  <c r="K34" i="138"/>
  <c r="D40" i="141" s="1"/>
  <c r="K35" i="138"/>
  <c r="D41" i="141" s="1"/>
  <c r="K36" i="138"/>
  <c r="D42" i="141" s="1"/>
  <c r="K38" i="138"/>
  <c r="D44" i="141" s="1"/>
  <c r="K39" i="138"/>
  <c r="D45" i="141" s="1"/>
  <c r="K40" i="138"/>
  <c r="D46" i="141" s="1"/>
  <c r="K41" i="138"/>
  <c r="D47" i="141" s="1"/>
  <c r="K42" i="138"/>
  <c r="D48" i="141" s="1"/>
  <c r="K44" i="138"/>
  <c r="D50" i="141" s="1"/>
  <c r="K45" i="138"/>
  <c r="D51" i="141" s="1"/>
  <c r="K46" i="138"/>
  <c r="D52" i="141" s="1"/>
  <c r="K48" i="138"/>
  <c r="D54" i="141" s="1"/>
  <c r="K49" i="138"/>
  <c r="D55" i="141" s="1"/>
  <c r="K51" i="138"/>
  <c r="D57" i="141" s="1"/>
  <c r="K52" i="138"/>
  <c r="D58" i="141" s="1"/>
  <c r="K53" i="138"/>
  <c r="D59" i="141" s="1"/>
  <c r="K55" i="138"/>
  <c r="D61" i="141" s="1"/>
  <c r="K56" i="138"/>
  <c r="D62" i="141" s="1"/>
  <c r="K57" i="138"/>
  <c r="D63" i="141" s="1"/>
  <c r="K58" i="138"/>
  <c r="D64" i="141" s="1"/>
  <c r="K59" i="138"/>
  <c r="D65" i="141" s="1"/>
  <c r="K60" i="138"/>
  <c r="D66" i="141" s="1"/>
  <c r="K61" i="138"/>
  <c r="D67" i="141" s="1"/>
  <c r="K62" i="138"/>
  <c r="D68" i="141" s="1"/>
  <c r="K63" i="138"/>
  <c r="D69" i="141" s="1"/>
  <c r="K64" i="138"/>
  <c r="D70" i="141" s="1"/>
  <c r="K66" i="138"/>
  <c r="D72" i="141" s="1"/>
  <c r="K67" i="138"/>
  <c r="D73" i="141" s="1"/>
  <c r="K68" i="138"/>
  <c r="D74" i="141" s="1"/>
  <c r="K69" i="138"/>
  <c r="D75" i="141" s="1"/>
  <c r="K71" i="138"/>
  <c r="D77" i="141" s="1"/>
  <c r="K72" i="138"/>
  <c r="D78" i="141" s="1"/>
  <c r="K74" i="138"/>
  <c r="D80" i="141" s="1"/>
  <c r="K75" i="138"/>
  <c r="D81" i="141" s="1"/>
  <c r="K76" i="138"/>
  <c r="D82" i="141" s="1"/>
  <c r="K77" i="138"/>
  <c r="D83" i="141" s="1"/>
  <c r="K78" i="138"/>
  <c r="D84" i="141" s="1"/>
  <c r="K79" i="138"/>
  <c r="D85" i="141" s="1"/>
  <c r="K80" i="138"/>
  <c r="D86" i="141" s="1"/>
  <c r="K81" i="138"/>
  <c r="D87" i="141" s="1"/>
  <c r="K83" i="138"/>
  <c r="D89" i="141" s="1"/>
  <c r="K84" i="138"/>
  <c r="D90" i="141" s="1"/>
  <c r="K85" i="138"/>
  <c r="D91" i="141" s="1"/>
  <c r="K86" i="138"/>
  <c r="D92" i="141" s="1"/>
  <c r="K88" i="138"/>
  <c r="D94" i="141" s="1"/>
  <c r="K90" i="138"/>
  <c r="D96" i="141" s="1"/>
  <c r="K92" i="138"/>
  <c r="D98" i="141" s="1"/>
  <c r="K93" i="138"/>
  <c r="D99" i="141" s="1"/>
  <c r="K94" i="138"/>
  <c r="D100" i="141" s="1"/>
  <c r="K96" i="138"/>
  <c r="D102" i="141" s="1"/>
  <c r="K97" i="138"/>
  <c r="D103" i="141" s="1"/>
  <c r="K98" i="138"/>
  <c r="D104" i="141" s="1"/>
  <c r="K99" i="138"/>
  <c r="D105" i="141" s="1"/>
  <c r="K101" i="138"/>
  <c r="D107" i="141" s="1"/>
  <c r="K102" i="138"/>
  <c r="D108" i="141" s="1"/>
  <c r="K103" i="138"/>
  <c r="D109" i="141" s="1"/>
  <c r="K105" i="138"/>
  <c r="D111" i="141" s="1"/>
  <c r="K106" i="138"/>
  <c r="D112" i="141" s="1"/>
  <c r="K107" i="138"/>
  <c r="D113" i="141" s="1"/>
  <c r="K108" i="138"/>
  <c r="D114" i="141" s="1"/>
  <c r="K109" i="138"/>
  <c r="D115" i="141" s="1"/>
  <c r="K111" i="138"/>
  <c r="D117" i="141" s="1"/>
  <c r="K112" i="138"/>
  <c r="D118" i="141" s="1"/>
  <c r="K113" i="138"/>
  <c r="D119" i="141" s="1"/>
  <c r="K114" i="138"/>
  <c r="D120" i="141" s="1"/>
  <c r="K116" i="138"/>
  <c r="D122" i="141" s="1"/>
  <c r="K117" i="138"/>
  <c r="D123" i="141" s="1"/>
  <c r="K118" i="138"/>
  <c r="D124" i="141" s="1"/>
  <c r="K119" i="138"/>
  <c r="D125" i="141" s="1"/>
  <c r="K120" i="138"/>
  <c r="D126" i="141" s="1"/>
  <c r="K121" i="138"/>
  <c r="D127" i="141" s="1"/>
  <c r="K122" i="138"/>
  <c r="D128" i="141" s="1"/>
  <c r="K123" i="138"/>
  <c r="D129" i="141" s="1"/>
  <c r="K125" i="138"/>
  <c r="D131" i="141" s="1"/>
  <c r="K126" i="138"/>
  <c r="D132" i="141" s="1"/>
  <c r="K127" i="138"/>
  <c r="D133" i="141" s="1"/>
  <c r="K128" i="138"/>
  <c r="D134" i="141" s="1"/>
  <c r="K129" i="138"/>
  <c r="D135" i="141" s="1"/>
  <c r="K131" i="138"/>
  <c r="D137" i="141" s="1"/>
  <c r="K132" i="138"/>
  <c r="D138" i="141" s="1"/>
  <c r="K133" i="138"/>
  <c r="D139" i="141" s="1"/>
  <c r="K135" i="138"/>
  <c r="D141" i="141" s="1"/>
  <c r="K136" i="138"/>
  <c r="D142" i="141" s="1"/>
  <c r="K137" i="138"/>
  <c r="D143" i="141" s="1"/>
  <c r="K138" i="138"/>
  <c r="D144" i="141" s="1"/>
  <c r="K139" i="138"/>
  <c r="D145" i="141" s="1"/>
  <c r="K140" i="138"/>
  <c r="D146" i="141" s="1"/>
  <c r="K141" i="138"/>
  <c r="D147" i="141" s="1"/>
  <c r="K142" i="138"/>
  <c r="D148" i="141" s="1"/>
  <c r="K143" i="138"/>
  <c r="D149" i="141" s="1"/>
  <c r="K144" i="138"/>
  <c r="D150" i="141" s="1"/>
  <c r="K145" i="138"/>
  <c r="D151" i="141" s="1"/>
  <c r="K146" i="138"/>
  <c r="D152" i="141" s="1"/>
  <c r="K147" i="138"/>
  <c r="D153" i="141" s="1"/>
  <c r="K148" i="138"/>
  <c r="D154" i="141" s="1"/>
  <c r="K149" i="138"/>
  <c r="D155" i="141" s="1"/>
  <c r="K150" i="138"/>
  <c r="D156" i="141" s="1"/>
  <c r="K151" i="138"/>
  <c r="D157" i="141" s="1"/>
  <c r="K153" i="138"/>
  <c r="D159" i="141" s="1"/>
  <c r="K154" i="138"/>
  <c r="D160" i="141" s="1"/>
  <c r="K155" i="138"/>
  <c r="D161" i="141" s="1"/>
  <c r="K156" i="138"/>
  <c r="D162" i="141" s="1"/>
  <c r="K157" i="138"/>
  <c r="D163" i="141" s="1"/>
  <c r="K159" i="138"/>
  <c r="D165" i="141" s="1"/>
  <c r="K160" i="138"/>
  <c r="D166" i="141" s="1"/>
  <c r="K162" i="138"/>
  <c r="D168" i="141" s="1"/>
  <c r="K163" i="138"/>
  <c r="D169" i="141" s="1"/>
  <c r="K165" i="138"/>
  <c r="D171" i="141" s="1"/>
  <c r="K166" i="138"/>
  <c r="D172" i="141" s="1"/>
  <c r="K167" i="138"/>
  <c r="D173" i="141" s="1"/>
  <c r="K168" i="138"/>
  <c r="D174" i="141" s="1"/>
  <c r="K169" i="138"/>
  <c r="D175" i="141" s="1"/>
  <c r="K170" i="138"/>
  <c r="D176" i="141" s="1"/>
  <c r="K171" i="138"/>
  <c r="D177" i="141" s="1"/>
  <c r="K173" i="138"/>
  <c r="D179" i="141" s="1"/>
  <c r="K174" i="138"/>
  <c r="D180" i="141" s="1"/>
  <c r="K175" i="138"/>
  <c r="D181" i="141" s="1"/>
  <c r="K176" i="138"/>
  <c r="D182" i="141" s="1"/>
  <c r="K177" i="138"/>
  <c r="D183" i="141" s="1"/>
  <c r="K178" i="138"/>
  <c r="D184" i="141" s="1"/>
  <c r="K179" i="138"/>
  <c r="D185" i="141" s="1"/>
  <c r="K181" i="138"/>
  <c r="D187" i="141" s="1"/>
  <c r="K182" i="138"/>
  <c r="D188" i="141" s="1"/>
  <c r="K183" i="138"/>
  <c r="D189" i="141" s="1"/>
  <c r="K184" i="138"/>
  <c r="D190" i="141" s="1"/>
  <c r="K185" i="138"/>
  <c r="D191" i="141" s="1"/>
  <c r="K186" i="138"/>
  <c r="D192" i="141" s="1"/>
  <c r="K188" i="138"/>
  <c r="D194" i="141" s="1"/>
  <c r="K189" i="138"/>
  <c r="D195" i="141" s="1"/>
  <c r="K190" i="138"/>
  <c r="D196" i="141" s="1"/>
  <c r="K191" i="138"/>
  <c r="D197" i="141" s="1"/>
  <c r="K192" i="138"/>
  <c r="D198" i="141" s="1"/>
  <c r="K193" i="138"/>
  <c r="D199" i="141" s="1"/>
  <c r="K195" i="138"/>
  <c r="D201" i="141" s="1"/>
  <c r="K196" i="138"/>
  <c r="D202" i="141" s="1"/>
  <c r="K197" i="138"/>
  <c r="D203" i="141" s="1"/>
  <c r="K198" i="138"/>
  <c r="D204" i="141" s="1"/>
  <c r="K199" i="138"/>
  <c r="D205" i="141" s="1"/>
  <c r="K200" i="138"/>
  <c r="D206" i="141" s="1"/>
  <c r="K201" i="138"/>
  <c r="D207" i="141" s="1"/>
  <c r="K202" i="138"/>
  <c r="D208" i="141" s="1"/>
  <c r="K203" i="138"/>
  <c r="D209" i="141" s="1"/>
  <c r="K205" i="138"/>
  <c r="D211" i="141" s="1"/>
  <c r="K206" i="138"/>
  <c r="D212" i="141" s="1"/>
  <c r="K207" i="138"/>
  <c r="D213" i="141" s="1"/>
  <c r="K208" i="138"/>
  <c r="D214" i="141" s="1"/>
  <c r="K209" i="138"/>
  <c r="D215" i="141" s="1"/>
  <c r="K210" i="138"/>
  <c r="D216" i="141" s="1"/>
  <c r="K212" i="138"/>
  <c r="D218" i="141" s="1"/>
  <c r="K213" i="138"/>
  <c r="D219" i="141" s="1"/>
  <c r="K214" i="138"/>
  <c r="D220" i="141" s="1"/>
  <c r="K216" i="138"/>
  <c r="D222" i="141" s="1"/>
  <c r="K217" i="138"/>
  <c r="D223" i="141" s="1"/>
  <c r="K218" i="138"/>
  <c r="D224" i="141" s="1"/>
  <c r="K220" i="138"/>
  <c r="D226" i="141" s="1"/>
  <c r="K221" i="138"/>
  <c r="D227" i="141" s="1"/>
  <c r="K222" i="138"/>
  <c r="D228" i="141" s="1"/>
  <c r="K223" i="138"/>
  <c r="D229" i="141" s="1"/>
  <c r="K224" i="138"/>
  <c r="D230" i="141" s="1"/>
  <c r="K225" i="138"/>
  <c r="D231" i="141" s="1"/>
  <c r="K226" i="138"/>
  <c r="D232" i="141" s="1"/>
  <c r="K227" i="138"/>
  <c r="D233" i="141" s="1"/>
  <c r="K229" i="138"/>
  <c r="D235" i="141" s="1"/>
  <c r="K230" i="138"/>
  <c r="D236" i="141" s="1"/>
  <c r="K231" i="138"/>
  <c r="D237" i="141" s="1"/>
  <c r="K232" i="138"/>
  <c r="D238" i="141" s="1"/>
  <c r="K233" i="138"/>
  <c r="D239" i="141" s="1"/>
  <c r="K234" i="138"/>
  <c r="D240" i="141" s="1"/>
  <c r="K236" i="138"/>
  <c r="D242" i="141" s="1"/>
  <c r="K237" i="138"/>
  <c r="D243" i="141" s="1"/>
  <c r="K238" i="138"/>
  <c r="D244" i="141" s="1"/>
  <c r="K239" i="138"/>
  <c r="D245" i="141" s="1"/>
  <c r="K240" i="138"/>
  <c r="D246" i="141" s="1"/>
  <c r="K241" i="138"/>
  <c r="D247" i="141" s="1"/>
  <c r="K242" i="138"/>
  <c r="D248" i="141" s="1"/>
  <c r="K243" i="138"/>
  <c r="D249" i="141" s="1"/>
  <c r="K244" i="138"/>
  <c r="D250" i="141" s="1"/>
  <c r="K245" i="138"/>
  <c r="D251" i="141" s="1"/>
  <c r="K246" i="138"/>
  <c r="D252" i="141" s="1"/>
  <c r="K247" i="138"/>
  <c r="D253" i="141" s="1"/>
  <c r="K248" i="138"/>
  <c r="D254" i="141" s="1"/>
  <c r="K250" i="138"/>
  <c r="D256" i="141" s="1"/>
  <c r="K251" i="138"/>
  <c r="D257" i="141" s="1"/>
  <c r="K252" i="138"/>
  <c r="D258" i="141" s="1"/>
  <c r="K253" i="138"/>
  <c r="D259" i="141" s="1"/>
  <c r="K254" i="138"/>
  <c r="D260" i="141" s="1"/>
  <c r="K255" i="138"/>
  <c r="D261" i="141" s="1"/>
  <c r="K256" i="138"/>
  <c r="D262" i="141" s="1"/>
  <c r="K258" i="138"/>
  <c r="D264" i="141" s="1"/>
  <c r="K259" i="138"/>
  <c r="D265" i="141" s="1"/>
  <c r="K260" i="138"/>
  <c r="D266" i="141" s="1"/>
  <c r="K3" i="138"/>
  <c r="D9" i="141" s="1"/>
  <c r="L3" i="138"/>
  <c r="E9" i="141" s="1"/>
  <c r="J4" i="138"/>
  <c r="J5" i="138"/>
  <c r="J6" i="138"/>
  <c r="J7" i="138"/>
  <c r="C13" i="141" s="1"/>
  <c r="J8" i="138"/>
  <c r="C14" i="141" s="1"/>
  <c r="J9" i="138"/>
  <c r="C15" i="141" s="1"/>
  <c r="J10" i="138"/>
  <c r="C16" i="141" s="1"/>
  <c r="J11" i="138"/>
  <c r="C17" i="141" s="1"/>
  <c r="J12" i="138"/>
  <c r="C18" i="141" s="1"/>
  <c r="J14" i="138"/>
  <c r="C20" i="141" s="1"/>
  <c r="J15" i="138"/>
  <c r="C21" i="141" s="1"/>
  <c r="J17" i="138"/>
  <c r="C23" i="141" s="1"/>
  <c r="J18" i="138"/>
  <c r="C24" i="141" s="1"/>
  <c r="J19" i="138"/>
  <c r="C25" i="141" s="1"/>
  <c r="J21" i="138"/>
  <c r="C27" i="141" s="1"/>
  <c r="J22" i="138"/>
  <c r="C28" i="141" s="1"/>
  <c r="J24" i="138"/>
  <c r="C30" i="141" s="1"/>
  <c r="J25" i="138"/>
  <c r="C31" i="141" s="1"/>
  <c r="J26" i="138"/>
  <c r="C32" i="141" s="1"/>
  <c r="J27" i="138"/>
  <c r="C33" i="141" s="1"/>
  <c r="J28" i="138"/>
  <c r="C34" i="141" s="1"/>
  <c r="J29" i="138"/>
  <c r="C35" i="141" s="1"/>
  <c r="J30" i="138"/>
  <c r="C36" i="141" s="1"/>
  <c r="J31" i="138"/>
  <c r="C37" i="141" s="1"/>
  <c r="J32" i="138"/>
  <c r="C38" i="141" s="1"/>
  <c r="J33" i="138"/>
  <c r="C39" i="141" s="1"/>
  <c r="J34" i="138"/>
  <c r="C40" i="141" s="1"/>
  <c r="J35" i="138"/>
  <c r="C41" i="141" s="1"/>
  <c r="J36" i="138"/>
  <c r="C42" i="141" s="1"/>
  <c r="J38" i="138"/>
  <c r="C44" i="141" s="1"/>
  <c r="J39" i="138"/>
  <c r="C45" i="141" s="1"/>
  <c r="J40" i="138"/>
  <c r="C46" i="141" s="1"/>
  <c r="J41" i="138"/>
  <c r="C47" i="141" s="1"/>
  <c r="J42" i="138"/>
  <c r="C48" i="141" s="1"/>
  <c r="J44" i="138"/>
  <c r="C50" i="141" s="1"/>
  <c r="J45" i="138"/>
  <c r="C51" i="141" s="1"/>
  <c r="J46" i="138"/>
  <c r="C52" i="141" s="1"/>
  <c r="J48" i="138"/>
  <c r="C54" i="141" s="1"/>
  <c r="J49" i="138"/>
  <c r="C55" i="141" s="1"/>
  <c r="J51" i="138"/>
  <c r="C57" i="141" s="1"/>
  <c r="J52" i="138"/>
  <c r="C58" i="141" s="1"/>
  <c r="J53" i="138"/>
  <c r="C59" i="141" s="1"/>
  <c r="J55" i="138"/>
  <c r="C61" i="141" s="1"/>
  <c r="J56" i="138"/>
  <c r="C62" i="141" s="1"/>
  <c r="J57" i="138"/>
  <c r="C63" i="141" s="1"/>
  <c r="J58" i="138"/>
  <c r="C64" i="141" s="1"/>
  <c r="J59" i="138"/>
  <c r="C65" i="141" s="1"/>
  <c r="J60" i="138"/>
  <c r="C66" i="141" s="1"/>
  <c r="J61" i="138"/>
  <c r="C67" i="141" s="1"/>
  <c r="J62" i="138"/>
  <c r="C68" i="141" s="1"/>
  <c r="J63" i="138"/>
  <c r="C69" i="141" s="1"/>
  <c r="J64" i="138"/>
  <c r="C70" i="141" s="1"/>
  <c r="J66" i="138"/>
  <c r="C72" i="141" s="1"/>
  <c r="J67" i="138"/>
  <c r="C73" i="141" s="1"/>
  <c r="J68" i="138"/>
  <c r="C74" i="141" s="1"/>
  <c r="J69" i="138"/>
  <c r="C75" i="141" s="1"/>
  <c r="J71" i="138"/>
  <c r="C77" i="141" s="1"/>
  <c r="J72" i="138"/>
  <c r="C78" i="141" s="1"/>
  <c r="J74" i="138"/>
  <c r="C80" i="141" s="1"/>
  <c r="J75" i="138"/>
  <c r="C81" i="141" s="1"/>
  <c r="J76" i="138"/>
  <c r="C82" i="141" s="1"/>
  <c r="J77" i="138"/>
  <c r="C83" i="141" s="1"/>
  <c r="J78" i="138"/>
  <c r="C84" i="141" s="1"/>
  <c r="J79" i="138"/>
  <c r="C85" i="141" s="1"/>
  <c r="J80" i="138"/>
  <c r="C86" i="141" s="1"/>
  <c r="J81" i="138"/>
  <c r="C87" i="141" s="1"/>
  <c r="J83" i="138"/>
  <c r="C89" i="141" s="1"/>
  <c r="J84" i="138"/>
  <c r="C90" i="141" s="1"/>
  <c r="J85" i="138"/>
  <c r="C91" i="141" s="1"/>
  <c r="J86" i="138"/>
  <c r="C92" i="141" s="1"/>
  <c r="J88" i="138"/>
  <c r="C94" i="141" s="1"/>
  <c r="J90" i="138"/>
  <c r="C96" i="141" s="1"/>
  <c r="J92" i="138"/>
  <c r="C98" i="141" s="1"/>
  <c r="J93" i="138"/>
  <c r="C99" i="141" s="1"/>
  <c r="J94" i="138"/>
  <c r="C100" i="141" s="1"/>
  <c r="J96" i="138"/>
  <c r="C102" i="141" s="1"/>
  <c r="J97" i="138"/>
  <c r="C103" i="141" s="1"/>
  <c r="J98" i="138"/>
  <c r="C104" i="141" s="1"/>
  <c r="J99" i="138"/>
  <c r="C105" i="141" s="1"/>
  <c r="J101" i="138"/>
  <c r="C107" i="141" s="1"/>
  <c r="J102" i="138"/>
  <c r="C108" i="141" s="1"/>
  <c r="J103" i="138"/>
  <c r="C109" i="141" s="1"/>
  <c r="J105" i="138"/>
  <c r="C111" i="141" s="1"/>
  <c r="J106" i="138"/>
  <c r="C112" i="141" s="1"/>
  <c r="J107" i="138"/>
  <c r="C113" i="141" s="1"/>
  <c r="J108" i="138"/>
  <c r="C114" i="141" s="1"/>
  <c r="J109" i="138"/>
  <c r="C115" i="141" s="1"/>
  <c r="J111" i="138"/>
  <c r="C117" i="141" s="1"/>
  <c r="J112" i="138"/>
  <c r="C118" i="141" s="1"/>
  <c r="J113" i="138"/>
  <c r="C119" i="141" s="1"/>
  <c r="J114" i="138"/>
  <c r="C120" i="141" s="1"/>
  <c r="J116" i="138"/>
  <c r="C122" i="141" s="1"/>
  <c r="J117" i="138"/>
  <c r="C123" i="141" s="1"/>
  <c r="J118" i="138"/>
  <c r="C124" i="141" s="1"/>
  <c r="J119" i="138"/>
  <c r="C125" i="141" s="1"/>
  <c r="J120" i="138"/>
  <c r="C126" i="141" s="1"/>
  <c r="J121" i="138"/>
  <c r="C127" i="141" s="1"/>
  <c r="J122" i="138"/>
  <c r="C128" i="141" s="1"/>
  <c r="J123" i="138"/>
  <c r="C129" i="141" s="1"/>
  <c r="J125" i="138"/>
  <c r="C131" i="141" s="1"/>
  <c r="J126" i="138"/>
  <c r="C132" i="141" s="1"/>
  <c r="J127" i="138"/>
  <c r="C133" i="141" s="1"/>
  <c r="J128" i="138"/>
  <c r="C134" i="141" s="1"/>
  <c r="J129" i="138"/>
  <c r="C135" i="141" s="1"/>
  <c r="J131" i="138"/>
  <c r="C137" i="141" s="1"/>
  <c r="J132" i="138"/>
  <c r="C138" i="141" s="1"/>
  <c r="J133" i="138"/>
  <c r="C139" i="141" s="1"/>
  <c r="J135" i="138"/>
  <c r="C141" i="141" s="1"/>
  <c r="J136" i="138"/>
  <c r="C142" i="141" s="1"/>
  <c r="J137" i="138"/>
  <c r="C143" i="141" s="1"/>
  <c r="J138" i="138"/>
  <c r="C144" i="141" s="1"/>
  <c r="J139" i="138"/>
  <c r="C145" i="141" s="1"/>
  <c r="J140" i="138"/>
  <c r="C146" i="141" s="1"/>
  <c r="J141" i="138"/>
  <c r="C147" i="141" s="1"/>
  <c r="J142" i="138"/>
  <c r="C148" i="141" s="1"/>
  <c r="J143" i="138"/>
  <c r="C149" i="141" s="1"/>
  <c r="J144" i="138"/>
  <c r="C150" i="141" s="1"/>
  <c r="J145" i="138"/>
  <c r="C151" i="141" s="1"/>
  <c r="J146" i="138"/>
  <c r="C152" i="141" s="1"/>
  <c r="J147" i="138"/>
  <c r="C153" i="141" s="1"/>
  <c r="J148" i="138"/>
  <c r="C154" i="141" s="1"/>
  <c r="J149" i="138"/>
  <c r="C155" i="141" s="1"/>
  <c r="J150" i="138"/>
  <c r="C156" i="141" s="1"/>
  <c r="J151" i="138"/>
  <c r="C157" i="141" s="1"/>
  <c r="J153" i="138"/>
  <c r="C159" i="141" s="1"/>
  <c r="J154" i="138"/>
  <c r="C160" i="141" s="1"/>
  <c r="J155" i="138"/>
  <c r="C161" i="141" s="1"/>
  <c r="J156" i="138"/>
  <c r="C162" i="141" s="1"/>
  <c r="J157" i="138"/>
  <c r="C163" i="141" s="1"/>
  <c r="J159" i="138"/>
  <c r="C165" i="141" s="1"/>
  <c r="J160" i="138"/>
  <c r="C166" i="141" s="1"/>
  <c r="J162" i="138"/>
  <c r="C168" i="141" s="1"/>
  <c r="J163" i="138"/>
  <c r="C169" i="141" s="1"/>
  <c r="J165" i="138"/>
  <c r="C171" i="141" s="1"/>
  <c r="J166" i="138"/>
  <c r="C172" i="141" s="1"/>
  <c r="J167" i="138"/>
  <c r="C173" i="141" s="1"/>
  <c r="J168" i="138"/>
  <c r="C174" i="141" s="1"/>
  <c r="J169" i="138"/>
  <c r="C175" i="141" s="1"/>
  <c r="J170" i="138"/>
  <c r="C176" i="141" s="1"/>
  <c r="J171" i="138"/>
  <c r="C177" i="141" s="1"/>
  <c r="J173" i="138"/>
  <c r="C179" i="141" s="1"/>
  <c r="J174" i="138"/>
  <c r="C180" i="141" s="1"/>
  <c r="J175" i="138"/>
  <c r="C181" i="141" s="1"/>
  <c r="J176" i="138"/>
  <c r="C182" i="141" s="1"/>
  <c r="J177" i="138"/>
  <c r="C183" i="141" s="1"/>
  <c r="J178" i="138"/>
  <c r="C184" i="141" s="1"/>
  <c r="J179" i="138"/>
  <c r="C185" i="141" s="1"/>
  <c r="J181" i="138"/>
  <c r="C187" i="141" s="1"/>
  <c r="J182" i="138"/>
  <c r="C188" i="141" s="1"/>
  <c r="J183" i="138"/>
  <c r="C189" i="141" s="1"/>
  <c r="J184" i="138"/>
  <c r="C190" i="141" s="1"/>
  <c r="J185" i="138"/>
  <c r="C191" i="141" s="1"/>
  <c r="J186" i="138"/>
  <c r="C192" i="141" s="1"/>
  <c r="J188" i="138"/>
  <c r="C194" i="141" s="1"/>
  <c r="J189" i="138"/>
  <c r="C195" i="141" s="1"/>
  <c r="J190" i="138"/>
  <c r="C196" i="141" s="1"/>
  <c r="J191" i="138"/>
  <c r="C197" i="141" s="1"/>
  <c r="J192" i="138"/>
  <c r="C198" i="141" s="1"/>
  <c r="J193" i="138"/>
  <c r="C199" i="141" s="1"/>
  <c r="J195" i="138"/>
  <c r="C201" i="141" s="1"/>
  <c r="J196" i="138"/>
  <c r="C202" i="141" s="1"/>
  <c r="J197" i="138"/>
  <c r="C203" i="141" s="1"/>
  <c r="J198" i="138"/>
  <c r="C204" i="141" s="1"/>
  <c r="J199" i="138"/>
  <c r="C205" i="141" s="1"/>
  <c r="J200" i="138"/>
  <c r="C206" i="141" s="1"/>
  <c r="J201" i="138"/>
  <c r="C207" i="141" s="1"/>
  <c r="J202" i="138"/>
  <c r="C208" i="141" s="1"/>
  <c r="J203" i="138"/>
  <c r="C209" i="141" s="1"/>
  <c r="J205" i="138"/>
  <c r="C211" i="141" s="1"/>
  <c r="J206" i="138"/>
  <c r="C212" i="141" s="1"/>
  <c r="J207" i="138"/>
  <c r="C213" i="141" s="1"/>
  <c r="J208" i="138"/>
  <c r="C214" i="141" s="1"/>
  <c r="J209" i="138"/>
  <c r="C215" i="141" s="1"/>
  <c r="J210" i="138"/>
  <c r="C216" i="141" s="1"/>
  <c r="J212" i="138"/>
  <c r="C218" i="141" s="1"/>
  <c r="J213" i="138"/>
  <c r="C219" i="141" s="1"/>
  <c r="J214" i="138"/>
  <c r="C220" i="141" s="1"/>
  <c r="J216" i="138"/>
  <c r="C222" i="141" s="1"/>
  <c r="J217" i="138"/>
  <c r="C223" i="141" s="1"/>
  <c r="J218" i="138"/>
  <c r="C224" i="141" s="1"/>
  <c r="J220" i="138"/>
  <c r="C226" i="141" s="1"/>
  <c r="J221" i="138"/>
  <c r="C227" i="141" s="1"/>
  <c r="J222" i="138"/>
  <c r="C228" i="141" s="1"/>
  <c r="J223" i="138"/>
  <c r="C229" i="141" s="1"/>
  <c r="J224" i="138"/>
  <c r="C230" i="141" s="1"/>
  <c r="J225" i="138"/>
  <c r="C231" i="141" s="1"/>
  <c r="J226" i="138"/>
  <c r="C232" i="141" s="1"/>
  <c r="J227" i="138"/>
  <c r="C233" i="141" s="1"/>
  <c r="J229" i="138"/>
  <c r="C235" i="141" s="1"/>
  <c r="J230" i="138"/>
  <c r="C236" i="141" s="1"/>
  <c r="J231" i="138"/>
  <c r="C237" i="141" s="1"/>
  <c r="J232" i="138"/>
  <c r="C238" i="141" s="1"/>
  <c r="J233" i="138"/>
  <c r="C239" i="141" s="1"/>
  <c r="J234" i="138"/>
  <c r="C240" i="141" s="1"/>
  <c r="J236" i="138"/>
  <c r="C242" i="141" s="1"/>
  <c r="J237" i="138"/>
  <c r="C243" i="141" s="1"/>
  <c r="J238" i="138"/>
  <c r="C244" i="141" s="1"/>
  <c r="J239" i="138"/>
  <c r="C245" i="141" s="1"/>
  <c r="J240" i="138"/>
  <c r="C246" i="141" s="1"/>
  <c r="J241" i="138"/>
  <c r="C247" i="141" s="1"/>
  <c r="J242" i="138"/>
  <c r="C248" i="141" s="1"/>
  <c r="J243" i="138"/>
  <c r="C249" i="141" s="1"/>
  <c r="J244" i="138"/>
  <c r="C250" i="141" s="1"/>
  <c r="J245" i="138"/>
  <c r="C251" i="141" s="1"/>
  <c r="J246" i="138"/>
  <c r="C252" i="141" s="1"/>
  <c r="J247" i="138"/>
  <c r="C253" i="141" s="1"/>
  <c r="J248" i="138"/>
  <c r="C254" i="141" s="1"/>
  <c r="J250" i="138"/>
  <c r="C256" i="141" s="1"/>
  <c r="J251" i="138"/>
  <c r="C257" i="141" s="1"/>
  <c r="J252" i="138"/>
  <c r="C258" i="141" s="1"/>
  <c r="J253" i="138"/>
  <c r="C259" i="141" s="1"/>
  <c r="J254" i="138"/>
  <c r="C260" i="141" s="1"/>
  <c r="J255" i="138"/>
  <c r="C261" i="141" s="1"/>
  <c r="J256" i="138"/>
  <c r="C262" i="141" s="1"/>
  <c r="J258" i="138"/>
  <c r="C264" i="141" s="1"/>
  <c r="J259" i="138"/>
  <c r="C265" i="141" s="1"/>
  <c r="J260" i="138"/>
  <c r="C266" i="141" s="1"/>
  <c r="J3" i="138"/>
  <c r="I256" i="138"/>
  <c r="B262" i="141" s="1"/>
  <c r="I258" i="138"/>
  <c r="B264" i="141" s="1"/>
  <c r="I264" i="141" s="1"/>
  <c r="C264" i="144" s="1"/>
  <c r="I259" i="138"/>
  <c r="B265" i="141" s="1"/>
  <c r="I260" i="138"/>
  <c r="B266" i="141" s="1"/>
  <c r="I242" i="138"/>
  <c r="B248" i="141" s="1"/>
  <c r="I243" i="138"/>
  <c r="B249" i="141" s="1"/>
  <c r="I244" i="138"/>
  <c r="B250" i="141" s="1"/>
  <c r="I245" i="138"/>
  <c r="I246" i="138"/>
  <c r="B252" i="141" s="1"/>
  <c r="I247" i="138"/>
  <c r="B253" i="141" s="1"/>
  <c r="I248" i="138"/>
  <c r="B254" i="141" s="1"/>
  <c r="I250" i="138"/>
  <c r="B256" i="141" s="1"/>
  <c r="I256" i="141" s="1"/>
  <c r="C256" i="144" s="1"/>
  <c r="I251" i="138"/>
  <c r="B257" i="141" s="1"/>
  <c r="I252" i="138"/>
  <c r="B258" i="141" s="1"/>
  <c r="I253" i="138"/>
  <c r="B259" i="141" s="1"/>
  <c r="I254" i="138"/>
  <c r="I255" i="138"/>
  <c r="B261" i="141" s="1"/>
  <c r="I232" i="138"/>
  <c r="B238" i="141" s="1"/>
  <c r="I233" i="138"/>
  <c r="B239" i="141" s="1"/>
  <c r="I234" i="138"/>
  <c r="B240" i="141" s="1"/>
  <c r="I236" i="138"/>
  <c r="B242" i="141" s="1"/>
  <c r="I242" i="141" s="1"/>
  <c r="C242" i="144" s="1"/>
  <c r="I237" i="138"/>
  <c r="B243" i="141" s="1"/>
  <c r="I238" i="138"/>
  <c r="B244" i="141" s="1"/>
  <c r="I239" i="138"/>
  <c r="B245" i="141" s="1"/>
  <c r="I240" i="138"/>
  <c r="B246" i="141" s="1"/>
  <c r="I241" i="138"/>
  <c r="B247" i="141" s="1"/>
  <c r="I222" i="138"/>
  <c r="B228" i="141" s="1"/>
  <c r="I223" i="138"/>
  <c r="B229" i="141" s="1"/>
  <c r="I224" i="138"/>
  <c r="B230" i="141" s="1"/>
  <c r="I225" i="138"/>
  <c r="B231" i="141" s="1"/>
  <c r="I226" i="138"/>
  <c r="B232" i="141" s="1"/>
  <c r="I227" i="138"/>
  <c r="B233" i="141" s="1"/>
  <c r="I229" i="138"/>
  <c r="B235" i="141" s="1"/>
  <c r="I235" i="141" s="1"/>
  <c r="C235" i="144" s="1"/>
  <c r="I230" i="138"/>
  <c r="B236" i="141" s="1"/>
  <c r="I231" i="138"/>
  <c r="B237" i="141" s="1"/>
  <c r="I206" i="138"/>
  <c r="B212" i="141" s="1"/>
  <c r="I207" i="138"/>
  <c r="B213" i="141" s="1"/>
  <c r="I208" i="138"/>
  <c r="B214" i="141" s="1"/>
  <c r="I209" i="138"/>
  <c r="B215" i="141" s="1"/>
  <c r="I210" i="138"/>
  <c r="B216" i="141" s="1"/>
  <c r="I212" i="138"/>
  <c r="B218" i="141" s="1"/>
  <c r="I218" i="141" s="1"/>
  <c r="C218" i="144" s="1"/>
  <c r="I213" i="138"/>
  <c r="B219" i="141" s="1"/>
  <c r="I214" i="138"/>
  <c r="B220" i="141" s="1"/>
  <c r="I216" i="138"/>
  <c r="B222" i="141" s="1"/>
  <c r="I222" i="141" s="1"/>
  <c r="C222" i="144" s="1"/>
  <c r="I217" i="138"/>
  <c r="B223" i="141" s="1"/>
  <c r="I218" i="138"/>
  <c r="B224" i="141" s="1"/>
  <c r="I220" i="138"/>
  <c r="B226" i="141" s="1"/>
  <c r="I226" i="141" s="1"/>
  <c r="C226" i="144" s="1"/>
  <c r="I221" i="138"/>
  <c r="B227" i="141" s="1"/>
  <c r="I188" i="138"/>
  <c r="B194" i="141" s="1"/>
  <c r="I194" i="141" s="1"/>
  <c r="C194" i="144" s="1"/>
  <c r="I189" i="138"/>
  <c r="B195" i="141" s="1"/>
  <c r="I190" i="138"/>
  <c r="B196" i="141" s="1"/>
  <c r="I191" i="138"/>
  <c r="B197" i="141" s="1"/>
  <c r="I192" i="138"/>
  <c r="B198" i="141" s="1"/>
  <c r="I193" i="138"/>
  <c r="B199" i="141" s="1"/>
  <c r="I195" i="138"/>
  <c r="B201" i="141" s="1"/>
  <c r="I201" i="141" s="1"/>
  <c r="C201" i="144" s="1"/>
  <c r="I196" i="138"/>
  <c r="B202" i="141" s="1"/>
  <c r="I197" i="138"/>
  <c r="B203" i="141" s="1"/>
  <c r="I198" i="138"/>
  <c r="B204" i="141" s="1"/>
  <c r="I199" i="138"/>
  <c r="B205" i="141" s="1"/>
  <c r="I200" i="138"/>
  <c r="B206" i="141" s="1"/>
  <c r="I201" i="138"/>
  <c r="B207" i="141" s="1"/>
  <c r="I202" i="138"/>
  <c r="B208" i="141" s="1"/>
  <c r="I203" i="138"/>
  <c r="B209" i="141" s="1"/>
  <c r="I205" i="138"/>
  <c r="B211" i="141" s="1"/>
  <c r="I211" i="141" s="1"/>
  <c r="C211" i="144" s="1"/>
  <c r="I173" i="138"/>
  <c r="B179" i="141" s="1"/>
  <c r="I179" i="141" s="1"/>
  <c r="C179" i="144" s="1"/>
  <c r="I174" i="138"/>
  <c r="B180" i="141" s="1"/>
  <c r="I175" i="138"/>
  <c r="B181" i="141" s="1"/>
  <c r="I176" i="138"/>
  <c r="B182" i="141" s="1"/>
  <c r="I177" i="138"/>
  <c r="B183" i="141" s="1"/>
  <c r="I178" i="138"/>
  <c r="B184" i="141" s="1"/>
  <c r="I179" i="138"/>
  <c r="B185" i="141" s="1"/>
  <c r="I181" i="138"/>
  <c r="B187" i="141" s="1"/>
  <c r="I187" i="141" s="1"/>
  <c r="C187" i="144" s="1"/>
  <c r="I182" i="138"/>
  <c r="B188" i="141" s="1"/>
  <c r="I183" i="138"/>
  <c r="B189" i="141" s="1"/>
  <c r="I184" i="138"/>
  <c r="B190" i="141" s="1"/>
  <c r="I185" i="138"/>
  <c r="B191" i="141" s="1"/>
  <c r="I186" i="138"/>
  <c r="B192" i="141" s="1"/>
  <c r="I153" i="138"/>
  <c r="B159" i="141" s="1"/>
  <c r="I159" i="141" s="1"/>
  <c r="C159" i="144" s="1"/>
  <c r="I154" i="138"/>
  <c r="B160" i="141" s="1"/>
  <c r="I155" i="138"/>
  <c r="B161" i="141" s="1"/>
  <c r="I156" i="138"/>
  <c r="B162" i="141" s="1"/>
  <c r="I157" i="138"/>
  <c r="B163" i="141" s="1"/>
  <c r="I159" i="138"/>
  <c r="B165" i="141" s="1"/>
  <c r="I165" i="141" s="1"/>
  <c r="C165" i="144" s="1"/>
  <c r="I160" i="138"/>
  <c r="B166" i="141" s="1"/>
  <c r="I162" i="138"/>
  <c r="B168" i="141" s="1"/>
  <c r="I168" i="141" s="1"/>
  <c r="C168" i="144" s="1"/>
  <c r="I163" i="138"/>
  <c r="B169" i="141" s="1"/>
  <c r="I165" i="138"/>
  <c r="B171" i="141" s="1"/>
  <c r="I171" i="141" s="1"/>
  <c r="C171" i="144" s="1"/>
  <c r="I166" i="138"/>
  <c r="B172" i="141" s="1"/>
  <c r="I167" i="138"/>
  <c r="B173" i="141" s="1"/>
  <c r="I168" i="138"/>
  <c r="B174" i="141" s="1"/>
  <c r="I169" i="138"/>
  <c r="B175" i="141" s="1"/>
  <c r="I170" i="138"/>
  <c r="B176" i="141" s="1"/>
  <c r="I171" i="138"/>
  <c r="B177" i="141" s="1"/>
  <c r="I29" i="138"/>
  <c r="B35" i="141" s="1"/>
  <c r="I30" i="138"/>
  <c r="B36" i="141" s="1"/>
  <c r="I31" i="138"/>
  <c r="B37" i="141" s="1"/>
  <c r="I32" i="138"/>
  <c r="B38" i="141" s="1"/>
  <c r="I33" i="138"/>
  <c r="B39" i="141" s="1"/>
  <c r="I34" i="138"/>
  <c r="B40" i="141" s="1"/>
  <c r="I35" i="138"/>
  <c r="B41" i="141" s="1"/>
  <c r="I36" i="138"/>
  <c r="B42" i="141" s="1"/>
  <c r="I38" i="138"/>
  <c r="B44" i="141" s="1"/>
  <c r="I39" i="138"/>
  <c r="B45" i="141" s="1"/>
  <c r="I40" i="138"/>
  <c r="B46" i="141" s="1"/>
  <c r="I41" i="138"/>
  <c r="B47" i="141" s="1"/>
  <c r="I42" i="138"/>
  <c r="B48" i="141" s="1"/>
  <c r="I44" i="138"/>
  <c r="B50" i="141" s="1"/>
  <c r="I45" i="138"/>
  <c r="B51" i="141" s="1"/>
  <c r="I46" i="138"/>
  <c r="B52" i="141" s="1"/>
  <c r="I48" i="138"/>
  <c r="B54" i="141" s="1"/>
  <c r="I49" i="138"/>
  <c r="B55" i="141" s="1"/>
  <c r="I51" i="138"/>
  <c r="B57" i="141" s="1"/>
  <c r="I52" i="138"/>
  <c r="B58" i="141" s="1"/>
  <c r="I53" i="138"/>
  <c r="B59" i="141" s="1"/>
  <c r="I55" i="138"/>
  <c r="B61" i="141" s="1"/>
  <c r="I56" i="138"/>
  <c r="B62" i="141" s="1"/>
  <c r="I57" i="138"/>
  <c r="B63" i="141" s="1"/>
  <c r="I58" i="138"/>
  <c r="B64" i="141" s="1"/>
  <c r="I59" i="138"/>
  <c r="B65" i="141" s="1"/>
  <c r="I60" i="138"/>
  <c r="B66" i="141" s="1"/>
  <c r="I61" i="138"/>
  <c r="B67" i="141" s="1"/>
  <c r="I62" i="138"/>
  <c r="B68" i="141" s="1"/>
  <c r="I68" i="141" s="1"/>
  <c r="C68" i="144" s="1"/>
  <c r="I63" i="138"/>
  <c r="B69" i="141" s="1"/>
  <c r="I64" i="138"/>
  <c r="B70" i="141" s="1"/>
  <c r="I66" i="138"/>
  <c r="B72" i="141" s="1"/>
  <c r="I72" i="141" s="1"/>
  <c r="C72" i="144" s="1"/>
  <c r="I67" i="138"/>
  <c r="B73" i="141" s="1"/>
  <c r="I68" i="138"/>
  <c r="B74" i="141" s="1"/>
  <c r="I69" i="138"/>
  <c r="B75" i="141" s="1"/>
  <c r="I71" i="138"/>
  <c r="B77" i="141" s="1"/>
  <c r="I77" i="141" s="1"/>
  <c r="C77" i="144" s="1"/>
  <c r="I72" i="138"/>
  <c r="B78" i="141" s="1"/>
  <c r="I74" i="138"/>
  <c r="B80" i="141" s="1"/>
  <c r="I80" i="141" s="1"/>
  <c r="C80" i="144" s="1"/>
  <c r="I75" i="138"/>
  <c r="B81" i="141" s="1"/>
  <c r="I76" i="138"/>
  <c r="B82" i="141" s="1"/>
  <c r="I77" i="138"/>
  <c r="B83" i="141" s="1"/>
  <c r="I78" i="138"/>
  <c r="B84" i="141" s="1"/>
  <c r="I79" i="138"/>
  <c r="B85" i="141" s="1"/>
  <c r="I80" i="138"/>
  <c r="B86" i="141" s="1"/>
  <c r="I81" i="138"/>
  <c r="B87" i="141" s="1"/>
  <c r="I83" i="138"/>
  <c r="B89" i="141" s="1"/>
  <c r="I89" i="141" s="1"/>
  <c r="C89" i="144" s="1"/>
  <c r="I84" i="138"/>
  <c r="B90" i="141" s="1"/>
  <c r="I85" i="138"/>
  <c r="B91" i="141" s="1"/>
  <c r="I86" i="138"/>
  <c r="B92" i="141" s="1"/>
  <c r="I88" i="138"/>
  <c r="B94" i="141" s="1"/>
  <c r="I94" i="141" s="1"/>
  <c r="C94" i="144" s="1"/>
  <c r="I90" i="138"/>
  <c r="B96" i="141" s="1"/>
  <c r="I96" i="141" s="1"/>
  <c r="C96" i="144" s="1"/>
  <c r="I92" i="138"/>
  <c r="B98" i="141" s="1"/>
  <c r="I98" i="141" s="1"/>
  <c r="C98" i="144" s="1"/>
  <c r="I93" i="138"/>
  <c r="B99" i="141" s="1"/>
  <c r="I94" i="138"/>
  <c r="B100" i="141" s="1"/>
  <c r="I96" i="138"/>
  <c r="B102" i="141" s="1"/>
  <c r="I102" i="141" s="1"/>
  <c r="C102" i="144" s="1"/>
  <c r="I97" i="138"/>
  <c r="B103" i="141" s="1"/>
  <c r="I98" i="138"/>
  <c r="B104" i="141" s="1"/>
  <c r="I99" i="138"/>
  <c r="B105" i="141" s="1"/>
  <c r="I101" i="138"/>
  <c r="B107" i="141" s="1"/>
  <c r="I107" i="141" s="1"/>
  <c r="C107" i="144" s="1"/>
  <c r="I102" i="138"/>
  <c r="B108" i="141" s="1"/>
  <c r="I103" i="138"/>
  <c r="B109" i="141" s="1"/>
  <c r="I105" i="138"/>
  <c r="B111" i="141" s="1"/>
  <c r="I111" i="141" s="1"/>
  <c r="C111" i="144" s="1"/>
  <c r="I106" i="138"/>
  <c r="B112" i="141" s="1"/>
  <c r="I107" i="138"/>
  <c r="B113" i="141" s="1"/>
  <c r="I108" i="138"/>
  <c r="B114" i="141" s="1"/>
  <c r="I109" i="138"/>
  <c r="B115" i="141" s="1"/>
  <c r="I111" i="138"/>
  <c r="B117" i="141" s="1"/>
  <c r="I117" i="141" s="1"/>
  <c r="C117" i="144" s="1"/>
  <c r="I112" i="138"/>
  <c r="B118" i="141" s="1"/>
  <c r="I113" i="138"/>
  <c r="B119" i="141" s="1"/>
  <c r="I114" i="138"/>
  <c r="B120" i="141" s="1"/>
  <c r="I116" i="138"/>
  <c r="B122" i="141" s="1"/>
  <c r="I122" i="141" s="1"/>
  <c r="C122" i="144" s="1"/>
  <c r="I117" i="138"/>
  <c r="B123" i="141" s="1"/>
  <c r="I118" i="138"/>
  <c r="B124" i="141" s="1"/>
  <c r="I119" i="138"/>
  <c r="B125" i="141" s="1"/>
  <c r="I120" i="138"/>
  <c r="B126" i="141" s="1"/>
  <c r="I121" i="138"/>
  <c r="B127" i="141" s="1"/>
  <c r="I122" i="138"/>
  <c r="B128" i="141" s="1"/>
  <c r="I123" i="138"/>
  <c r="B129" i="141" s="1"/>
  <c r="I125" i="138"/>
  <c r="B131" i="141" s="1"/>
  <c r="I131" i="141" s="1"/>
  <c r="C131" i="144" s="1"/>
  <c r="I126" i="138"/>
  <c r="B132" i="141" s="1"/>
  <c r="I127" i="138"/>
  <c r="B133" i="141" s="1"/>
  <c r="I128" i="138"/>
  <c r="B134" i="141" s="1"/>
  <c r="I129" i="138"/>
  <c r="B135" i="141" s="1"/>
  <c r="I131" i="138"/>
  <c r="B137" i="141" s="1"/>
  <c r="I137" i="141" s="1"/>
  <c r="C137" i="144" s="1"/>
  <c r="I132" i="138"/>
  <c r="B138" i="141" s="1"/>
  <c r="I133" i="138"/>
  <c r="B139" i="141" s="1"/>
  <c r="I135" i="138"/>
  <c r="B141" i="141" s="1"/>
  <c r="I141" i="141" s="1"/>
  <c r="C141" i="144" s="1"/>
  <c r="I136" i="138"/>
  <c r="B142" i="141" s="1"/>
  <c r="I137" i="138"/>
  <c r="B143" i="141" s="1"/>
  <c r="I138" i="138"/>
  <c r="B144" i="141" s="1"/>
  <c r="I139" i="138"/>
  <c r="B145" i="141" s="1"/>
  <c r="I140" i="138"/>
  <c r="B146" i="141" s="1"/>
  <c r="I141" i="138"/>
  <c r="B147" i="141" s="1"/>
  <c r="I142" i="138"/>
  <c r="B148" i="141" s="1"/>
  <c r="I143" i="138"/>
  <c r="B149" i="141" s="1"/>
  <c r="I144" i="138"/>
  <c r="B150" i="141" s="1"/>
  <c r="I145" i="138"/>
  <c r="B151" i="141" s="1"/>
  <c r="I146" i="138"/>
  <c r="B152" i="141" s="1"/>
  <c r="I147" i="138"/>
  <c r="B153" i="141" s="1"/>
  <c r="I148" i="138"/>
  <c r="B154" i="141" s="1"/>
  <c r="I149" i="138"/>
  <c r="B155" i="141" s="1"/>
  <c r="I150" i="138"/>
  <c r="B156" i="141" s="1"/>
  <c r="I151" i="138"/>
  <c r="B157" i="141" s="1"/>
  <c r="I5" i="138"/>
  <c r="I6" i="138"/>
  <c r="I7" i="138"/>
  <c r="B13" i="141" s="1"/>
  <c r="I8" i="138"/>
  <c r="B14" i="141" s="1"/>
  <c r="I9" i="138"/>
  <c r="B15" i="141" s="1"/>
  <c r="I10" i="138"/>
  <c r="B16" i="141" s="1"/>
  <c r="I11" i="138"/>
  <c r="B17" i="141" s="1"/>
  <c r="I12" i="138"/>
  <c r="B18" i="141" s="1"/>
  <c r="I14" i="138"/>
  <c r="B20" i="141" s="1"/>
  <c r="I15" i="138"/>
  <c r="B21" i="141" s="1"/>
  <c r="I17" i="138"/>
  <c r="B23" i="141" s="1"/>
  <c r="I18" i="138"/>
  <c r="B24" i="141" s="1"/>
  <c r="I19" i="138"/>
  <c r="B25" i="141" s="1"/>
  <c r="I21" i="138"/>
  <c r="B27" i="141" s="1"/>
  <c r="I22" i="138"/>
  <c r="B28" i="141" s="1"/>
  <c r="I24" i="138"/>
  <c r="B30" i="141" s="1"/>
  <c r="I25" i="138"/>
  <c r="B31" i="141" s="1"/>
  <c r="I26" i="138"/>
  <c r="B32" i="141" s="1"/>
  <c r="I27" i="138"/>
  <c r="B33" i="141" s="1"/>
  <c r="I28" i="138"/>
  <c r="B34" i="141" s="1"/>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D16" i="167" l="1"/>
  <c r="J16" i="167" s="1"/>
  <c r="Q42" i="167" s="1" a="1"/>
  <c r="Q42" i="167" s="1"/>
  <c r="B52" i="168" s="1"/>
  <c r="D16" i="162"/>
  <c r="J16" i="162" s="1"/>
  <c r="Q42" i="162" s="1" a="1"/>
  <c r="Q42" i="162" s="1"/>
  <c r="B52" i="163" s="1"/>
  <c r="D16" i="154"/>
  <c r="J16" i="154" s="1"/>
  <c r="Q42" i="154" s="1" a="1"/>
  <c r="Q42" i="154" s="1"/>
  <c r="B52" i="155" s="1"/>
  <c r="B11" i="141"/>
  <c r="D16" i="148"/>
  <c r="J16" i="148" s="1"/>
  <c r="D15" i="162"/>
  <c r="J15" i="162" s="1"/>
  <c r="Q37" i="162" s="1" a="1"/>
  <c r="Q37" i="162" s="1"/>
  <c r="B47" i="163" s="1"/>
  <c r="B10" i="141"/>
  <c r="I10" i="141" s="1"/>
  <c r="C10" i="144" s="1"/>
  <c r="D15" i="148"/>
  <c r="J15" i="148" s="1"/>
  <c r="Q37" i="148" s="1" a="1"/>
  <c r="Q37" i="148" s="1"/>
  <c r="B47" i="149" s="1"/>
  <c r="D15" i="154"/>
  <c r="J15" i="154" s="1"/>
  <c r="Q37" i="154" s="1" a="1"/>
  <c r="Q37" i="154" s="1"/>
  <c r="B47" i="155" s="1"/>
  <c r="D15" i="167"/>
  <c r="J15" i="167" s="1"/>
  <c r="Q37" i="167" s="1" a="1"/>
  <c r="Q37" i="167" s="1"/>
  <c r="B47" i="168" s="1"/>
  <c r="E11" i="148"/>
  <c r="K11" i="148" s="1"/>
  <c r="Q18" i="148" s="1" a="1"/>
  <c r="Q18" i="148" s="1"/>
  <c r="B28" i="149" s="1"/>
  <c r="E12" i="167"/>
  <c r="K12" i="167" s="1"/>
  <c r="Q23" i="167" s="1" a="1"/>
  <c r="Q23" i="167" s="1"/>
  <c r="B33" i="168" s="1"/>
  <c r="E11" i="167"/>
  <c r="K11" i="167" s="1"/>
  <c r="Q18" i="167" s="1" a="1"/>
  <c r="Q18" i="167" s="1"/>
  <c r="B28" i="168" s="1"/>
  <c r="E12" i="162"/>
  <c r="K12" i="162" s="1"/>
  <c r="Q23" i="162" s="1" a="1"/>
  <c r="Q23" i="162" s="1"/>
  <c r="B33" i="163" s="1"/>
  <c r="E12" i="154"/>
  <c r="K12" i="154" s="1"/>
  <c r="Q23" i="154" s="1" a="1"/>
  <c r="Q23" i="154" s="1"/>
  <c r="B33" i="155" s="1"/>
  <c r="E11" i="154"/>
  <c r="K11" i="154" s="1"/>
  <c r="Q18" i="154" s="1" a="1"/>
  <c r="Q18" i="154" s="1"/>
  <c r="B28" i="155" s="1"/>
  <c r="E11" i="162"/>
  <c r="K11" i="162" s="1"/>
  <c r="Q18" i="162" s="1" a="1"/>
  <c r="Q18" i="162" s="1"/>
  <c r="B28" i="163" s="1"/>
  <c r="C12" i="141"/>
  <c r="E12" i="148"/>
  <c r="K12" i="148" s="1"/>
  <c r="Q23" i="148" s="1" a="1"/>
  <c r="Q23" i="148" s="1"/>
  <c r="B33" i="149" s="1"/>
  <c r="B8" i="141"/>
  <c r="D10" i="148"/>
  <c r="J10" i="148" s="1"/>
  <c r="Q12" i="148" s="1" a="1"/>
  <c r="Q12" i="148" s="1"/>
  <c r="B22" i="149" s="1"/>
  <c r="D10" i="167"/>
  <c r="J10" i="167" s="1"/>
  <c r="Q12" i="167" s="1" a="1"/>
  <c r="Q12" i="167" s="1"/>
  <c r="B22" i="168" s="1"/>
  <c r="D10" i="154"/>
  <c r="J10" i="154" s="1"/>
  <c r="Q12" i="154" s="1" a="1"/>
  <c r="Q12" i="154" s="1"/>
  <c r="B22" i="155" s="1"/>
  <c r="D10" i="162"/>
  <c r="J10" i="162" s="1"/>
  <c r="Q12" i="162" s="1" a="1"/>
  <c r="Q12" i="162" s="1"/>
  <c r="B22" i="163" s="1"/>
  <c r="I261" i="141"/>
  <c r="C261" i="144" s="1"/>
  <c r="B260" i="141"/>
  <c r="I252" i="141"/>
  <c r="C252" i="144" s="1"/>
  <c r="B251" i="141"/>
  <c r="E16" i="162"/>
  <c r="K16" i="162" s="1"/>
  <c r="Q43" i="162" s="1" a="1"/>
  <c r="Q43" i="162" s="1"/>
  <c r="B53" i="163" s="1"/>
  <c r="C11" i="141"/>
  <c r="E16" i="148"/>
  <c r="K16" i="148" s="1"/>
  <c r="Q43" i="148" s="1" a="1"/>
  <c r="Q43" i="148" s="1"/>
  <c r="B53" i="149" s="1"/>
  <c r="E16" i="167"/>
  <c r="K16" i="167" s="1"/>
  <c r="Q43" i="167" s="1" a="1"/>
  <c r="Q43" i="167" s="1"/>
  <c r="B53" i="168" s="1"/>
  <c r="E16" i="154"/>
  <c r="K16" i="154" s="1"/>
  <c r="Q43" i="154" s="1" a="1"/>
  <c r="Q43" i="154" s="1"/>
  <c r="B53" i="155" s="1"/>
  <c r="E15" i="162"/>
  <c r="K15" i="162" s="1"/>
  <c r="Q38" i="162" s="1" a="1"/>
  <c r="Q38" i="162" s="1"/>
  <c r="B48" i="163" s="1"/>
  <c r="C10" i="141"/>
  <c r="E15" i="167"/>
  <c r="K15" i="167" s="1"/>
  <c r="Q38" i="167" s="1" a="1"/>
  <c r="Q38" i="167" s="1"/>
  <c r="B48" i="168" s="1"/>
  <c r="E15" i="154"/>
  <c r="K15" i="154" s="1"/>
  <c r="Q38" i="154" s="1" a="1"/>
  <c r="Q38" i="154" s="1"/>
  <c r="B48" i="155" s="1"/>
  <c r="E15" i="148"/>
  <c r="K15" i="148" s="1"/>
  <c r="Q38" i="148" s="1" a="1"/>
  <c r="Q38" i="148" s="1"/>
  <c r="B48" i="149" s="1"/>
  <c r="C8" i="141"/>
  <c r="C10" i="145" s="1"/>
  <c r="E10" i="167"/>
  <c r="K10" i="167" s="1"/>
  <c r="Q13" i="167" s="1" a="1"/>
  <c r="Q13" i="167" s="1"/>
  <c r="B23" i="168" s="1"/>
  <c r="E10" i="154"/>
  <c r="K10" i="154" s="1"/>
  <c r="Q13" i="154" s="1" a="1"/>
  <c r="Q13" i="154" s="1"/>
  <c r="B23" i="155" s="1"/>
  <c r="E10" i="148"/>
  <c r="K10" i="148" s="1"/>
  <c r="Q13" i="148" s="1" a="1"/>
  <c r="Q13" i="148" s="1"/>
  <c r="B23" i="149" s="1"/>
  <c r="E10" i="162"/>
  <c r="K10" i="162" s="1"/>
  <c r="Q13" i="162" s="1" a="1"/>
  <c r="Q13" i="162" s="1"/>
  <c r="B23" i="163" s="1"/>
  <c r="D11" i="148"/>
  <c r="J11" i="148" s="1"/>
  <c r="Q17" i="148" s="1" a="1"/>
  <c r="Q17" i="148" s="1"/>
  <c r="B27" i="149" s="1"/>
  <c r="D12" i="167"/>
  <c r="J12" i="167" s="1"/>
  <c r="Q22" i="167" s="1" a="1"/>
  <c r="Q22" i="167" s="1"/>
  <c r="B32" i="168" s="1"/>
  <c r="D11" i="167"/>
  <c r="J11" i="167" s="1"/>
  <c r="Q17" i="167" s="1" a="1"/>
  <c r="Q17" i="167" s="1"/>
  <c r="B27" i="168" s="1"/>
  <c r="D12" i="162"/>
  <c r="J12" i="162" s="1"/>
  <c r="Q22" i="162" s="1" a="1"/>
  <c r="Q22" i="162" s="1"/>
  <c r="B32" i="163" s="1"/>
  <c r="D12" i="154"/>
  <c r="J12" i="154" s="1"/>
  <c r="Q22" i="154" s="1" a="1"/>
  <c r="Q22" i="154" s="1"/>
  <c r="B32" i="155" s="1"/>
  <c r="D11" i="154"/>
  <c r="J11" i="154" s="1"/>
  <c r="Q17" i="154" s="1" a="1"/>
  <c r="Q17" i="154" s="1"/>
  <c r="B27" i="155" s="1"/>
  <c r="D12" i="148"/>
  <c r="J12" i="148" s="1"/>
  <c r="Q22" i="148" s="1" a="1"/>
  <c r="Q22" i="148" s="1"/>
  <c r="B32" i="149" s="1"/>
  <c r="B12" i="141"/>
  <c r="D11" i="162"/>
  <c r="J11" i="162" s="1"/>
  <c r="Q17" i="162" s="1" a="1"/>
  <c r="Q17" i="162" s="1"/>
  <c r="B27" i="163" s="1"/>
  <c r="C316" i="166"/>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B20" i="142"/>
  <c r="E20" i="142" s="1"/>
  <c r="C50" i="143" s="1"/>
  <c r="B18" i="145"/>
  <c r="H18" i="145" s="1"/>
  <c r="Q50" i="145" s="1" a="1"/>
  <c r="Q50" i="145" s="1"/>
  <c r="B60" i="147" s="1"/>
  <c r="B13" i="145"/>
  <c r="H13" i="145" s="1"/>
  <c r="Q25" i="145" s="1" a="1"/>
  <c r="Q25" i="145" s="1"/>
  <c r="B35" i="147" s="1"/>
  <c r="B13" i="142"/>
  <c r="E13" i="142" s="1"/>
  <c r="C43" i="143"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B12" i="145" l="1"/>
  <c r="H12" i="145" s="1"/>
  <c r="I14" i="14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 r="C15" i="154"/>
  <c r="I15" i="154" s="1"/>
  <c r="Q36" i="154" s="1" a="1"/>
  <c r="Q36" i="154" s="1"/>
  <c r="B46" i="155" s="1"/>
  <c r="C16" i="154"/>
  <c r="I16" i="154" s="1"/>
  <c r="Q41" i="154" s="1" a="1"/>
  <c r="Q41" i="154" s="1"/>
  <c r="B51" i="15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<sst xmlns="http://schemas.openxmlformats.org/spreadsheetml/2006/main" count="6982" uniqueCount="2052">
  <si>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</si>
  <si>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</si>
  <si>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</si>
  <si>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</si>
  <si>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</si>
  <si>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</si>
  <si>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</si>
  <si>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</si>
  <si>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</si>
  <si>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</si>
  <si>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</si>
  <si>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</si>
  <si>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</si>
  <si>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</si>
  <si>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</si>
  <si>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</si>
  <si>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</si>
  <si>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</si>
  <si>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</si>
  <si>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</si>
  <si>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</si>
  <si>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</si>
  <si>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</si>
  <si>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</si>
  <si>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Date of birth</t>
  </si>
  <si>
    <t>Date of birth as recorded in the patient's identity document or in the hospital record. In the absence of documentation, the one declared by the patient will be recorded</t>
  </si>
  <si>
    <t>Date of birth day unknown</t>
  </si>
  <si>
    <t>flag</t>
  </si>
  <si>
    <t>Describes if day of date of birthday is unknown</t>
  </si>
  <si>
    <t>Marital status</t>
  </si>
  <si>
    <t>Describes the marital status declared by the patient, at the time of diagnosis (section 4, Primary Cancer)</t>
  </si>
  <si>
    <t>Race</t>
  </si>
  <si>
    <t>Describes race as recorded in  the hospital record, the one declared by the patient,, otherwise, the onerecognized by the observer</t>
  </si>
  <si>
    <t xml:space="preserve">Country of Residence </t>
  </si>
  <si>
    <t>Country of residence at the time of diagnosis</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</si>
  <si>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</si>
  <si>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</si>
  <si>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</si>
  <si>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</si>
  <si>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</si>
  <si>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</si>
  <si>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</si>
  <si>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</si>
  <si>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</si>
  <si>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</si>
  <si>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</si>
  <si>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</si>
  <si>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</si>
  <si>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</si>
  <si>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</si>
  <si>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</si>
  <si>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</si>
  <si>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</si>
  <si>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</si>
  <si>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</si>
  <si>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</si>
  <si>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</si>
  <si>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</si>
  <si>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</si>
  <si>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Required</t>
  </si>
  <si>
    <t>Gender</t>
  </si>
  <si>
    <t>Date</t>
  </si>
  <si>
    <t>Cause of death</t>
  </si>
  <si>
    <t>RelatedPathology</t>
  </si>
  <si>
    <t>Code</t>
  </si>
  <si>
    <t>FamilyCancerHistory</t>
  </si>
  <si>
    <t>TumorPathologyEvent</t>
  </si>
  <si>
    <t>Type</t>
  </si>
  <si>
    <t>TNM</t>
  </si>
  <si>
    <t>Version</t>
  </si>
  <si>
    <t>Analysis</t>
  </si>
  <si>
    <t>ResponseEvaluation</t>
  </si>
  <si>
    <t>Status</t>
  </si>
  <si>
    <t>Biomarker</t>
  </si>
  <si>
    <t>Treatment</t>
  </si>
  <si>
    <t>AdverseEvent</t>
  </si>
  <si>
    <t>Drug</t>
  </si>
  <si>
    <t>ATC</t>
  </si>
  <si>
    <t>BiologicalSample</t>
  </si>
  <si>
    <t>Technology</t>
  </si>
  <si>
    <t>Panel</t>
  </si>
  <si>
    <t>AnalysisProcess</t>
  </si>
  <si>
    <t>OmicAnalysis</t>
  </si>
  <si>
    <t>AlterationOnSample</t>
  </si>
  <si>
    <t>Validation</t>
  </si>
  <si>
    <t>Alteration</t>
  </si>
  <si>
    <t>Copy Number</t>
  </si>
  <si>
    <t>Location</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</si>
  <si>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</si>
  <si>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</si>
  <si>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</si>
  <si>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</si>
  <si>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</si>
  <si>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</si>
  <si>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</si>
  <si>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</si>
  <si>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</si>
  <si>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</si>
  <si>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</si>
  <si>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</si>
  <si>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</si>
  <si>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</si>
  <si>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</si>
  <si>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</si>
  <si>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</si>
  <si>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</si>
  <si>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</si>
  <si>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</si>
  <si>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</si>
  <si>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</si>
  <si>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</si>
  <si>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</si>
  <si>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</si>
  <si>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</si>
  <si>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</si>
  <si>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</si>
  <si>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</si>
  <si>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</si>
  <si>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</si>
  <si>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</si>
  <si>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</si>
  <si>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</si>
  <si>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</si>
  <si>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</si>
  <si>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</si>
  <si>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</si>
  <si>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</si>
  <si>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</si>
  <si>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</si>
  <si>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</si>
  <si>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</si>
  <si>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</si>
  <si>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</si>
  <si>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</si>
  <si>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</si>
  <si>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</si>
  <si>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</si>
  <si>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</si>
  <si>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</si>
  <si>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</si>
  <si>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</si>
  <si>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</si>
  <si>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</si>
  <si>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</si>
  <si>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</si>
  <si>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</si>
  <si>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</si>
  <si>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</si>
  <si>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</si>
  <si>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</si>
  <si>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</si>
  <si>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</si>
  <si>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</si>
  <si>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</si>
  <si>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</si>
  <si>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</si>
  <si>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</si>
  <si>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</si>
  <si>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</si>
  <si>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</si>
  <si>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</si>
  <si>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</si>
  <si>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</si>
  <si>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</si>
  <si>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t>ICD-O</t>
  </si>
  <si>
    <t>Primer type</t>
  </si>
  <si>
    <t>Instrument status</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</si>
  <si>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</si>
  <si>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</si>
  <si>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</si>
  <si>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</si>
  <si>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</si>
  <si>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</si>
  <si>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</si>
  <si>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</si>
  <si>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</si>
  <si>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</si>
  <si>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</si>
  <si>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</si>
  <si>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</si>
  <si>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</si>
  <si>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</si>
  <si>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</si>
  <si>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</si>
  <si>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</si>
  <si>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</si>
  <si>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</si>
  <si>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</si>
  <si>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</si>
  <si>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</si>
  <si>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</si>
  <si>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</si>
  <si>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</si>
  <si>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</si>
  <si>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</si>
  <si>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</si>
  <si>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</si>
  <si>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</si>
  <si>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</si>
  <si>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</si>
  <si>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</si>
  <si>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</si>
  <si>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</si>
  <si>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</si>
  <si>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</si>
  <si>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</si>
  <si>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</si>
  <si>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</si>
  <si>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</si>
  <si>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</si>
  <si>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</si>
  <si>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</si>
  <si>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</si>
  <si>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</si>
  <si>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</si>
  <si>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</si>
  <si>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</si>
  <si>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</si>
  <si>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</si>
  <si>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</si>
  <si>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</si>
  <si>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</si>
  <si>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</si>
  <si>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</si>
  <si>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</si>
  <si>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</si>
  <si>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</si>
  <si>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</si>
  <si>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</si>
  <si>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</si>
  <si>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</si>
  <si>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</si>
  <si>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</si>
  <si>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</si>
  <si>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</si>
  <si>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</si>
  <si>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</si>
  <si>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</si>
  <si>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</si>
  <si>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</si>
  <si>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</si>
  <si>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</si>
  <si>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</si>
  <si>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</si>
  <si>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</si>
  <si>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</si>
  <si>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</si>
  <si>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</si>
  <si>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</si>
  <si>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</si>
  <si>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</si>
  <si>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</si>
  <si>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</si>
  <si>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</si>
  <si>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</si>
  <si>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</si>
  <si>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</si>
  <si>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</si>
  <si>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</si>
  <si>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</si>
  <si>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</si>
  <si>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</si>
  <si>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</si>
  <si>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</si>
  <si>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</si>
  <si>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</si>
  <si>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</si>
  <si>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</si>
  <si>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</si>
  <si>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</si>
  <si>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</si>
  <si>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</si>
  <si>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</si>
  <si>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</si>
  <si>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</si>
  <si>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</si>
  <si>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</si>
  <si>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</si>
  <si>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</si>
  <si>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</si>
  <si>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</si>
  <si>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</si>
  <si>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</si>
  <si>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</si>
  <si>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</si>
  <si>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</si>
  <si>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</si>
  <si>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</si>
  <si>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</si>
  <si>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</si>
  <si>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</si>
  <si>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</si>
  <si>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</si>
  <si>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</si>
  <si>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</si>
  <si>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</si>
  <si>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</si>
  <si>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</si>
  <si>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</si>
  <si>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</si>
  <si>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</si>
  <si>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</si>
  <si>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</si>
  <si>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</si>
  <si>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</si>
  <si>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</si>
  <si>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</si>
  <si>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</si>
  <si>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</si>
  <si>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</si>
  <si>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</si>
  <si>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</si>
  <si>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</si>
  <si>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</si>
  <si>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</si>
  <si>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</si>
  <si>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</si>
  <si>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</si>
  <si>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</si>
  <si>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</si>
  <si>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</si>
  <si>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</si>
  <si>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</si>
  <si>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</si>
  <si>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</si>
  <si>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</si>
  <si>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</si>
  <si>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</si>
  <si>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</si>
  <si>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</si>
  <si>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</si>
  <si>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</si>
  <si>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</si>
  <si>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</si>
  <si>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</si>
  <si>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</si>
  <si>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</si>
  <si>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</si>
  <si>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</si>
  <si>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</si>
  <si>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</si>
  <si>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</si>
  <si>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</si>
  <si>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</si>
  <si>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</si>
  <si>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</si>
  <si>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</si>
  <si>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</si>
  <si>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</si>
  <si>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</si>
  <si>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</si>
  <si>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</si>
  <si>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</si>
  <si>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</si>
  <si>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</si>
  <si>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</si>
  <si>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</si>
  <si>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</si>
  <si>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</si>
  <si>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</si>
  <si>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</si>
  <si>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</si>
  <si>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</si>
  <si>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</si>
  <si>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</si>
  <si>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</si>
  <si>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</si>
  <si>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</si>
  <si>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</si>
  <si>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</si>
  <si>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</si>
  <si>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</si>
  <si>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</si>
  <si>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</si>
  <si>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</si>
  <si>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</si>
  <si>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</si>
  <si>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</si>
  <si>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</si>
  <si>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</si>
  <si>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</si>
  <si>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</si>
  <si>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</si>
  <si>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</si>
  <si>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</si>
  <si>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</si>
  <si>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</si>
  <si>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</si>
  <si>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</si>
  <si>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</si>
  <si>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</si>
  <si>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</si>
  <si>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</si>
  <si>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</si>
  <si>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</si>
  <si>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</si>
  <si>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</si>
  <si>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</si>
  <si>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</si>
  <si>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</si>
  <si>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</si>
  <si>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</si>
  <si>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</si>
  <si>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</si>
  <si>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</si>
  <si>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</si>
  <si>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</si>
  <si>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</si>
  <si>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</si>
  <si>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</si>
  <si>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</si>
  <si>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</si>
  <si>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</si>
  <si>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</si>
  <si>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</si>
  <si>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</si>
  <si>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</si>
  <si>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</si>
  <si>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</si>
  <si>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</si>
  <si>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</si>
  <si>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</si>
  <si>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</si>
  <si>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</si>
  <si>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</si>
  <si>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</si>
  <si>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</si>
  <si>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</si>
  <si>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</si>
  <si>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</si>
  <si>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</si>
  <si>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</si>
  <si>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</si>
  <si>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</si>
  <si>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</si>
  <si>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</si>
  <si>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</si>
  <si>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</si>
  <si>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</si>
  <si>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</si>
  <si>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</si>
  <si>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</si>
  <si>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</si>
  <si>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</si>
  <si>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</si>
  <si>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</si>
  <si>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</si>
  <si>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</si>
  <si>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</si>
  <si>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</si>
  <si>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</si>
  <si>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</si>
  <si>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</si>
  <si>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</si>
  <si>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</si>
  <si>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</si>
  <si>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</si>
  <si>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</si>
  <si>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</si>
  <si>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</si>
  <si>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</si>
  <si>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</si>
  <si>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</si>
  <si>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</si>
  <si>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</si>
  <si>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</si>
  <si>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</si>
  <si>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</si>
  <si>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</si>
  <si>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</si>
  <si>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</si>
  <si>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</si>
  <si>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</si>
  <si>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</si>
  <si>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</si>
  <si>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</si>
  <si>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</si>
  <si>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</si>
  <si>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</si>
  <si>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</si>
  <si>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</si>
  <si>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</si>
  <si>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</si>
  <si>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</si>
  <si>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</si>
  <si>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</si>
  <si>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</si>
  <si>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</si>
  <si>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</si>
  <si>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</si>
  <si>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</si>
  <si>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</si>
  <si>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</si>
  <si>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</si>
  <si>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</si>
  <si>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</si>
  <si>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</si>
  <si>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</si>
  <si>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</si>
  <si>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</si>
  <si>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</si>
  <si>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</si>
  <si>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</si>
  <si>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</si>
  <si>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</si>
  <si>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</si>
  <si>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</si>
  <si>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</si>
  <si>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</si>
  <si>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</si>
  <si>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</si>
  <si>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</si>
  <si>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</si>
  <si>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</si>
  <si>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</si>
  <si>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</si>
  <si>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</si>
  <si>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</si>
  <si>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</si>
  <si>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</si>
  <si>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</si>
  <si>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</si>
  <si>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</si>
  <si>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</si>
  <si>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</si>
  <si>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</si>
  <si>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</si>
  <si>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</si>
  <si>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</si>
  <si>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</si>
  <si>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</si>
  <si>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</si>
  <si>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</si>
  <si>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</si>
  <si>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</si>
  <si>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</si>
  <si>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</si>
  <si>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</si>
  <si>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</si>
  <si>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</si>
  <si>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</si>
  <si>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</si>
  <si>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</si>
  <si>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</si>
  <si>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</si>
  <si>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</si>
  <si>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</si>
  <si>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</si>
  <si>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</si>
  <si>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</si>
  <si>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</si>
  <si>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</si>
  <si>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</si>
  <si>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</si>
  <si>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</si>
  <si>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</si>
  <si>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</si>
  <si>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</si>
  <si>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</si>
  <si>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</si>
  <si>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</si>
  <si>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</si>
  <si>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</si>
  <si>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</si>
  <si>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</si>
  <si>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</si>
  <si>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</si>
  <si>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</si>
  <si>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</si>
  <si>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</si>
  <si>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</si>
  <si>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</si>
  <si>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</si>
  <si>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</si>
  <si>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</si>
  <si>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</si>
  <si>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</si>
  <si>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</si>
  <si>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</si>
  <si>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</si>
  <si>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</si>
  <si>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</si>
  <si>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</si>
  <si>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</si>
  <si>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</si>
  <si>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</si>
  <si>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</si>
  <si>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</si>
  <si>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</si>
  <si>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</si>
  <si>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</si>
  <si>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</si>
  <si>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</si>
  <si>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</si>
  <si>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</si>
  <si>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</si>
  <si>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</si>
  <si>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</si>
  <si>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</si>
  <si>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</si>
  <si>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</si>
  <si>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</si>
  <si>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</si>
  <si>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</si>
  <si>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</si>
  <si>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</si>
  <si>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</si>
  <si>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</si>
  <si>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</si>
  <si>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</si>
  <si>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</si>
  <si>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</si>
  <si>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</si>
  <si>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</si>
  <si>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</si>
  <si>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</si>
  <si>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</si>
  <si>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</si>
  <si>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</si>
  <si>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</si>
  <si>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</si>
  <si>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</si>
  <si>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</si>
  <si>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</si>
  <si>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</si>
  <si>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</si>
  <si>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</si>
  <si>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</si>
  <si>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</si>
  <si>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</si>
  <si>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</si>
  <si>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</si>
  <si>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</si>
  <si>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</si>
  <si>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</si>
  <si>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</si>
  <si>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</si>
  <si>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</si>
  <si>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</si>
  <si>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</si>
  <si>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</si>
  <si>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</si>
  <si>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</si>
  <si>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</si>
  <si>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</si>
  <si>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</si>
  <si>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</si>
  <si>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</si>
  <si>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</si>
  <si>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</si>
  <si>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</si>
  <si>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</si>
  <si>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</si>
  <si>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</si>
  <si>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</si>
  <si>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</si>
  <si>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</si>
  <si>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</si>
  <si>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</si>
  <si>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</si>
  <si>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</si>
  <si>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</si>
  <si>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</si>
  <si>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</si>
  <si>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</si>
  <si>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</si>
  <si>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</si>
  <si>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</si>
  <si>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</si>
  <si>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</si>
  <si>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</si>
  <si>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</si>
  <si>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</si>
  <si>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</si>
  <si>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</si>
  <si>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</si>
  <si>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</si>
  <si>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</si>
  <si>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</si>
  <si>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</si>
  <si>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</si>
  <si>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</si>
  <si>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</si>
  <si>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</si>
  <si>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</si>
  <si>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</si>
  <si>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</si>
  <si>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</si>
  <si>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</si>
  <si>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</si>
  <si>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</si>
  <si>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</si>
  <si>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</si>
  <si>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</si>
  <si>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</si>
  <si>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</si>
  <si>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</si>
  <si>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</si>
  <si>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</si>
  <si>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</si>
  <si>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</si>
  <si>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</si>
  <si>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</si>
  <si>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</si>
  <si>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</si>
  <si>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</si>
  <si>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</si>
  <si>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</si>
  <si>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</si>
  <si>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</si>
  <si>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</si>
  <si>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</si>
  <si>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</si>
  <si>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</si>
  <si>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</si>
  <si>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</si>
  <si>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</si>
  <si>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</si>
  <si>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</si>
  <si>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</si>
  <si>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</si>
  <si>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</si>
  <si>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</si>
  <si>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</si>
  <si>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</si>
  <si>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</si>
  <si>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</si>
  <si>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</si>
  <si>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</si>
  <si>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</si>
  <si>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</si>
  <si>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</si>
  <si>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</si>
  <si>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</si>
  <si>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</si>
  <si>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</si>
  <si>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</si>
  <si>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</si>
  <si>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</si>
  <si>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</si>
  <si>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</si>
  <si>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</si>
  <si>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</si>
  <si>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</si>
  <si>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</si>
  <si>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</si>
  <si>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</si>
  <si>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</si>
  <si>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</si>
  <si>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</si>
  <si>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</si>
  <si>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</si>
  <si>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</si>
  <si>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</si>
  <si>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</si>
  <si>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</si>
  <si>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</si>
  <si>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</si>
  <si>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</si>
  <si>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</si>
  <si>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</si>
  <si>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</si>
  <si>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</si>
  <si>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</si>
  <si>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</si>
  <si>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</si>
  <si>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</si>
  <si>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</si>
  <si>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</si>
  <si>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</si>
  <si>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</si>
  <si>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</si>
  <si>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</si>
  <si>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</si>
  <si>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</si>
  <si>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</si>
  <si>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</si>
  <si>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</si>
  <si>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</si>
  <si>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</si>
  <si>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</si>
  <si>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</si>
  <si>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</si>
  <si>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</si>
  <si>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</si>
  <si>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</si>
  <si>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</si>
  <si>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</si>
  <si>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</si>
  <si>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</si>
  <si>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</si>
  <si>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</si>
  <si>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</si>
  <si>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</si>
  <si>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</si>
  <si>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</si>
  <si>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</si>
  <si>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</si>
  <si>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</si>
  <si>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</si>
  <si>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</si>
  <si>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</si>
  <si>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</si>
  <si>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</si>
  <si>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</si>
  <si>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</si>
  <si>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</si>
  <si>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</si>
  <si>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</si>
  <si>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</si>
  <si>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</si>
  <si>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</si>
  <si>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</si>
  <si>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</si>
  <si>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</si>
  <si>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</si>
  <si>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</si>
  <si>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</si>
  <si>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</si>
  <si>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</si>
  <si>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</si>
  <si>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</si>
  <si>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</si>
  <si>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</si>
  <si>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</si>
  <si>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</si>
  <si>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</si>
  <si>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</si>
  <si>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</si>
  <si>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</si>
  <si>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</si>
  <si>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</si>
  <si>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</si>
  <si>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</si>
  <si>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</si>
  <si>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</si>
  <si>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</si>
  <si>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</si>
  <si>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</si>
  <si>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</si>
  <si>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</si>
  <si>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</si>
  <si>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</si>
  <si>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</si>
  <si>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</si>
  <si>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</si>
  <si>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</si>
  <si>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</si>
  <si>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</si>
  <si>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</si>
  <si>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</si>
  <si>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</si>
  <si>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</si>
  <si>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</si>
  <si>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</si>
  <si>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</si>
  <si>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</si>
  <si>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</si>
  <si>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</si>
  <si>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</si>
  <si>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</si>
  <si>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</si>
  <si>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</si>
  <si>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</si>
  <si>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</si>
  <si>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</si>
  <si>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</si>
  <si>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</si>
  <si>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</si>
  <si>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</si>
  <si>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</si>
  <si>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</si>
  <si>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HospitalDischargeReportEHN</t>
  </si>
  <si>
    <t>HospitalDischargeReport</t>
  </si>
  <si>
    <t>Hospital Discharge Report (eHN)</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</si>
  <si>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</si>
  <si>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</si>
  <si>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</si>
  <si>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</si>
  <si>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</si>
  <si>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</si>
  <si>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</si>
  <si>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</si>
  <si>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</si>
  <si>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</si>
  <si>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</si>
  <si>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</si>
  <si>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</si>
  <si>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</si>
  <si>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</si>
  <si>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</si>
  <si>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</si>
  <si>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</si>
  <si>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</si>
  <si>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</si>
  <si>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</si>
  <si>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</si>
  <si>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</si>
  <si>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</si>
  <si>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</si>
  <si>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</si>
  <si>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</si>
  <si>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</si>
  <si>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</si>
  <si>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</si>
  <si>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</si>
  <si>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</si>
  <si>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</si>
  <si>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</si>
  <si>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</si>
  <si>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</si>
  <si>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</si>
  <si>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</si>
  <si>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</si>
  <si>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</si>
  <si>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</si>
  <si>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</si>
  <si>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</si>
  <si>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</si>
  <si>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</si>
  <si>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</si>
  <si>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</si>
  <si>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</si>
  <si>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</si>
  <si>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</si>
  <si>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</si>
  <si>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</si>
  <si>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</si>
  <si>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</si>
  <si>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</si>
  <si>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</si>
  <si>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</si>
  <si>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</si>
  <si>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</si>
  <si>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</si>
  <si>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</si>
  <si>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</si>
  <si>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</si>
  <si>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</si>
  <si>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</si>
  <si>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</si>
  <si>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</si>
  <si>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</si>
  <si>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</si>
  <si>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</si>
  <si>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</si>
  <si>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</si>
  <si>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</si>
  <si>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</si>
  <si>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</si>
  <si>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</si>
  <si>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</si>
  <si>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</si>
  <si>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</si>
  <si>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</si>
  <si>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</si>
  <si>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</si>
  <si>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</si>
  <si>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</si>
  <si>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</si>
  <si>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</si>
  <si>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</si>
  <si>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</si>
  <si>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</si>
  <si>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</si>
  <si>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</si>
  <si>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</si>
  <si>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</si>
  <si>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</si>
  <si>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</si>
  <si>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</si>
  <si>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</si>
  <si>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</si>
  <si>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</si>
  <si>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</si>
  <si>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</si>
  <si>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</si>
  <si>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</si>
  <si>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</si>
  <si>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</si>
  <si>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</si>
  <si>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</si>
  <si>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</si>
  <si>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</si>
  <si>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</si>
  <si>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</si>
  <si>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</si>
  <si>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</si>
  <si>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</si>
  <si>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</si>
  <si>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</si>
  <si>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</si>
  <si>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</si>
  <si>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</si>
  <si>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</si>
  <si>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</si>
  <si>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</si>
  <si>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</si>
  <si>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</si>
  <si>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</si>
  <si>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</si>
  <si>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</si>
  <si>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</si>
  <si>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</si>
  <si>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</si>
  <si>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</si>
  <si>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</si>
  <si>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</si>
  <si>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</si>
  <si>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</si>
  <si>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</si>
  <si>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</si>
  <si>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</si>
  <si>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</si>
  <si>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</si>
  <si>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</si>
  <si>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</si>
  <si>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</si>
  <si>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</si>
  <si>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</si>
  <si>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</si>
  <si>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</si>
  <si>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</si>
  <si>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</si>
  <si>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</si>
  <si>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</si>
  <si>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</si>
  <si>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</si>
  <si>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</si>
  <si>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</si>
  <si>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</si>
  <si>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</si>
  <si>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</si>
  <si>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</si>
  <si>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</si>
  <si>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</si>
  <si>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</si>
  <si>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</si>
  <si>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</si>
  <si>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</si>
  <si>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</si>
  <si>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</si>
  <si>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</si>
  <si>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</si>
  <si>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</si>
  <si>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</si>
  <si>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</si>
  <si>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</si>
  <si>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</si>
  <si>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</si>
  <si>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</si>
  <si>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</si>
  <si>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</si>
  <si>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</si>
  <si>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</si>
  <si>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</si>
  <si>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</si>
  <si>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</si>
  <si>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</si>
  <si>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</si>
  <si>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</si>
  <si>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</si>
  <si>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</si>
  <si>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</si>
  <si>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</si>
  <si>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</si>
  <si>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</si>
  <si>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</si>
  <si>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</si>
  <si>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</si>
  <si>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</si>
  <si>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</si>
  <si>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</si>
  <si>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</si>
  <si>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</si>
  <si>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</si>
  <si>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</si>
  <si>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</si>
  <si>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</si>
  <si>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</si>
  <si>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</si>
  <si>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</si>
  <si>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</si>
  <si>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</si>
  <si>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</si>
  <si>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</si>
  <si>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</si>
  <si>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</si>
  <si>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</si>
  <si>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</si>
  <si>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</si>
  <si>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</si>
  <si>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</si>
  <si>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</si>
  <si>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</si>
  <si>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</si>
  <si>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</si>
  <si>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</si>
  <si>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</si>
  <si>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</si>
  <si>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</si>
  <si>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</si>
  <si>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</si>
  <si>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</si>
  <si>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</si>
  <si>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</si>
  <si>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</si>
  <si>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</si>
  <si>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</si>
  <si>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</si>
  <si>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</si>
  <si>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</si>
  <si>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</si>
  <si>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</si>
  <si>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</si>
  <si>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</si>
  <si>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</si>
  <si>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</si>
  <si>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</si>
  <si>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</si>
  <si>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</si>
  <si>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</si>
  <si>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</si>
  <si>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</si>
  <si>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</si>
  <si>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</si>
  <si>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</si>
  <si>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</si>
  <si>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</si>
  <si>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</si>
  <si>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</si>
  <si>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</si>
  <si>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</si>
  <si>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</si>
  <si>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</si>
  <si>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</si>
  <si>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</si>
  <si>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</si>
  <si>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</si>
  <si>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</si>
  <si>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</si>
  <si>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</si>
  <si>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</si>
  <si>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</si>
  <si>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</si>
  <si>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</si>
  <si>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</si>
  <si>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</si>
  <si>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</si>
  <si>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</si>
  <si>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</si>
  <si>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</si>
  <si>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</si>
  <si>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</si>
  <si>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</si>
  <si>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</si>
  <si>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</si>
  <si>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</si>
  <si>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</si>
  <si>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</si>
  <si>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</si>
  <si>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</si>
  <si>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</si>
  <si>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</si>
  <si>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</si>
  <si>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</si>
  <si>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</si>
  <si>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</si>
  <si>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</si>
  <si>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</si>
  <si>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</si>
  <si>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</si>
  <si>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</si>
  <si>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</si>
  <si>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</si>
  <si>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</si>
  <si>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</si>
  <si>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</si>
  <si>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</si>
  <si>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</si>
  <si>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</si>
  <si>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</si>
  <si>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</si>
  <si>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</si>
  <si>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</si>
  <si>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</si>
  <si>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</si>
  <si>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</si>
  <si>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</si>
  <si>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</si>
  <si>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</si>
  <si>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</si>
  <si>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</si>
  <si>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</si>
  <si>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</si>
  <si>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</si>
  <si>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</si>
  <si>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</si>
  <si>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</si>
  <si>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</si>
  <si>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</si>
  <si>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</si>
  <si>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</si>
  <si>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</si>
  <si>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</si>
  <si>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</si>
  <si>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</si>
  <si>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</si>
  <si>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</si>
  <si>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</si>
  <si>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</si>
  <si>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</si>
  <si>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</si>
  <si>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</si>
  <si>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</si>
  <si>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</si>
  <si>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</si>
  <si>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</si>
  <si>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</si>
  <si>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</si>
  <si>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</si>
  <si>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</si>
  <si>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</si>
  <si>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</si>
  <si>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</si>
  <si>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</si>
  <si>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</si>
  <si>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</si>
  <si>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</si>
  <si>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</si>
  <si>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</si>
  <si>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</si>
  <si>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</si>
  <si>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</si>
  <si>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</si>
  <si>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</si>
  <si>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</si>
  <si>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</si>
  <si>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</si>
  <si>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</si>
  <si>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</si>
  <si>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</si>
  <si>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</si>
  <si>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</si>
  <si>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</si>
  <si>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</si>
  <si>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</si>
  <si>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</si>
  <si>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</si>
  <si>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</si>
  <si>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</si>
  <si>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</si>
  <si>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</si>
  <si>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</si>
  <si>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</si>
  <si>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</si>
  <si>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</si>
  <si>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</si>
  <si>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</si>
  <si>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</si>
  <si>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</si>
  <si>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</si>
  <si>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</si>
  <si>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</si>
  <si>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</si>
  <si>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</si>
  <si>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</si>
  <si>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</si>
  <si>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</si>
  <si>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</si>
  <si>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</si>
  <si>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</si>
  <si>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</si>
  <si>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</si>
  <si>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</si>
  <si>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</si>
  <si>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</si>
  <si>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</si>
  <si>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</si>
  <si>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</si>
  <si>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</si>
  <si>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</si>
  <si>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</si>
  <si>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</si>
  <si>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</si>
  <si>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</si>
  <si>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</si>
  <si>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</si>
  <si>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</si>
  <si>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</si>
  <si>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</si>
  <si>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</si>
  <si>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</si>
  <si>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</si>
  <si>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</si>
  <si>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</si>
  <si>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</si>
  <si>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</si>
  <si>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</si>
  <si>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</si>
  <si>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</si>
  <si>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</si>
  <si>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</si>
  <si>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</si>
  <si>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</si>
  <si>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</si>
  <si>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</si>
  <si>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</si>
  <si>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</si>
  <si>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</si>
  <si>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</si>
  <si>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</si>
  <si>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</si>
  <si>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</si>
  <si>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</si>
  <si>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</si>
  <si>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</si>
  <si>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</si>
  <si>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</si>
  <si>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</si>
  <si>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</si>
  <si>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</si>
  <si>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</si>
  <si>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</si>
  <si>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</si>
  <si>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</si>
  <si>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</si>
  <si>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</si>
  <si>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</si>
  <si>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</si>
  <si>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</si>
  <si>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</si>
  <si>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</si>
  <si>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</si>
  <si>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</si>
  <si>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</si>
  <si>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</si>
  <si>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</si>
  <si>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</si>
  <si>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</si>
  <si>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</si>
  <si>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</si>
  <si>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</si>
  <si>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</si>
  <si>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</si>
  <si>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</si>
  <si>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</si>
  <si>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</si>
  <si>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</si>
  <si>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</si>
  <si>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</si>
  <si>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</si>
  <si>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</si>
  <si>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</si>
  <si>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</si>
  <si>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</si>
  <si>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</si>
  <si>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</si>
  <si>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</si>
  <si>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</si>
  <si>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</si>
  <si>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</si>
  <si>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</si>
  <si>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</si>
  <si>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</si>
  <si>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</si>
  <si>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</si>
  <si>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</si>
  <si>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</si>
  <si>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</si>
  <si>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</si>
  <si>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</si>
  <si>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</si>
  <si>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</si>
  <si>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</si>
  <si>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</si>
  <si>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</si>
  <si>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</si>
  <si>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</si>
  <si>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</si>
  <si>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</si>
  <si>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</si>
  <si>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</si>
  <si>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</si>
  <si>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</si>
  <si>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</si>
  <si>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</si>
  <si>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</si>
  <si>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</si>
  <si>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</si>
  <si>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</si>
  <si>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</si>
  <si>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</si>
  <si>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</si>
  <si>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</si>
  <si>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</si>
  <si>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</si>
  <si>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</si>
  <si>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</si>
  <si>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</si>
  <si>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</si>
  <si>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</si>
  <si>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</si>
  <si>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</si>
  <si>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</si>
  <si>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</si>
  <si>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</si>
  <si>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</si>
  <si>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</si>
  <si>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</si>
  <si>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</si>
  <si>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</si>
  <si>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</si>
  <si>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</si>
  <si>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</si>
  <si>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</si>
  <si>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</si>
  <si>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</si>
  <si>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</si>
  <si>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</si>
  <si>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</si>
  <si>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</si>
  <si>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</si>
  <si>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</si>
  <si>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</si>
  <si>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</si>
  <si>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</si>
  <si>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</si>
  <si>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</si>
  <si>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</si>
  <si>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</si>
  <si>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</si>
  <si>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</si>
  <si>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</si>
  <si>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</si>
  <si>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</si>
  <si>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</si>
  <si>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</si>
  <si>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</si>
  <si>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</si>
  <si>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</si>
  <si>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</si>
  <si>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</si>
  <si>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</si>
  <si>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</si>
  <si>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</si>
  <si>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</si>
  <si>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</si>
  <si>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</si>
  <si>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</si>
  <si>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</si>
  <si>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</si>
  <si>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</si>
  <si>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</si>
  <si>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</si>
  <si>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</si>
  <si>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</si>
  <si>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</si>
  <si>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</si>
  <si>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</si>
  <si>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</si>
  <si>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</si>
  <si>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</si>
  <si>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</si>
  <si>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</si>
  <si>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</si>
  <si>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</si>
  <si>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</si>
  <si>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</si>
  <si>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</si>
  <si>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</si>
  <si>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</si>
  <si>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</si>
  <si>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</si>
  <si>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</si>
  <si>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</si>
  <si>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</si>
  <si>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</si>
  <si>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</si>
  <si>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</si>
  <si>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</si>
  <si>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</si>
  <si>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</si>
  <si>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</si>
  <si>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</si>
  <si>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</si>
  <si>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</si>
  <si>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</si>
  <si>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</si>
  <si>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</si>
  <si>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</si>
  <si>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</si>
  <si>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</si>
  <si>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</si>
  <si>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</si>
  <si>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</si>
  <si>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</si>
  <si>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</si>
  <si>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</si>
  <si>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</si>
  <si>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</si>
  <si>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</si>
  <si>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</si>
  <si>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</si>
  <si>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</si>
  <si>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</si>
  <si>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</si>
  <si>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</si>
  <si>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</si>
  <si>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</si>
  <si>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</si>
  <si>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</si>
  <si>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</si>
  <si>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</si>
  <si>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</si>
  <si>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</si>
  <si>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</si>
  <si>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</si>
  <si>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</si>
  <si>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</si>
  <si>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</si>
  <si>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</si>
  <si>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</si>
  <si>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</si>
  <si>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</si>
  <si>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</si>
  <si>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</si>
  <si>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</si>
  <si>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</si>
  <si>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</si>
  <si>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</si>
  <si>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</si>
  <si>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</si>
  <si>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</si>
  <si>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</si>
  <si>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</si>
  <si>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</si>
  <si>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</si>
  <si>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</si>
  <si>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</si>
  <si>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</si>
  <si>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</si>
  <si>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</si>
  <si>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</si>
  <si>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</si>
  <si>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</si>
  <si>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</si>
  <si>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</si>
  <si>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</si>
  <si>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</si>
  <si>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</si>
  <si>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</si>
  <si>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</si>
  <si>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</si>
  <si>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</si>
  <si>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</si>
  <si>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</si>
  <si>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</si>
  <si>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</si>
  <si>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</si>
  <si>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</si>
  <si>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</si>
  <si>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</si>
  <si>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</si>
  <si>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</si>
  <si>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</si>
  <si>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</si>
  <si>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</si>
  <si>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</si>
  <si>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</si>
  <si>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</si>
  <si>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</si>
  <si>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</si>
  <si>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</si>
  <si>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</si>
  <si>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</si>
  <si>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</si>
  <si>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</si>
  <si>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</si>
  <si>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</si>
  <si>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</si>
  <si>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</si>
  <si>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</si>
  <si>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</si>
  <si>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</si>
  <si>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</si>
  <si>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</si>
  <si>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</si>
  <si>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</si>
  <si>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</si>
  <si>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</si>
  <si>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</si>
  <si>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</si>
  <si>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</si>
  <si>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</si>
  <si>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</si>
  <si>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</si>
  <si>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</si>
  <si>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</si>
  <si>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</si>
  <si>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</si>
  <si>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</si>
  <si>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</si>
  <si>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</si>
  <si>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</si>
  <si>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</si>
  <si>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</si>
  <si>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</si>
  <si>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</si>
  <si>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</si>
  <si>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</si>
  <si>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</si>
  <si>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</si>
  <si>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</si>
  <si>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</si>
  <si>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</si>
  <si>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</si>
  <si>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</si>
  <si>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</si>
  <si>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</si>
  <si>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</si>
  <si>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</si>
  <si>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</si>
  <si>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</si>
  <si>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</si>
  <si>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</si>
  <si>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</si>
  <si>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</si>
  <si>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</si>
  <si>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</si>
  <si>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</si>
  <si>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</si>
  <si>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</si>
  <si>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</si>
  <si>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</si>
  <si>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</si>
  <si>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</si>
  <si>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</si>
  <si>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</si>
  <si>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</si>
  <si>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</si>
  <si>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</si>
  <si>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</si>
  <si>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</si>
  <si>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</si>
  <si>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</si>
  <si>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</si>
  <si>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</si>
  <si>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</si>
  <si>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</si>
  <si>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</si>
  <si>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</si>
  <si>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</si>
  <si>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</si>
  <si>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</si>
  <si>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</si>
  <si>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</si>
  <si>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</si>
  <si>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</si>
  <si>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</si>
  <si>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</si>
  <si>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</si>
  <si>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</si>
  <si>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</si>
  <si>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</si>
  <si>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</si>
  <si>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</si>
  <si>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</si>
  <si>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</si>
  <si>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</si>
  <si>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</si>
  <si>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</si>
  <si>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</si>
  <si>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</si>
  <si>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</si>
  <si>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</si>
  <si>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</si>
  <si>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</si>
  <si>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</si>
  <si>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</si>
  <si>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</si>
  <si>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</si>
  <si>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</si>
  <si>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</si>
  <si>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</si>
  <si>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</si>
  <si>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</si>
  <si>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</si>
  <si>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</si>
  <si>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</si>
  <si>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</si>
  <si>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</si>
  <si>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</si>
  <si>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</si>
  <si>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</si>
  <si>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</si>
  <si>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</si>
  <si>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</si>
  <si>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</si>
  <si>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</si>
  <si>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</si>
  <si>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</si>
  <si>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</si>
  <si>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</si>
  <si>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</si>
  <si>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</si>
  <si>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</si>
  <si>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</si>
  <si>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</si>
  <si>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</si>
  <si>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</si>
  <si>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</si>
  <si>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</si>
  <si>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</si>
  <si>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</si>
  <si>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</si>
  <si>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</si>
  <si>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</si>
  <si>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</si>
  <si>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</si>
  <si>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</si>
  <si>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</si>
  <si>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</si>
  <si>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</si>
  <si>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</si>
  <si>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</si>
  <si>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</si>
  <si>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</si>
  <si>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</si>
  <si>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</si>
  <si>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</si>
  <si>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</si>
  <si>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</si>
  <si>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</si>
  <si>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</si>
  <si>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</si>
  <si>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</si>
  <si>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</si>
  <si>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</si>
  <si>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</si>
  <si>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</si>
  <si>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</si>
  <si>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</si>
  <si>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</si>
  <si>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</si>
  <si>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</si>
  <si>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</si>
  <si>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</si>
  <si>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</si>
  <si>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</si>
  <si>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</si>
  <si>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</si>
  <si>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</si>
  <si>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</si>
  <si>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</si>
  <si>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</si>
  <si>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</si>
  <si>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</si>
  <si>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</si>
  <si>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</si>
  <si>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</si>
  <si>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</si>
  <si>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</si>
  <si>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</si>
  <si>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</si>
  <si>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</si>
  <si>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</si>
  <si>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</si>
  <si>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</si>
  <si>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</si>
  <si>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</si>
  <si>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</si>
  <si>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</si>
  <si>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</si>
  <si>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</si>
  <si>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</si>
  <si>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</si>
  <si>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</si>
  <si>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</si>
  <si>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</si>
  <si>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</si>
  <si>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</si>
  <si>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</si>
  <si>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</si>
  <si>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</si>
  <si>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</si>
  <si>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</si>
  <si>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</si>
  <si>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</si>
  <si>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</si>
  <si>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</si>
  <si>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</si>
  <si>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</si>
  <si>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</si>
  <si>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</si>
  <si>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</si>
  <si>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</si>
  <si>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</si>
  <si>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</si>
  <si>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</si>
  <si>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</si>
  <si>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</si>
  <si>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</si>
  <si>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</si>
  <si>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</si>
  <si>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</si>
  <si>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</si>
  <si>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</si>
  <si>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</si>
  <si>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</si>
  <si>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</si>
  <si>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</si>
  <si>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</si>
  <si>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</si>
  <si>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</si>
  <si>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</si>
  <si>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</si>
  <si>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</si>
  <si>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</si>
  <si>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</si>
  <si>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</si>
  <si>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</si>
  <si>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</si>
  <si>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</si>
  <si>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</si>
  <si>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</si>
  <si>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</si>
  <si>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</si>
  <si>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</si>
  <si>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</si>
  <si>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</si>
  <si>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</si>
  <si>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</si>
  <si>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</si>
  <si>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</si>
  <si>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</si>
  <si>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</si>
  <si>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</si>
  <si>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</si>
  <si>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</si>
  <si>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</si>
  <si>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</si>
  <si>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</si>
  <si>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</si>
  <si>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</si>
  <si>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</si>
  <si>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</si>
  <si>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</si>
  <si>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</si>
  <si>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</si>
  <si>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</si>
  <si>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</si>
  <si>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</si>
  <si>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</si>
  <si>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</si>
  <si>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</si>
  <si>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</si>
  <si>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</si>
  <si>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</si>
  <si>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</si>
  <si>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</si>
  <si>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</si>
  <si>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</si>
  <si>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</si>
  <si>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</si>
  <si>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</si>
  <si>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</si>
  <si>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</si>
  <si>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</si>
  <si>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</si>
  <si>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</si>
  <si>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</si>
  <si>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</si>
  <si>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</si>
  <si>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</si>
  <si>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</si>
  <si>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</si>
  <si>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</si>
  <si>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</si>
  <si>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</si>
  <si>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</si>
  <si>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</si>
  <si>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</si>
  <si>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</si>
  <si>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</si>
  <si>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</si>
  <si>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</si>
  <si>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</si>
  <si>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</si>
  <si>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</si>
  <si>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</si>
  <si>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</si>
  <si>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</si>
  <si>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</si>
  <si>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header.subject-identification</t>
  </si>
  <si>
    <t>header.subject-contact</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</si>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</sst>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8">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3" fillId="12" borderId="22" applyNumberFormat="0" applyFont="0" applyAlignment="0" applyProtection="0"/>
    <xf numFmtId="0" fontId="15" fillId="0" borderId="0"/>
    <xf numFmtId="0" fontId="17" fillId="0" borderId="0"/>
    <xf numFmtId="0" fontId="21" fillId="0" borderId="0" applyNumberFormat="0" applyFill="0" applyBorder="0" applyAlignment="0" applyProtection="0"/>
  </cellStyleXfs>
  <cellXfs count="21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2" fillId="10" borderId="0" xfId="0" applyFont="1" applyFill="1"/>
    <xf numFmtId="0" fontId="0" fillId="4" borderId="0" xfId="0" applyFill="1"/>
    <xf numFmtId="0" fontId="3" fillId="2" borderId="0" xfId="0" applyFont="1" applyFill="1"/>
    <xf numFmtId="0" fontId="0" fillId="12" borderId="22" xfId="4" applyFont="1"/>
    <xf numFmtId="0" fontId="14" fillId="0" borderId="0" xfId="0" applyFont="1" applyAlignment="1">
      <alignment vertical="center"/>
    </xf>
    <xf numFmtId="0" fontId="0" fillId="3" borderId="0" xfId="0" applyFill="1"/>
    <xf numFmtId="0" fontId="6" fillId="8" borderId="1" xfId="3" applyBorder="1" applyAlignment="1">
      <alignment wrapText="1"/>
    </xf>
    <xf numFmtId="0" fontId="16" fillId="0" borderId="1" xfId="0" applyFont="1" applyBorder="1" applyAlignment="1">
      <alignment horizontal="center" vertical="top"/>
    </xf>
    <xf numFmtId="0" fontId="0" fillId="13" borderId="0" xfId="0" applyFill="1"/>
    <xf numFmtId="0" fontId="16" fillId="3" borderId="1" xfId="0" applyFont="1" applyFill="1" applyBorder="1" applyAlignment="1">
      <alignment horizontal="center" vertical="top"/>
    </xf>
    <xf numFmtId="0" fontId="0" fillId="3" borderId="0" xfId="0" applyFill="1" applyAlignment="1">
      <alignment wrapText="1"/>
    </xf>
    <xf numFmtId="0" fontId="0" fillId="14" borderId="0" xfId="0" applyFill="1"/>
    <xf numFmtId="0" fontId="0" fillId="14" borderId="0" xfId="0" applyFill="1" applyAlignment="1">
      <alignment wrapText="1"/>
    </xf>
    <xf numFmtId="0" fontId="0" fillId="5" borderId="0" xfId="0" applyFill="1"/>
    <xf numFmtId="0" fontId="3" fillId="0" borderId="1" xfId="0" applyFont="1" applyBorder="1" applyAlignment="1">
      <alignment wrapText="1"/>
    </xf>
    <xf numFmtId="0" fontId="0" fillId="0" borderId="23" xfId="0" applyBorder="1" applyAlignment="1">
      <alignment wrapText="1"/>
    </xf>
    <xf numFmtId="0" fontId="6" fillId="8" borderId="2" xfId="3" applyBorder="1" applyAlignment="1">
      <alignment wrapText="1"/>
    </xf>
    <xf numFmtId="0" fontId="0" fillId="13" borderId="0" xfId="0" applyFill="1" applyAlignment="1">
      <alignment wrapText="1"/>
    </xf>
    <xf numFmtId="0" fontId="3" fillId="14" borderId="0" xfId="0" applyFont="1" applyFill="1"/>
    <xf numFmtId="0" fontId="0" fillId="15" borderId="0" xfId="0" applyFill="1"/>
    <xf numFmtId="0" fontId="18" fillId="0" borderId="18" xfId="6" applyFont="1" applyBorder="1" applyAlignment="1">
      <alignment horizontal="center" vertical="center" wrapText="1"/>
    </xf>
    <xf numFmtId="0" fontId="18" fillId="0" borderId="24" xfId="6" applyFont="1" applyBorder="1" applyAlignment="1">
      <alignment horizontal="center" vertical="center" wrapText="1"/>
    </xf>
    <xf numFmtId="0" fontId="17" fillId="0" borderId="0" xfId="6" applyAlignment="1">
      <alignment horizontal="left" vertical="top" wrapText="1"/>
    </xf>
    <xf numFmtId="0" fontId="18" fillId="0" borderId="25"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18" fillId="0" borderId="28" xfId="6" applyFont="1" applyBorder="1" applyAlignment="1">
      <alignment vertical="center" wrapText="1"/>
    </xf>
    <xf numFmtId="0" fontId="19" fillId="0" borderId="28" xfId="6" applyFont="1" applyBorder="1" applyAlignment="1">
      <alignment vertical="center" wrapText="1"/>
    </xf>
    <xf numFmtId="0" fontId="19" fillId="0" borderId="25" xfId="6" applyFont="1" applyBorder="1" applyAlignment="1">
      <alignment vertical="center" wrapText="1"/>
    </xf>
    <xf numFmtId="0" fontId="19" fillId="3" borderId="28" xfId="6" applyFont="1" applyFill="1" applyBorder="1" applyAlignment="1">
      <alignment vertical="center" wrapText="1"/>
    </xf>
    <xf numFmtId="0" fontId="20" fillId="0" borderId="28" xfId="6" applyFont="1" applyBorder="1" applyAlignment="1">
      <alignment vertical="center" wrapText="1"/>
    </xf>
    <xf numFmtId="0" fontId="21" fillId="0" borderId="28" xfId="7" applyBorder="1" applyAlignment="1">
      <alignment vertical="center" wrapText="1"/>
    </xf>
    <xf numFmtId="0" fontId="19" fillId="16" borderId="28" xfId="6" applyFont="1" applyFill="1" applyBorder="1" applyAlignment="1">
      <alignment vertical="center" wrapText="1"/>
    </xf>
    <xf numFmtId="0" fontId="19" fillId="17" borderId="28" xfId="6" applyFont="1" applyFill="1" applyBorder="1" applyAlignment="1">
      <alignment vertical="center" wrapText="1"/>
    </xf>
    <xf numFmtId="0" fontId="19" fillId="18" borderId="28" xfId="6" applyFont="1" applyFill="1" applyBorder="1" applyAlignment="1">
      <alignment vertical="center" wrapText="1"/>
    </xf>
    <xf numFmtId="0" fontId="19" fillId="0" borderId="29" xfId="6" applyFont="1" applyBorder="1" applyAlignment="1">
      <alignment vertical="center" wrapText="1"/>
    </xf>
    <xf numFmtId="0" fontId="19" fillId="18" borderId="29" xfId="6" applyFont="1" applyFill="1" applyBorder="1" applyAlignment="1">
      <alignment vertical="center" wrapText="1"/>
    </xf>
    <xf numFmtId="0" fontId="19" fillId="0" borderId="30" xfId="6" applyFont="1" applyBorder="1" applyAlignment="1">
      <alignment vertical="center" wrapText="1"/>
    </xf>
    <xf numFmtId="0" fontId="20" fillId="0" borderId="29" xfId="6" applyFont="1" applyBorder="1" applyAlignment="1">
      <alignment vertical="center" wrapText="1"/>
    </xf>
    <xf numFmtId="0" fontId="19" fillId="0" borderId="31" xfId="6" applyFont="1" applyBorder="1" applyAlignment="1">
      <alignment vertical="center" wrapText="1"/>
    </xf>
    <xf numFmtId="0" fontId="20" fillId="0" borderId="25" xfId="6" applyFont="1" applyBorder="1" applyAlignment="1">
      <alignment vertical="center" wrapText="1"/>
    </xf>
    <xf numFmtId="0" fontId="22" fillId="0" borderId="28" xfId="6" applyFont="1" applyBorder="1" applyAlignment="1">
      <alignment vertical="center" wrapText="1"/>
    </xf>
    <xf numFmtId="0" fontId="19" fillId="16" borderId="29" xfId="6" applyFont="1" applyFill="1" applyBorder="1" applyAlignment="1">
      <alignment vertical="center" wrapText="1"/>
    </xf>
    <xf numFmtId="0" fontId="17" fillId="0" borderId="30" xfId="6" applyBorder="1" applyAlignment="1">
      <alignment vertical="center" wrapText="1"/>
    </xf>
    <xf numFmtId="0" fontId="23" fillId="0" borderId="30" xfId="6" applyFont="1" applyBorder="1" applyAlignment="1">
      <alignment vertical="center" wrapText="1"/>
    </xf>
    <xf numFmtId="0" fontId="23" fillId="0" borderId="28" xfId="6" applyFont="1" applyBorder="1" applyAlignment="1">
      <alignment vertical="center" wrapText="1"/>
    </xf>
    <xf numFmtId="0" fontId="18" fillId="19" borderId="28" xfId="6" applyFont="1" applyFill="1" applyBorder="1" applyAlignment="1">
      <alignment vertical="center" wrapText="1"/>
    </xf>
    <xf numFmtId="0" fontId="19" fillId="19" borderId="28" xfId="6" applyFont="1" applyFill="1" applyBorder="1" applyAlignment="1">
      <alignment vertical="center" wrapText="1"/>
    </xf>
    <xf numFmtId="0" fontId="19" fillId="19" borderId="29" xfId="6" applyFont="1" applyFill="1" applyBorder="1" applyAlignment="1">
      <alignment vertical="center" wrapText="1"/>
    </xf>
    <xf numFmtId="0" fontId="19" fillId="20" borderId="30" xfId="6" applyFont="1" applyFill="1" applyBorder="1" applyAlignment="1">
      <alignment vertical="center" wrapText="1"/>
    </xf>
    <xf numFmtId="0" fontId="19" fillId="20" borderId="28" xfId="6" applyFont="1" applyFill="1" applyBorder="1" applyAlignment="1">
      <alignment vertical="center" wrapText="1"/>
    </xf>
    <xf numFmtId="0" fontId="24" fillId="0" borderId="25" xfId="6" applyFont="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8" fillId="0" borderId="29" xfId="6" applyFont="1" applyBorder="1" applyAlignment="1">
      <alignment vertical="center" wrapText="1"/>
    </xf>
    <xf numFmtId="0" fontId="18" fillId="20" borderId="29" xfId="6" applyFont="1" applyFill="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9" fillId="0" borderId="34" xfId="6" applyFont="1" applyBorder="1" applyAlignment="1">
      <alignment vertical="center" wrapText="1"/>
    </xf>
    <xf numFmtId="0" fontId="18" fillId="0" borderId="31" xfId="6" applyFont="1" applyBorder="1" applyAlignment="1">
      <alignment vertical="center" wrapText="1"/>
    </xf>
    <xf numFmtId="0" fontId="19" fillId="0" borderId="35" xfId="6" applyFont="1" applyBorder="1" applyAlignment="1">
      <alignment vertical="center" wrapText="1"/>
    </xf>
    <xf numFmtId="0" fontId="21" fillId="0" borderId="30" xfId="7"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7" fillId="0" borderId="35" xfId="6" applyBorder="1" applyAlignment="1">
      <alignment vertical="center" wrapText="1"/>
    </xf>
    <xf numFmtId="0" fontId="21" fillId="0" borderId="34" xfId="7" applyBorder="1" applyAlignment="1">
      <alignment vertical="center" wrapText="1"/>
    </xf>
    <xf numFmtId="0" fontId="24" fillId="18" borderId="28" xfId="6" applyFont="1" applyFill="1"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3" borderId="29" xfId="6" applyFont="1" applyFill="1" applyBorder="1" applyAlignment="1">
      <alignment vertical="center" wrapText="1"/>
    </xf>
    <xf numFmtId="0" fontId="24" fillId="0" borderId="28" xfId="6" applyFont="1" applyBorder="1" applyAlignment="1">
      <alignment vertical="center" wrapText="1"/>
    </xf>
    <xf numFmtId="0" fontId="19" fillId="20" borderId="29" xfId="6" applyFont="1" applyFill="1" applyBorder="1" applyAlignment="1">
      <alignment vertical="center" wrapText="1"/>
    </xf>
    <xf numFmtId="0" fontId="24" fillId="0" borderId="29" xfId="6" applyFont="1" applyBorder="1" applyAlignment="1">
      <alignment vertical="center" wrapText="1"/>
    </xf>
    <xf numFmtId="0" fontId="19" fillId="3" borderId="30" xfId="6" applyFont="1" applyFill="1" applyBorder="1" applyAlignment="1">
      <alignment vertical="center" wrapText="1"/>
    </xf>
    <xf numFmtId="0" fontId="26" fillId="0" borderId="25" xfId="6" applyFont="1" applyBorder="1" applyAlignment="1">
      <alignment vertical="center" wrapText="1"/>
    </xf>
    <xf numFmtId="0" fontId="26" fillId="16" borderId="28" xfId="6" applyFont="1" applyFill="1" applyBorder="1" applyAlignment="1">
      <alignment vertical="center" wrapText="1"/>
    </xf>
    <xf numFmtId="0" fontId="26" fillId="0" borderId="28" xfId="6" applyFont="1" applyBorder="1" applyAlignment="1">
      <alignment vertical="center" wrapText="1"/>
    </xf>
    <xf numFmtId="0" fontId="26" fillId="18" borderId="28" xfId="6" applyFont="1" applyFill="1" applyBorder="1" applyAlignment="1">
      <alignment vertical="center" wrapText="1"/>
    </xf>
    <xf numFmtId="0" fontId="26" fillId="0" borderId="29" xfId="6" applyFont="1" applyBorder="1" applyAlignment="1">
      <alignment vertical="center" wrapText="1"/>
    </xf>
    <xf numFmtId="0" fontId="18" fillId="20" borderId="28" xfId="6" applyFont="1" applyFill="1" applyBorder="1" applyAlignment="1">
      <alignment vertical="center" wrapText="1"/>
    </xf>
    <xf numFmtId="0" fontId="25" fillId="16" borderId="28" xfId="6" applyFont="1" applyFill="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16" borderId="28" xfId="6" applyFont="1" applyFill="1" applyBorder="1" applyAlignment="1">
      <alignment vertical="center" wrapText="1"/>
    </xf>
    <xf numFmtId="0" fontId="17" fillId="0" borderId="1" xfId="6" applyBorder="1" applyAlignment="1">
      <alignment horizontal="left" vertical="top" wrapText="1"/>
    </xf>
    <xf numFmtId="0" fontId="27" fillId="0" borderId="27" xfId="6" applyFont="1" applyBorder="1" applyAlignment="1">
      <alignment vertical="center" wrapText="1"/>
    </xf>
    <xf numFmtId="0" fontId="19" fillId="0" borderId="28" xfId="6" applyFont="1" applyBorder="1" applyAlignment="1">
      <alignment horizontal="left" vertical="center" wrapText="1"/>
    </xf>
    <xf numFmtId="0" fontId="2" fillId="0" borderId="30" xfId="1" applyBorder="1" applyAlignment="1">
      <alignment vertical="center" wrapText="1"/>
    </xf>
    <xf numFmtId="0" fontId="19" fillId="16" borderId="7" xfId="6" applyFont="1" applyFill="1" applyBorder="1" applyAlignment="1">
      <alignment vertical="center" wrapText="1"/>
    </xf>
    <xf numFmtId="0" fontId="19" fillId="0" borderId="7" xfId="6" applyFont="1" applyBorder="1" applyAlignment="1">
      <alignment vertical="center" wrapText="1"/>
    </xf>
    <xf numFmtId="0" fontId="18" fillId="3" borderId="27" xfId="6" applyFont="1" applyFill="1" applyBorder="1" applyAlignment="1">
      <alignment vertical="center" wrapText="1"/>
    </xf>
    <xf numFmtId="0" fontId="18" fillId="0" borderId="0" xfId="6" applyFont="1" applyAlignment="1">
      <alignment vertical="center" wrapText="1"/>
    </xf>
    <xf numFmtId="0" fontId="20" fillId="3" borderId="28" xfId="6" applyFont="1" applyFill="1" applyBorder="1" applyAlignment="1">
      <alignment vertical="center" wrapText="1"/>
    </xf>
    <xf numFmtId="0" fontId="0" fillId="15" borderId="1" xfId="0" applyFill="1" applyBorder="1"/>
    <xf numFmtId="0" fontId="3" fillId="3" borderId="1" xfId="0" applyFont="1" applyFill="1" applyBorder="1"/>
    <xf numFmtId="0" fontId="0" fillId="16" borderId="1" xfId="0" applyFill="1" applyBorder="1"/>
    <xf numFmtId="0" fontId="19" fillId="18" borderId="29" xfId="6" applyFont="1" applyFill="1" applyBorder="1" applyAlignment="1">
      <alignment vertical="center" wrapText="1"/>
    </xf>
    <xf numFmtId="0" fontId="19" fillId="18" borderId="25" xfId="6" applyFont="1" applyFill="1" applyBorder="1" applyAlignment="1">
      <alignment vertical="center" wrapText="1"/>
    </xf>
    <xf numFmtId="0" fontId="19" fillId="16" borderId="29" xfId="6" applyFont="1" applyFill="1" applyBorder="1" applyAlignment="1">
      <alignment vertical="center" wrapText="1"/>
    </xf>
    <xf numFmtId="0" fontId="19" fillId="16" borderId="31" xfId="6" applyFont="1" applyFill="1" applyBorder="1" applyAlignment="1">
      <alignment vertical="center" wrapText="1"/>
    </xf>
    <xf numFmtId="0" fontId="19" fillId="16" borderId="25" xfId="6" applyFont="1" applyFill="1" applyBorder="1" applyAlignment="1">
      <alignment vertical="center" wrapText="1"/>
    </xf>
    <xf numFmtId="0" fontId="18" fillId="0" borderId="29" xfId="6" applyFont="1" applyBorder="1" applyAlignment="1">
      <alignment vertical="center" wrapText="1"/>
    </xf>
    <xf numFmtId="0" fontId="18" fillId="0" borderId="31" xfId="6" applyFont="1" applyBorder="1" applyAlignment="1">
      <alignment vertical="center" wrapText="1"/>
    </xf>
    <xf numFmtId="0" fontId="18" fillId="0" borderId="25" xfId="6" applyFont="1" applyBorder="1" applyAlignment="1">
      <alignment vertical="center" wrapText="1"/>
    </xf>
    <xf numFmtId="0" fontId="19" fillId="3" borderId="29" xfId="6" applyFont="1" applyFill="1" applyBorder="1" applyAlignment="1">
      <alignment vertical="center" wrapText="1"/>
    </xf>
    <xf numFmtId="0" fontId="19" fillId="3" borderId="25" xfId="6" applyFont="1" applyFill="1" applyBorder="1" applyAlignment="1">
      <alignment vertical="center" wrapText="1"/>
    </xf>
    <xf numFmtId="0" fontId="19" fillId="20" borderId="29" xfId="6" applyFont="1" applyFill="1" applyBorder="1" applyAlignment="1">
      <alignment vertical="center" wrapText="1"/>
    </xf>
    <xf numFmtId="0" fontId="19" fillId="20" borderId="31" xfId="6" applyFont="1" applyFill="1" applyBorder="1" applyAlignment="1">
      <alignment vertical="center" wrapText="1"/>
    </xf>
    <xf numFmtId="0" fontId="19" fillId="20" borderId="25" xfId="6" applyFont="1" applyFill="1" applyBorder="1" applyAlignment="1">
      <alignment vertical="center" wrapText="1"/>
    </xf>
    <xf numFmtId="0" fontId="19" fillId="18" borderId="31" xfId="6" applyFont="1" applyFill="1" applyBorder="1" applyAlignment="1">
      <alignment vertical="center" wrapText="1"/>
    </xf>
    <xf numFmtId="0" fontId="26" fillId="18" borderId="29" xfId="6" applyFont="1" applyFill="1" applyBorder="1" applyAlignment="1">
      <alignment vertical="center" wrapText="1"/>
    </xf>
    <xf numFmtId="0" fontId="26" fillId="18" borderId="25" xfId="6" applyFont="1" applyFill="1" applyBorder="1" applyAlignment="1">
      <alignment vertical="center" wrapText="1"/>
    </xf>
    <xf numFmtId="0" fontId="19" fillId="0" borderId="29" xfId="6" applyFont="1" applyBorder="1" applyAlignment="1">
      <alignment vertical="center" wrapText="1"/>
    </xf>
    <xf numFmtId="0" fontId="19" fillId="0" borderId="25" xfId="6" applyFont="1" applyBorder="1" applyAlignment="1">
      <alignment vertical="center" wrapText="1"/>
    </xf>
    <xf numFmtId="0" fontId="20" fillId="0" borderId="29" xfId="6" applyFont="1" applyBorder="1" applyAlignment="1">
      <alignment vertical="center" wrapText="1"/>
    </xf>
    <xf numFmtId="0" fontId="20" fillId="0" borderId="25" xfId="6" applyFont="1" applyBorder="1" applyAlignment="1">
      <alignment vertical="center" wrapText="1"/>
    </xf>
    <xf numFmtId="0" fontId="19" fillId="0" borderId="31" xfId="6" applyFont="1" applyBorder="1" applyAlignment="1">
      <alignment vertical="center" wrapText="1"/>
    </xf>
    <xf numFmtId="0" fontId="18" fillId="0" borderId="34" xfId="6" applyFont="1" applyBorder="1" applyAlignment="1">
      <alignment vertical="center" wrapText="1"/>
    </xf>
    <xf numFmtId="0" fontId="18" fillId="0" borderId="7" xfId="6" applyFont="1" applyBorder="1" applyAlignment="1">
      <alignment vertical="center" wrapText="1"/>
    </xf>
    <xf numFmtId="0" fontId="18" fillId="0" borderId="28" xfId="6" applyFont="1" applyBorder="1" applyAlignment="1">
      <alignment vertical="center" wrapText="1"/>
    </xf>
    <xf numFmtId="0" fontId="19" fillId="0" borderId="26" xfId="6" applyFont="1" applyBorder="1" applyAlignment="1">
      <alignment vertical="center" wrapText="1"/>
    </xf>
    <xf numFmtId="0" fontId="19" fillId="0" borderId="24" xfId="6" applyFont="1" applyBorder="1" applyAlignment="1">
      <alignment vertical="center" wrapText="1"/>
    </xf>
    <xf numFmtId="0" fontId="19" fillId="0" borderId="32" xfId="6" applyFont="1" applyBorder="1" applyAlignment="1">
      <alignment vertical="center" wrapText="1"/>
    </xf>
    <xf numFmtId="0" fontId="19" fillId="0" borderId="33" xfId="6" applyFont="1" applyBorder="1" applyAlignment="1">
      <alignment vertical="center" wrapText="1"/>
    </xf>
    <xf numFmtId="0" fontId="17" fillId="0" borderId="35" xfId="6" applyBorder="1" applyAlignment="1">
      <alignment vertical="center" wrapText="1"/>
    </xf>
    <xf numFmtId="0" fontId="17" fillId="0" borderId="30" xfId="6" applyBorder="1" applyAlignment="1">
      <alignment vertical="center" wrapText="1"/>
    </xf>
    <xf numFmtId="0" fontId="21" fillId="0" borderId="34" xfId="7" applyBorder="1" applyAlignment="1">
      <alignment vertical="center" wrapText="1"/>
    </xf>
    <xf numFmtId="0" fontId="21" fillId="0" borderId="28" xfId="7" applyBorder="1" applyAlignment="1">
      <alignment vertical="center" wrapText="1"/>
    </xf>
    <xf numFmtId="0" fontId="18" fillId="0" borderId="32" xfId="6" applyFont="1" applyBorder="1" applyAlignment="1">
      <alignment vertical="center" wrapText="1"/>
    </xf>
    <xf numFmtId="0" fontId="18" fillId="0" borderId="36" xfId="6" applyFont="1" applyBorder="1" applyAlignment="1">
      <alignment vertical="center" wrapText="1"/>
    </xf>
    <xf numFmtId="0" fontId="18" fillId="0" borderId="33" xfId="6" applyFont="1" applyBorder="1" applyAlignment="1">
      <alignment vertical="center" wrapText="1"/>
    </xf>
    <xf numFmtId="0" fontId="19" fillId="0" borderId="35" xfId="6" applyFont="1" applyBorder="1" applyAlignment="1">
      <alignment vertical="center" wrapText="1"/>
    </xf>
    <xf numFmtId="0" fontId="19" fillId="0" borderId="30" xfId="6" applyFont="1" applyBorder="1" applyAlignment="1">
      <alignment vertical="center" wrapText="1"/>
    </xf>
    <xf numFmtId="0" fontId="19" fillId="0" borderId="34" xfId="6" applyFont="1" applyBorder="1" applyAlignment="1">
      <alignment vertical="center" wrapText="1"/>
    </xf>
    <xf numFmtId="0" fontId="19" fillId="0" borderId="28" xfId="6" applyFont="1" applyBorder="1" applyAlignment="1">
      <alignment vertical="center" wrapText="1"/>
    </xf>
    <xf numFmtId="0" fontId="18" fillId="0" borderId="26" xfId="6" applyFont="1" applyBorder="1" applyAlignment="1">
      <alignment vertical="center" wrapText="1"/>
    </xf>
    <xf numFmtId="0" fontId="18" fillId="0" borderId="27" xfId="6" applyFont="1" applyBorder="1" applyAlignment="1">
      <alignment vertical="center" wrapText="1"/>
    </xf>
    <xf numFmtId="0" fontId="18" fillId="0" borderId="24" xfId="6" applyFont="1" applyBorder="1" applyAlignment="1">
      <alignment vertical="center" wrapText="1"/>
    </xf>
    <xf numFmtId="0" fontId="26" fillId="0" borderId="29" xfId="6" applyFont="1" applyBorder="1" applyAlignment="1">
      <alignment vertical="center" wrapText="1"/>
    </xf>
    <xf numFmtId="0" fontId="26" fillId="0" borderId="25" xfId="6" applyFont="1" applyBorder="1" applyAlignment="1">
      <alignment vertical="center" wrapText="1"/>
    </xf>
    <xf numFmtId="0" fontId="19" fillId="19" borderId="29" xfId="6" applyFont="1" applyFill="1" applyBorder="1" applyAlignment="1">
      <alignment vertical="center" wrapText="1"/>
    </xf>
    <xf numFmtId="0" fontId="19" fillId="19" borderId="25" xfId="6" applyFont="1" applyFill="1" applyBorder="1" applyAlignment="1">
      <alignment vertical="center" wrapText="1"/>
    </xf>
    <xf numFmtId="0" fontId="24" fillId="0" borderId="29" xfId="6" applyFont="1" applyBorder="1" applyAlignment="1">
      <alignment vertical="center" wrapText="1"/>
    </xf>
    <xf numFmtId="0" fontId="24" fillId="0" borderId="25" xfId="6" applyFont="1" applyBorder="1" applyAlignment="1">
      <alignment vertical="center" wrapText="1"/>
    </xf>
    <xf numFmtId="0" fontId="25" fillId="0" borderId="26" xfId="6" applyFont="1" applyBorder="1" applyAlignment="1">
      <alignment vertical="center" wrapText="1"/>
    </xf>
    <xf numFmtId="0" fontId="25" fillId="0" borderId="24" xfId="6" applyFont="1" applyBorder="1" applyAlignment="1">
      <alignment vertical="center" wrapText="1"/>
    </xf>
    <xf numFmtId="0" fontId="19" fillId="3" borderId="31" xfId="6" applyFont="1" applyFill="1" applyBorder="1" applyAlignment="1">
      <alignment vertical="center" wrapText="1"/>
    </xf>
    <xf numFmtId="0" fontId="19" fillId="0" borderId="0" xfId="6" applyFont="1" applyAlignment="1">
      <alignment vertical="center" wrapText="1"/>
    </xf>
    <xf numFmtId="0" fontId="17" fillId="0" borderId="0" xfId="6" applyAlignment="1">
      <alignment vertical="center" wrapText="1"/>
    </xf>
    <xf numFmtId="0" fontId="21" fillId="0" borderId="7" xfId="7" applyBorder="1" applyAlignment="1">
      <alignment vertical="center" wrapText="1"/>
    </xf>
    <xf numFmtId="0" fontId="18" fillId="20" borderId="29" xfId="6" applyFont="1" applyFill="1" applyBorder="1" applyAlignment="1">
      <alignment vertical="center" wrapText="1"/>
    </xf>
    <xf numFmtId="0" fontId="18" fillId="20" borderId="25" xfId="6" applyFont="1" applyFill="1" applyBorder="1" applyAlignment="1">
      <alignment vertical="center" wrapText="1"/>
    </xf>
    <xf numFmtId="0" fontId="24" fillId="0" borderId="26" xfId="6" applyFont="1" applyBorder="1" applyAlignment="1">
      <alignment vertical="center" wrapText="1"/>
    </xf>
    <xf numFmtId="0" fontId="24" fillId="0" borderId="27" xfId="6" applyFont="1" applyBorder="1" applyAlignment="1">
      <alignment vertical="center" wrapText="1"/>
    </xf>
    <xf numFmtId="0" fontId="24" fillId="0" borderId="24" xfId="6" applyFont="1" applyBorder="1" applyAlignment="1">
      <alignment vertical="center" wrapText="1"/>
    </xf>
    <xf numFmtId="0" fontId="19" fillId="19" borderId="31" xfId="6" applyFont="1" applyFill="1" applyBorder="1" applyAlignment="1">
      <alignment vertical="center" wrapText="1"/>
    </xf>
    <xf numFmtId="0" fontId="20" fillId="0" borderId="31" xfId="6" applyFont="1" applyBorder="1" applyAlignment="1">
      <alignment vertical="center" wrapText="1"/>
    </xf>
  </cellXfs>
  <cellStyles count="8">
    <cellStyle name="Collegamento ipertestuale" xfId="1" builtinId="8"/>
    <cellStyle name="Collegamento ipertestuale 2" xfId="7" xr:uid="{47B8907F-B258-4E42-B51E-90C65AF6CDBF}"/>
    <cellStyle name="Colore 1" xfId="2" builtinId="29"/>
    <cellStyle name="Colore 2" xfId="3" builtinId="33"/>
    <cellStyle name="Normale" xfId="0" builtinId="0"/>
    <cellStyle name="Normale 2" xfId="5" xr:uid="{76715272-5E56-4A11-97CF-40F3D1F8E91D}"/>
    <cellStyle name="Normale 3" xfId="6" xr:uid="{74C9A75E-E64A-4505-8DCE-DD1FA30A65FB}"/>
    <cellStyle name="Nota" xfId="4" builtinId="10"/>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5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C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C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6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6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8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C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D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D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F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5.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A43" zoomScaleNormal="100" workbookViewId="0">
      <selection activeCell="C54" sqref="C54:F54"/>
    </sheetView>
  </sheetViews>
  <sheetFormatPr defaultColWidth="9.1328125" defaultRowHeight="14.75" x14ac:dyDescent="0.75"/>
  <cols>
    <col min="1" max="1" width="14.54296875" style="146" customWidth="1"/>
    <col min="2" max="2" width="87.90625" style="146" hidden="1" customWidth="1"/>
    <col min="3" max="3" width="87.90625" style="146" customWidth="1"/>
    <col min="4" max="4" width="63" style="146" customWidth="1"/>
    <col min="5" max="5" width="13.54296875" style="146" customWidth="1"/>
    <col min="6" max="6" width="12.7265625" style="146" customWidth="1"/>
    <col min="7" max="7" width="23.26953125" style="146" customWidth="1"/>
    <col min="8" max="8" width="39.26953125" style="146" customWidth="1"/>
    <col min="9" max="10" width="39.26953125" style="79" customWidth="1"/>
    <col min="11" max="16384" width="9.1328125" style="79"/>
  </cols>
  <sheetData>
    <row r="1" spans="1:10" ht="16.25" thickBot="1" x14ac:dyDescent="0.9">
      <c r="A1" s="77" t="s">
        <v>876</v>
      </c>
      <c r="B1" s="78" t="s">
        <v>877</v>
      </c>
      <c r="C1" s="78"/>
      <c r="D1" s="78" t="s">
        <v>3</v>
      </c>
      <c r="E1" s="78" t="s">
        <v>6</v>
      </c>
      <c r="F1" s="78" t="s">
        <v>7</v>
      </c>
      <c r="G1" s="78"/>
      <c r="H1" s="78" t="s">
        <v>878</v>
      </c>
      <c r="I1" s="78" t="s">
        <v>879</v>
      </c>
      <c r="J1" s="78" t="s">
        <v>880</v>
      </c>
    </row>
    <row r="2" spans="1:10" ht="16.5" thickBot="1" x14ac:dyDescent="0.9">
      <c r="A2" s="80" t="s">
        <v>1859</v>
      </c>
      <c r="B2" s="81" t="s">
        <v>882</v>
      </c>
      <c r="C2" s="147" t="str">
        <f>CONCATENATE(A2,"-",B2," [",J2,"]")</f>
        <v>A.1-Report header data element [Mandatory]</v>
      </c>
      <c r="D2" s="82"/>
      <c r="E2" s="82">
        <f>_xlfn.NUMBERVALUE(MID(I2,1,1))</f>
        <v>1</v>
      </c>
      <c r="F2" s="82" t="str">
        <f t="shared" ref="F2:F11" si="0">MID(I2,4,1)</f>
        <v>1</v>
      </c>
      <c r="G2" s="82"/>
      <c r="H2" s="83"/>
      <c r="I2" s="84" t="s">
        <v>883</v>
      </c>
      <c r="J2" s="84" t="s">
        <v>884</v>
      </c>
    </row>
    <row r="3" spans="1:10" ht="16.5" thickBot="1" x14ac:dyDescent="0.9">
      <c r="A3" s="80" t="s">
        <v>1860</v>
      </c>
      <c r="B3" s="81" t="s">
        <v>886</v>
      </c>
      <c r="C3" s="147" t="str">
        <f t="shared" ref="C3:C67" si="1">CONCATENATE(A3,"-",B3," [",J3,"]")</f>
        <v>A.1.1-Identification of the patient/subject [Mandatory]</v>
      </c>
      <c r="D3" s="82"/>
      <c r="E3" s="82">
        <f t="shared" ref="E3:E66" si="2">_xlfn.NUMBERVALUE(MID(I3,1,1))</f>
        <v>1</v>
      </c>
      <c r="F3" s="82" t="str">
        <f t="shared" si="0"/>
        <v>1</v>
      </c>
      <c r="G3" s="82"/>
      <c r="H3" s="83"/>
      <c r="I3" s="85" t="s">
        <v>883</v>
      </c>
      <c r="J3" s="85" t="s">
        <v>884</v>
      </c>
    </row>
    <row r="4" spans="1:10" ht="32.25" thickBot="1" x14ac:dyDescent="0.9">
      <c r="A4" s="86" t="s">
        <v>887</v>
      </c>
      <c r="B4" s="87" t="s">
        <v>888</v>
      </c>
      <c r="C4" s="147" t="str">
        <f t="shared" si="1"/>
        <v>A.1.1.1-Given name  [Mandatory]</v>
      </c>
      <c r="D4" s="85" t="s">
        <v>889</v>
      </c>
      <c r="E4" s="82">
        <f t="shared" si="2"/>
        <v>1</v>
      </c>
      <c r="F4" s="82" t="str">
        <f t="shared" si="0"/>
        <v>*</v>
      </c>
      <c r="G4" s="144"/>
      <c r="H4" s="88"/>
      <c r="I4" s="85" t="s">
        <v>890</v>
      </c>
      <c r="J4" s="85" t="s">
        <v>884</v>
      </c>
    </row>
    <row r="5" spans="1:10" ht="32.25" thickBot="1" x14ac:dyDescent="0.9">
      <c r="A5" s="86" t="s">
        <v>891</v>
      </c>
      <c r="B5" s="87" t="s">
        <v>892</v>
      </c>
      <c r="C5" s="147" t="str">
        <f t="shared" si="1"/>
        <v>A.1.1.2-Family name/surname [Mandatory]</v>
      </c>
      <c r="D5" s="85" t="s">
        <v>893</v>
      </c>
      <c r="E5" s="82">
        <f t="shared" si="2"/>
        <v>1</v>
      </c>
      <c r="F5" s="82" t="str">
        <f t="shared" si="0"/>
        <v>*</v>
      </c>
      <c r="G5" s="144"/>
      <c r="H5" s="88"/>
      <c r="I5" s="85" t="s">
        <v>890</v>
      </c>
      <c r="J5" s="85" t="s">
        <v>884</v>
      </c>
    </row>
    <row r="6" spans="1:10" ht="48" thickBot="1" x14ac:dyDescent="0.9">
      <c r="A6" s="86" t="s">
        <v>894</v>
      </c>
      <c r="B6" s="87" t="s">
        <v>895</v>
      </c>
      <c r="C6" s="147" t="str">
        <f t="shared" si="1"/>
        <v>A.1.1.3-Date of birth  [Required]</v>
      </c>
      <c r="D6" s="85" t="s">
        <v>896</v>
      </c>
      <c r="E6" s="82">
        <f t="shared" si="2"/>
        <v>1</v>
      </c>
      <c r="F6" s="82" t="str">
        <f t="shared" si="0"/>
        <v>1</v>
      </c>
      <c r="G6" s="144"/>
      <c r="H6" s="88"/>
      <c r="I6" s="85" t="s">
        <v>883</v>
      </c>
      <c r="J6" s="85" t="s">
        <v>59</v>
      </c>
    </row>
    <row r="7" spans="1:10" ht="48" thickBot="1" x14ac:dyDescent="0.9">
      <c r="A7" s="86" t="s">
        <v>897</v>
      </c>
      <c r="B7" s="87" t="s">
        <v>898</v>
      </c>
      <c r="C7" s="147" t="str">
        <f t="shared" si="1"/>
        <v>A.1.1.4-Personal identifier  [Required]</v>
      </c>
      <c r="D7" s="85" t="s">
        <v>899</v>
      </c>
      <c r="E7" s="82">
        <f t="shared" si="2"/>
        <v>1</v>
      </c>
      <c r="F7" s="82" t="str">
        <f t="shared" si="0"/>
        <v>*</v>
      </c>
      <c r="G7" s="144"/>
      <c r="H7" s="88"/>
      <c r="I7" s="85" t="s">
        <v>890</v>
      </c>
      <c r="J7" s="85" t="s">
        <v>59</v>
      </c>
    </row>
    <row r="8" spans="1:10" ht="16.5" thickBot="1" x14ac:dyDescent="0.9">
      <c r="A8" s="86" t="s">
        <v>900</v>
      </c>
      <c r="B8" s="87" t="s">
        <v>901</v>
      </c>
      <c r="C8" s="147" t="str">
        <f t="shared" si="1"/>
        <v>A.1.1.5-Nationality [Required]</v>
      </c>
      <c r="D8" s="85" t="s">
        <v>902</v>
      </c>
      <c r="E8" s="82">
        <f t="shared" si="2"/>
        <v>0</v>
      </c>
      <c r="F8" s="82" t="str">
        <f t="shared" si="0"/>
        <v>*</v>
      </c>
      <c r="G8" s="144"/>
      <c r="H8" s="89" t="s">
        <v>903</v>
      </c>
      <c r="I8" s="85" t="s">
        <v>904</v>
      </c>
      <c r="J8" s="85" t="s">
        <v>59</v>
      </c>
    </row>
    <row r="9" spans="1:10" ht="48" thickBot="1" x14ac:dyDescent="0.9">
      <c r="A9" s="86" t="s">
        <v>905</v>
      </c>
      <c r="B9" s="87" t="s">
        <v>60</v>
      </c>
      <c r="C9" s="147" t="str">
        <f t="shared" si="1"/>
        <v>A.1.1.6-Gender [Mandatory]</v>
      </c>
      <c r="D9" s="85" t="s">
        <v>906</v>
      </c>
      <c r="E9" s="82">
        <f t="shared" si="2"/>
        <v>1</v>
      </c>
      <c r="F9" s="82" t="str">
        <f t="shared" si="0"/>
        <v>1</v>
      </c>
      <c r="G9" s="144"/>
      <c r="H9" s="89" t="s">
        <v>907</v>
      </c>
      <c r="I9" s="85" t="s">
        <v>883</v>
      </c>
      <c r="J9" s="85" t="s">
        <v>884</v>
      </c>
    </row>
    <row r="10" spans="1:10" ht="32.25" thickBot="1" x14ac:dyDescent="0.9">
      <c r="A10" s="86" t="s">
        <v>908</v>
      </c>
      <c r="B10" s="90" t="s">
        <v>909</v>
      </c>
      <c r="C10" s="147" t="str">
        <f t="shared" si="1"/>
        <v>A.1.1.7-Language communication [Optional]</v>
      </c>
      <c r="D10" s="85" t="s">
        <v>910</v>
      </c>
      <c r="E10" s="82">
        <f t="shared" si="2"/>
        <v>0</v>
      </c>
      <c r="F10" s="82" t="str">
        <f t="shared" si="0"/>
        <v>*</v>
      </c>
      <c r="G10" s="144"/>
      <c r="H10" s="85" t="s">
        <v>911</v>
      </c>
      <c r="I10" s="85" t="s">
        <v>904</v>
      </c>
      <c r="J10" s="85" t="s">
        <v>912</v>
      </c>
    </row>
    <row r="11" spans="1:10" ht="16.5" thickBot="1" x14ac:dyDescent="0.9">
      <c r="A11" s="80" t="s">
        <v>1861</v>
      </c>
      <c r="B11" s="81" t="s">
        <v>914</v>
      </c>
      <c r="C11" s="147" t="str">
        <f>CONCATENATE(A11,"-",B11," [",J11,"]")</f>
        <v>A.1.2-Patient/subject related contact information [Required]</v>
      </c>
      <c r="D11" s="82"/>
      <c r="E11" s="82">
        <f t="shared" si="2"/>
        <v>0</v>
      </c>
      <c r="F11" s="82" t="str">
        <f t="shared" si="0"/>
        <v>1</v>
      </c>
      <c r="G11" s="82"/>
      <c r="H11" s="83"/>
      <c r="I11" s="85" t="s">
        <v>915</v>
      </c>
      <c r="J11" s="85" t="s">
        <v>59</v>
      </c>
    </row>
    <row r="12" spans="1:10" ht="16.5" thickBot="1" x14ac:dyDescent="0.9">
      <c r="A12" s="80" t="s">
        <v>916</v>
      </c>
      <c r="B12" s="81" t="s">
        <v>917</v>
      </c>
      <c r="C12" s="147" t="str">
        <f t="shared" si="1"/>
        <v>A.1.2.1-Patient address []</v>
      </c>
      <c r="D12" s="82"/>
      <c r="E12" s="152">
        <f t="shared" si="2"/>
        <v>0</v>
      </c>
      <c r="F12" s="152" t="s">
        <v>9</v>
      </c>
      <c r="G12" s="152"/>
      <c r="H12" s="83"/>
      <c r="I12" s="88"/>
      <c r="J12" s="88"/>
    </row>
    <row r="13" spans="1:10" ht="95.25" thickBot="1" x14ac:dyDescent="0.9">
      <c r="A13" s="86" t="s">
        <v>918</v>
      </c>
      <c r="B13" s="91" t="s">
        <v>919</v>
      </c>
      <c r="C13" s="147" t="str">
        <f t="shared" si="1"/>
        <v>A.1.2.1.1-Address [Required]</v>
      </c>
      <c r="D13" s="85" t="s">
        <v>920</v>
      </c>
      <c r="E13" s="82">
        <f t="shared" si="2"/>
        <v>0</v>
      </c>
      <c r="F13" s="82" t="str">
        <f t="shared" ref="F13:F44" si="3">MID(I13,4,1)</f>
        <v>*</v>
      </c>
      <c r="G13" s="144"/>
      <c r="H13" s="89" t="s">
        <v>903</v>
      </c>
      <c r="I13" s="85" t="s">
        <v>904</v>
      </c>
      <c r="J13" s="85" t="s">
        <v>59</v>
      </c>
    </row>
    <row r="14" spans="1:10" ht="32.25" thickBot="1" x14ac:dyDescent="0.9">
      <c r="A14" s="86" t="s">
        <v>921</v>
      </c>
      <c r="B14" s="91" t="s">
        <v>922</v>
      </c>
      <c r="C14" s="147" t="str">
        <f t="shared" si="1"/>
        <v>A.1.2.1.2-Telecom [Required]</v>
      </c>
      <c r="D14" s="85" t="s">
        <v>923</v>
      </c>
      <c r="E14" s="82">
        <f t="shared" si="2"/>
        <v>0</v>
      </c>
      <c r="F14" s="82" t="str">
        <f t="shared" si="3"/>
        <v>*</v>
      </c>
      <c r="G14" s="144"/>
      <c r="H14" s="88"/>
      <c r="I14" s="85" t="s">
        <v>904</v>
      </c>
      <c r="J14" s="85" t="s">
        <v>59</v>
      </c>
    </row>
    <row r="15" spans="1:10" ht="16.5" customHeight="1" thickBot="1" x14ac:dyDescent="0.9">
      <c r="A15" s="80" t="s">
        <v>924</v>
      </c>
      <c r="B15" s="81" t="s">
        <v>1828</v>
      </c>
      <c r="C15" s="147" t="str">
        <f t="shared" si="1"/>
        <v>A.1.2.2-Preferred healthcare professional (HP) [Optional]</v>
      </c>
      <c r="D15" s="85" t="s">
        <v>1829</v>
      </c>
      <c r="E15" s="82">
        <f t="shared" si="2"/>
        <v>0</v>
      </c>
      <c r="F15" s="82" t="str">
        <f t="shared" si="3"/>
        <v>*</v>
      </c>
      <c r="G15" s="82"/>
      <c r="H15" s="83"/>
      <c r="I15" s="85" t="s">
        <v>904</v>
      </c>
      <c r="J15" s="85" t="s">
        <v>912</v>
      </c>
    </row>
    <row r="16" spans="1:10" ht="48" thickBot="1" x14ac:dyDescent="0.9">
      <c r="A16" s="86" t="s">
        <v>926</v>
      </c>
      <c r="B16" s="92" t="s">
        <v>927</v>
      </c>
      <c r="C16" s="147" t="str">
        <f t="shared" si="1"/>
        <v>A.1.2.2.1-Identifier [Required]</v>
      </c>
      <c r="D16" s="85" t="s">
        <v>928</v>
      </c>
      <c r="E16" s="82">
        <f t="shared" si="2"/>
        <v>0</v>
      </c>
      <c r="F16" s="82" t="str">
        <f t="shared" si="3"/>
        <v>*</v>
      </c>
      <c r="G16" s="144"/>
      <c r="H16" s="88"/>
      <c r="I16" s="85" t="s">
        <v>904</v>
      </c>
      <c r="J16" s="85" t="s">
        <v>59</v>
      </c>
    </row>
    <row r="17" spans="1:10" ht="111" thickBot="1" x14ac:dyDescent="0.9">
      <c r="A17" s="93" t="s">
        <v>929</v>
      </c>
      <c r="B17" s="94" t="s">
        <v>930</v>
      </c>
      <c r="C17" s="147" t="str">
        <f t="shared" si="1"/>
        <v>A.1.2.2.2-Name of the HP [Required]</v>
      </c>
      <c r="D17" s="95" t="s">
        <v>1830</v>
      </c>
      <c r="E17" s="82">
        <f t="shared" si="2"/>
        <v>1</v>
      </c>
      <c r="F17" s="82" t="str">
        <f t="shared" si="3"/>
        <v>1</v>
      </c>
      <c r="G17" s="122"/>
      <c r="H17" s="96"/>
      <c r="I17" s="93" t="s">
        <v>883</v>
      </c>
      <c r="J17" s="93" t="s">
        <v>59</v>
      </c>
    </row>
    <row r="18" spans="1:10" ht="32.25" thickBot="1" x14ac:dyDescent="0.9">
      <c r="A18" s="86" t="s">
        <v>934</v>
      </c>
      <c r="B18" s="92" t="s">
        <v>935</v>
      </c>
      <c r="C18" s="147" t="str">
        <f t="shared" si="1"/>
        <v>A.1.2.2.3-Role of the HP [Required]</v>
      </c>
      <c r="D18" s="85" t="s">
        <v>936</v>
      </c>
      <c r="E18" s="82">
        <f t="shared" si="2"/>
        <v>0</v>
      </c>
      <c r="F18" s="82" t="str">
        <f t="shared" si="3"/>
        <v>*</v>
      </c>
      <c r="G18" s="144"/>
      <c r="H18" s="85" t="s">
        <v>937</v>
      </c>
      <c r="I18" s="85" t="s">
        <v>904</v>
      </c>
      <c r="J18" s="85" t="s">
        <v>59</v>
      </c>
    </row>
    <row r="19" spans="1:10" ht="16.5" thickBot="1" x14ac:dyDescent="0.9">
      <c r="A19" s="86" t="s">
        <v>938</v>
      </c>
      <c r="B19" s="92" t="s">
        <v>939</v>
      </c>
      <c r="C19" s="147" t="str">
        <f t="shared" si="1"/>
        <v>A.1.2.2.4-HP Organisation [Required]</v>
      </c>
      <c r="D19" s="85" t="s">
        <v>940</v>
      </c>
      <c r="E19" s="82">
        <f t="shared" si="2"/>
        <v>0</v>
      </c>
      <c r="F19" s="82" t="str">
        <f t="shared" si="3"/>
        <v>1</v>
      </c>
      <c r="G19" s="144"/>
      <c r="H19" s="88"/>
      <c r="I19" s="85" t="s">
        <v>915</v>
      </c>
      <c r="J19" s="85" t="s">
        <v>59</v>
      </c>
    </row>
    <row r="20" spans="1:10" ht="95.25" thickBot="1" x14ac:dyDescent="0.9">
      <c r="A20" s="86" t="s">
        <v>941</v>
      </c>
      <c r="B20" s="92" t="s">
        <v>919</v>
      </c>
      <c r="C20" s="147" t="str">
        <f t="shared" si="1"/>
        <v>A.1.2.2.5-Address [Optional]</v>
      </c>
      <c r="D20" s="85" t="s">
        <v>920</v>
      </c>
      <c r="E20" s="82">
        <f t="shared" si="2"/>
        <v>0</v>
      </c>
      <c r="F20" s="82" t="str">
        <f t="shared" si="3"/>
        <v>1</v>
      </c>
      <c r="G20" s="144"/>
      <c r="H20" s="88"/>
      <c r="I20" s="85" t="s">
        <v>915</v>
      </c>
      <c r="J20" s="85" t="s">
        <v>912</v>
      </c>
    </row>
    <row r="21" spans="1:10" ht="32.25" thickBot="1" x14ac:dyDescent="0.9">
      <c r="A21" s="86" t="s">
        <v>942</v>
      </c>
      <c r="B21" s="92" t="s">
        <v>922</v>
      </c>
      <c r="C21" s="147" t="str">
        <f t="shared" si="1"/>
        <v>A.1.2.2.6-Telecom [Required]</v>
      </c>
      <c r="D21" s="85" t="s">
        <v>923</v>
      </c>
      <c r="E21" s="82">
        <f t="shared" si="2"/>
        <v>0</v>
      </c>
      <c r="F21" s="82" t="str">
        <f t="shared" si="3"/>
        <v>*</v>
      </c>
      <c r="G21" s="144"/>
      <c r="H21" s="88"/>
      <c r="I21" s="85" t="s">
        <v>904</v>
      </c>
      <c r="J21" s="85" t="s">
        <v>59</v>
      </c>
    </row>
    <row r="22" spans="1:10" ht="16.5" thickBot="1" x14ac:dyDescent="0.9">
      <c r="A22" s="80" t="s">
        <v>943</v>
      </c>
      <c r="B22" s="81" t="s">
        <v>944</v>
      </c>
      <c r="C22" s="147" t="str">
        <f t="shared" si="1"/>
        <v>A.1.2.3-Contact person/ legal guardian [Required]</v>
      </c>
      <c r="D22" s="82"/>
      <c r="E22" s="82">
        <f t="shared" si="2"/>
        <v>0</v>
      </c>
      <c r="F22" s="82" t="str">
        <f t="shared" si="3"/>
        <v>*</v>
      </c>
      <c r="G22" s="82"/>
      <c r="H22" s="83"/>
      <c r="I22" s="85" t="s">
        <v>904</v>
      </c>
      <c r="J22" s="85" t="s">
        <v>59</v>
      </c>
    </row>
    <row r="23" spans="1:10" ht="32.25" thickBot="1" x14ac:dyDescent="0.9">
      <c r="A23" s="86" t="s">
        <v>945</v>
      </c>
      <c r="B23" s="90" t="s">
        <v>946</v>
      </c>
      <c r="C23" s="147" t="str">
        <f t="shared" si="1"/>
        <v>A.1.2.3.1-Role of that person [Required]</v>
      </c>
      <c r="D23" s="85" t="s">
        <v>947</v>
      </c>
      <c r="E23" s="152">
        <f t="shared" si="2"/>
        <v>0</v>
      </c>
      <c r="F23" s="152" t="s">
        <v>9</v>
      </c>
      <c r="G23" s="144"/>
      <c r="H23" s="89" t="s">
        <v>948</v>
      </c>
      <c r="I23" s="154"/>
      <c r="J23" s="85" t="s">
        <v>59</v>
      </c>
    </row>
    <row r="24" spans="1:10" ht="16.5" thickBot="1" x14ac:dyDescent="0.9">
      <c r="A24" s="86" t="s">
        <v>949</v>
      </c>
      <c r="B24" s="90" t="s">
        <v>950</v>
      </c>
      <c r="C24" s="147" t="str">
        <f t="shared" si="1"/>
        <v>A.1.2.3.2-Relationship level  [Required]</v>
      </c>
      <c r="D24" s="85" t="s">
        <v>951</v>
      </c>
      <c r="E24" s="82">
        <f t="shared" si="2"/>
        <v>0</v>
      </c>
      <c r="F24" s="82" t="str">
        <f t="shared" si="3"/>
        <v>1</v>
      </c>
      <c r="G24" s="144"/>
      <c r="H24" s="89" t="s">
        <v>952</v>
      </c>
      <c r="I24" s="85" t="s">
        <v>915</v>
      </c>
      <c r="J24" s="85" t="s">
        <v>59</v>
      </c>
    </row>
    <row r="25" spans="1:10" ht="48" thickBot="1" x14ac:dyDescent="0.9">
      <c r="A25" s="86" t="s">
        <v>953</v>
      </c>
      <c r="B25" s="90" t="s">
        <v>927</v>
      </c>
      <c r="C25" s="147" t="str">
        <f t="shared" si="1"/>
        <v>A.1.2.3.3-Identifier [Optional]</v>
      </c>
      <c r="D25" s="85" t="s">
        <v>954</v>
      </c>
      <c r="E25" s="82">
        <f t="shared" si="2"/>
        <v>0</v>
      </c>
      <c r="F25" s="82" t="str">
        <f t="shared" si="3"/>
        <v>*</v>
      </c>
      <c r="G25" s="144"/>
      <c r="H25" s="99"/>
      <c r="I25" s="85" t="s">
        <v>904</v>
      </c>
      <c r="J25" s="85" t="s">
        <v>912</v>
      </c>
    </row>
    <row r="26" spans="1:10" ht="32.25" thickBot="1" x14ac:dyDescent="0.9">
      <c r="A26" s="86" t="s">
        <v>955</v>
      </c>
      <c r="B26" s="87" t="s">
        <v>956</v>
      </c>
      <c r="C26" s="147" t="str">
        <f t="shared" si="1"/>
        <v>A.1.2.3.4-Given name [Mandatory]</v>
      </c>
      <c r="D26" s="85" t="s">
        <v>957</v>
      </c>
      <c r="E26" s="82">
        <f t="shared" si="2"/>
        <v>1</v>
      </c>
      <c r="F26" s="82" t="str">
        <f t="shared" si="3"/>
        <v>*</v>
      </c>
      <c r="G26" s="144"/>
      <c r="H26" s="88"/>
      <c r="I26" s="85" t="s">
        <v>890</v>
      </c>
      <c r="J26" s="85" t="s">
        <v>884</v>
      </c>
    </row>
    <row r="27" spans="1:10" ht="32.25" thickBot="1" x14ac:dyDescent="0.9">
      <c r="A27" s="86" t="s">
        <v>958</v>
      </c>
      <c r="B27" s="87" t="s">
        <v>892</v>
      </c>
      <c r="C27" s="147" t="str">
        <f t="shared" si="1"/>
        <v>A.1.2.3.5-Family name/surname [Mandatory]</v>
      </c>
      <c r="D27" s="85" t="s">
        <v>959</v>
      </c>
      <c r="E27" s="82">
        <f t="shared" si="2"/>
        <v>1</v>
      </c>
      <c r="F27" s="82" t="str">
        <f t="shared" si="3"/>
        <v>*</v>
      </c>
      <c r="G27" s="144"/>
      <c r="H27" s="88"/>
      <c r="I27" s="85" t="s">
        <v>890</v>
      </c>
      <c r="J27" s="85" t="s">
        <v>884</v>
      </c>
    </row>
    <row r="28" spans="1:10" ht="95.25" thickBot="1" x14ac:dyDescent="0.9">
      <c r="A28" s="86" t="s">
        <v>960</v>
      </c>
      <c r="B28" s="90" t="s">
        <v>919</v>
      </c>
      <c r="C28" s="147" t="str">
        <f t="shared" si="1"/>
        <v>A.1.2.3.6-Address [Optional]</v>
      </c>
      <c r="D28" s="85" t="s">
        <v>961</v>
      </c>
      <c r="E28" s="82">
        <f t="shared" si="2"/>
        <v>0</v>
      </c>
      <c r="F28" s="82" t="str">
        <f t="shared" si="3"/>
        <v>1</v>
      </c>
      <c r="G28" s="144"/>
      <c r="H28" s="99"/>
      <c r="I28" s="85" t="s">
        <v>915</v>
      </c>
      <c r="J28" s="85" t="s">
        <v>912</v>
      </c>
    </row>
    <row r="29" spans="1:10" ht="32.25" thickBot="1" x14ac:dyDescent="0.9">
      <c r="A29" s="86" t="s">
        <v>962</v>
      </c>
      <c r="B29" s="90" t="s">
        <v>922</v>
      </c>
      <c r="C29" s="147" t="str">
        <f t="shared" si="1"/>
        <v>A.1.2.3.7-Telecom [Required]</v>
      </c>
      <c r="D29" s="85" t="s">
        <v>923</v>
      </c>
      <c r="E29" s="82">
        <f t="shared" si="2"/>
        <v>0</v>
      </c>
      <c r="F29" s="82" t="str">
        <f t="shared" si="3"/>
        <v>*</v>
      </c>
      <c r="G29" s="144"/>
      <c r="H29" s="88"/>
      <c r="I29" s="85" t="s">
        <v>904</v>
      </c>
      <c r="J29" s="85" t="s">
        <v>59</v>
      </c>
    </row>
    <row r="30" spans="1:10" ht="63.75" thickBot="1" x14ac:dyDescent="0.9">
      <c r="A30" s="80" t="s">
        <v>1862</v>
      </c>
      <c r="B30" s="81" t="s">
        <v>1831</v>
      </c>
      <c r="C30" s="147" t="str">
        <f t="shared" si="1"/>
        <v>A.1.3-Health insurance and payment information [Required]</v>
      </c>
      <c r="D30" s="85" t="s">
        <v>1832</v>
      </c>
      <c r="E30" s="82">
        <f t="shared" si="2"/>
        <v>0</v>
      </c>
      <c r="F30" s="82" t="str">
        <f t="shared" si="3"/>
        <v>1</v>
      </c>
      <c r="G30" s="82"/>
      <c r="H30" s="83"/>
      <c r="I30" s="85" t="s">
        <v>915</v>
      </c>
      <c r="J30" s="85" t="s">
        <v>59</v>
      </c>
    </row>
    <row r="31" spans="1:10" ht="16.5" thickBot="1" x14ac:dyDescent="0.9">
      <c r="A31" s="86" t="s">
        <v>965</v>
      </c>
      <c r="B31" s="87" t="s">
        <v>966</v>
      </c>
      <c r="C31" s="147" t="str">
        <f t="shared" si="1"/>
        <v>A.1.3.1-Health insurance code [Mandatory]</v>
      </c>
      <c r="D31" s="85" t="s">
        <v>967</v>
      </c>
      <c r="E31" s="82">
        <f t="shared" si="2"/>
        <v>0</v>
      </c>
      <c r="F31" s="82" t="str">
        <f t="shared" si="3"/>
        <v>1</v>
      </c>
      <c r="G31" s="144"/>
      <c r="H31" s="88"/>
      <c r="I31" s="85" t="s">
        <v>915</v>
      </c>
      <c r="J31" s="85" t="s">
        <v>884</v>
      </c>
    </row>
    <row r="32" spans="1:10" ht="16.5" thickBot="1" x14ac:dyDescent="0.9">
      <c r="A32" s="86" t="s">
        <v>968</v>
      </c>
      <c r="B32" s="87" t="s">
        <v>969</v>
      </c>
      <c r="C32" s="147" t="str">
        <f t="shared" si="1"/>
        <v>A.1.3.2-Health insurance name [Required]</v>
      </c>
      <c r="D32" s="85" t="s">
        <v>970</v>
      </c>
      <c r="E32" s="82">
        <f t="shared" si="2"/>
        <v>0</v>
      </c>
      <c r="F32" s="82" t="str">
        <f t="shared" si="3"/>
        <v>1</v>
      </c>
      <c r="G32" s="144"/>
      <c r="H32" s="88"/>
      <c r="I32" s="85" t="s">
        <v>915</v>
      </c>
      <c r="J32" s="85" t="s">
        <v>59</v>
      </c>
    </row>
    <row r="33" spans="1:10" ht="32.25" thickBot="1" x14ac:dyDescent="0.9">
      <c r="A33" s="86" t="s">
        <v>971</v>
      </c>
      <c r="B33" s="87" t="s">
        <v>972</v>
      </c>
      <c r="C33" s="147" t="str">
        <f t="shared" si="1"/>
        <v>A.1.3.3-Health insurance number [Mandatory]</v>
      </c>
      <c r="D33" s="85" t="s">
        <v>973</v>
      </c>
      <c r="E33" s="82">
        <f t="shared" si="2"/>
        <v>0</v>
      </c>
      <c r="F33" s="82" t="str">
        <f t="shared" si="3"/>
        <v>1</v>
      </c>
      <c r="G33" s="144"/>
      <c r="H33" s="88"/>
      <c r="I33" s="85" t="s">
        <v>915</v>
      </c>
      <c r="J33" s="85" t="s">
        <v>884</v>
      </c>
    </row>
    <row r="34" spans="1:10" ht="32.25" thickBot="1" x14ac:dyDescent="0.9">
      <c r="A34" s="80" t="s">
        <v>1863</v>
      </c>
      <c r="B34" s="81" t="s">
        <v>1833</v>
      </c>
      <c r="C34" s="147" t="str">
        <f t="shared" si="1"/>
        <v>A.1.4-Information recipient [Required]</v>
      </c>
      <c r="D34" s="85" t="s">
        <v>1891</v>
      </c>
      <c r="E34" s="82">
        <f t="shared" si="2"/>
        <v>0</v>
      </c>
      <c r="F34" s="82" t="str">
        <f t="shared" si="3"/>
        <v>*</v>
      </c>
      <c r="G34" s="82"/>
      <c r="H34" s="83"/>
      <c r="I34" s="85" t="s">
        <v>904</v>
      </c>
      <c r="J34" s="85" t="s">
        <v>59</v>
      </c>
    </row>
    <row r="35" spans="1:10" ht="79.5" thickBot="1" x14ac:dyDescent="0.9">
      <c r="A35" s="86" t="s">
        <v>976</v>
      </c>
      <c r="B35" s="90" t="s">
        <v>977</v>
      </c>
      <c r="C35" s="147" t="str">
        <f t="shared" si="1"/>
        <v>A.1.4.1-Recipient identifier [Required]</v>
      </c>
      <c r="D35" s="85" t="s">
        <v>978</v>
      </c>
      <c r="E35" s="82">
        <f t="shared" si="2"/>
        <v>0</v>
      </c>
      <c r="F35" s="82" t="str">
        <f t="shared" si="3"/>
        <v>1</v>
      </c>
      <c r="G35" s="144"/>
      <c r="H35" s="88"/>
      <c r="I35" s="85" t="s">
        <v>915</v>
      </c>
      <c r="J35" s="85" t="s">
        <v>59</v>
      </c>
    </row>
    <row r="36" spans="1:10" ht="16.5" thickBot="1" x14ac:dyDescent="0.9">
      <c r="A36" s="86" t="s">
        <v>979</v>
      </c>
      <c r="B36" s="90" t="s">
        <v>980</v>
      </c>
      <c r="C36" s="147" t="str">
        <f t="shared" si="1"/>
        <v>A.1.4.2-Recipient name [Required]</v>
      </c>
      <c r="D36" s="85" t="s">
        <v>981</v>
      </c>
      <c r="E36" s="82">
        <f t="shared" si="2"/>
        <v>0</v>
      </c>
      <c r="F36" s="82" t="str">
        <f t="shared" si="3"/>
        <v>1</v>
      </c>
      <c r="G36" s="144"/>
      <c r="H36" s="88"/>
      <c r="I36" s="85" t="s">
        <v>915</v>
      </c>
      <c r="J36" s="85" t="s">
        <v>59</v>
      </c>
    </row>
    <row r="37" spans="1:10" ht="48" thickBot="1" x14ac:dyDescent="0.9">
      <c r="A37" s="86" t="s">
        <v>982</v>
      </c>
      <c r="B37" s="90" t="s">
        <v>983</v>
      </c>
      <c r="C37" s="147" t="str">
        <f t="shared" si="1"/>
        <v>A.1.4.3-Recipient organization ID [Required]</v>
      </c>
      <c r="D37" s="85" t="s">
        <v>984</v>
      </c>
      <c r="E37" s="82">
        <f t="shared" si="2"/>
        <v>0</v>
      </c>
      <c r="F37" s="82" t="str">
        <f t="shared" si="3"/>
        <v>*</v>
      </c>
      <c r="G37" s="144"/>
      <c r="H37" s="88"/>
      <c r="I37" s="85" t="s">
        <v>904</v>
      </c>
      <c r="J37" s="85" t="s">
        <v>59</v>
      </c>
    </row>
    <row r="38" spans="1:10" ht="16.5" thickBot="1" x14ac:dyDescent="0.9">
      <c r="A38" s="86" t="s">
        <v>985</v>
      </c>
      <c r="B38" s="90" t="s">
        <v>986</v>
      </c>
      <c r="C38" s="147" t="str">
        <f t="shared" si="1"/>
        <v>A.1.4.4-Recipient organization  [Required]</v>
      </c>
      <c r="D38" s="85" t="s">
        <v>987</v>
      </c>
      <c r="E38" s="82">
        <f t="shared" si="2"/>
        <v>0</v>
      </c>
      <c r="F38" s="82" t="str">
        <f t="shared" si="3"/>
        <v>1</v>
      </c>
      <c r="G38" s="144"/>
      <c r="H38" s="88"/>
      <c r="I38" s="85" t="s">
        <v>915</v>
      </c>
      <c r="J38" s="85" t="s">
        <v>59</v>
      </c>
    </row>
    <row r="39" spans="1:10" ht="16.5" thickBot="1" x14ac:dyDescent="0.9">
      <c r="A39" s="80" t="s">
        <v>1864</v>
      </c>
      <c r="B39" s="81" t="s">
        <v>989</v>
      </c>
      <c r="C39" s="147" t="str">
        <f t="shared" si="1"/>
        <v>A.1.5-Author (by whom the Hospital discharge report was authored) [Mandatory]</v>
      </c>
      <c r="D39" s="81" t="s">
        <v>989</v>
      </c>
      <c r="E39" s="82">
        <f t="shared" si="2"/>
        <v>1</v>
      </c>
      <c r="F39" s="82" t="str">
        <f t="shared" si="3"/>
        <v>*</v>
      </c>
      <c r="G39" s="82"/>
      <c r="H39" s="83"/>
      <c r="I39" s="85" t="s">
        <v>890</v>
      </c>
      <c r="J39" s="85" t="s">
        <v>884</v>
      </c>
    </row>
    <row r="40" spans="1:10" ht="63.75" thickBot="1" x14ac:dyDescent="0.9">
      <c r="A40" s="86" t="s">
        <v>990</v>
      </c>
      <c r="B40" s="92" t="s">
        <v>991</v>
      </c>
      <c r="C40" s="147" t="str">
        <f t="shared" si="1"/>
        <v>A.1.5.1-Author identifier [Mandatory]</v>
      </c>
      <c r="D40" s="85" t="s">
        <v>992</v>
      </c>
      <c r="E40" s="82">
        <f t="shared" si="2"/>
        <v>1</v>
      </c>
      <c r="F40" s="82" t="str">
        <f t="shared" si="3"/>
        <v>*</v>
      </c>
      <c r="G40" s="144"/>
      <c r="H40" s="88"/>
      <c r="I40" s="85" t="s">
        <v>890</v>
      </c>
      <c r="J40" s="85" t="s">
        <v>884</v>
      </c>
    </row>
    <row r="41" spans="1:10" ht="16.5" thickBot="1" x14ac:dyDescent="0.9">
      <c r="A41" s="86" t="s">
        <v>993</v>
      </c>
      <c r="B41" s="92" t="s">
        <v>994</v>
      </c>
      <c r="C41" s="147" t="str">
        <f t="shared" si="1"/>
        <v>A.1.5.2-Author name [Mandatory]</v>
      </c>
      <c r="D41" s="85" t="s">
        <v>981</v>
      </c>
      <c r="E41" s="82">
        <f t="shared" si="2"/>
        <v>1</v>
      </c>
      <c r="F41" s="82" t="str">
        <f t="shared" si="3"/>
        <v>1</v>
      </c>
      <c r="G41" s="144"/>
      <c r="H41" s="88"/>
      <c r="I41" s="85" t="s">
        <v>883</v>
      </c>
      <c r="J41" s="85" t="s">
        <v>884</v>
      </c>
    </row>
    <row r="42" spans="1:10" ht="48" thickBot="1" x14ac:dyDescent="0.9">
      <c r="A42" s="86" t="s">
        <v>995</v>
      </c>
      <c r="B42" s="92" t="s">
        <v>996</v>
      </c>
      <c r="C42" s="147" t="str">
        <f t="shared" si="1"/>
        <v>A.1.5.3-Author organization ID [Required]</v>
      </c>
      <c r="D42" s="85" t="s">
        <v>984</v>
      </c>
      <c r="E42" s="82">
        <f t="shared" si="2"/>
        <v>0</v>
      </c>
      <c r="F42" s="82" t="str">
        <f t="shared" si="3"/>
        <v>*</v>
      </c>
      <c r="G42" s="144"/>
      <c r="H42" s="88"/>
      <c r="I42" s="85" t="s">
        <v>904</v>
      </c>
      <c r="J42" s="85" t="s">
        <v>59</v>
      </c>
    </row>
    <row r="43" spans="1:10" ht="48" thickBot="1" x14ac:dyDescent="0.9">
      <c r="A43" s="86" t="s">
        <v>997</v>
      </c>
      <c r="B43" s="92" t="s">
        <v>998</v>
      </c>
      <c r="C43" s="147" t="str">
        <f t="shared" si="1"/>
        <v>A.1.5.4-Author organization  [Mandatory]</v>
      </c>
      <c r="D43" s="85" t="s">
        <v>984</v>
      </c>
      <c r="E43" s="82">
        <f t="shared" si="2"/>
        <v>1</v>
      </c>
      <c r="F43" s="82" t="str">
        <f t="shared" si="3"/>
        <v>1</v>
      </c>
      <c r="G43" s="144"/>
      <c r="H43" s="88"/>
      <c r="I43" s="85" t="s">
        <v>883</v>
      </c>
      <c r="J43" s="85" t="s">
        <v>884</v>
      </c>
    </row>
    <row r="44" spans="1:10" ht="32.25" thickBot="1" x14ac:dyDescent="0.9">
      <c r="A44" s="86" t="s">
        <v>999</v>
      </c>
      <c r="B44" s="92" t="s">
        <v>1000</v>
      </c>
      <c r="C44" s="147" t="str">
        <f t="shared" si="1"/>
        <v>A.1.5.5-DateTime [Mandatory]</v>
      </c>
      <c r="D44" s="85" t="s">
        <v>1001</v>
      </c>
      <c r="E44" s="82">
        <f t="shared" si="2"/>
        <v>1</v>
      </c>
      <c r="F44" s="82" t="str">
        <f t="shared" si="3"/>
        <v>1</v>
      </c>
      <c r="G44" s="144"/>
      <c r="H44" s="88"/>
      <c r="I44" s="85" t="s">
        <v>883</v>
      </c>
      <c r="J44" s="85" t="s">
        <v>884</v>
      </c>
    </row>
    <row r="45" spans="1:10" ht="16.5" thickBot="1" x14ac:dyDescent="0.9">
      <c r="A45" s="80" t="s">
        <v>1865</v>
      </c>
      <c r="B45" s="81" t="s">
        <v>1003</v>
      </c>
      <c r="C45" s="147" t="str">
        <f t="shared" si="1"/>
        <v>A.1.6-Attester  [Required]</v>
      </c>
      <c r="D45" s="82"/>
      <c r="E45" s="82">
        <f t="shared" si="2"/>
        <v>0</v>
      </c>
      <c r="F45" s="82" t="str">
        <f t="shared" ref="F45:F66" si="4">MID(I45,4,1)</f>
        <v>*</v>
      </c>
      <c r="G45" s="82"/>
      <c r="H45" s="83"/>
      <c r="I45" s="85" t="s">
        <v>904</v>
      </c>
      <c r="J45" s="85" t="s">
        <v>59</v>
      </c>
    </row>
    <row r="46" spans="1:10" ht="63.75" thickBot="1" x14ac:dyDescent="0.9">
      <c r="A46" s="86" t="s">
        <v>1004</v>
      </c>
      <c r="B46" s="90" t="s">
        <v>1005</v>
      </c>
      <c r="C46" s="147" t="str">
        <f t="shared" si="1"/>
        <v>A.1.6.1-Attester identifier [Mandatory]</v>
      </c>
      <c r="D46" s="85" t="s">
        <v>992</v>
      </c>
      <c r="E46" s="82">
        <f t="shared" si="2"/>
        <v>1</v>
      </c>
      <c r="F46" s="82" t="str">
        <f t="shared" si="4"/>
        <v>*</v>
      </c>
      <c r="G46" s="144"/>
      <c r="H46" s="88"/>
      <c r="I46" s="85" t="s">
        <v>890</v>
      </c>
      <c r="J46" s="85" t="s">
        <v>884</v>
      </c>
    </row>
    <row r="47" spans="1:10" ht="16.5" thickBot="1" x14ac:dyDescent="0.9">
      <c r="A47" s="86" t="s">
        <v>1006</v>
      </c>
      <c r="B47" s="85" t="s">
        <v>1007</v>
      </c>
      <c r="C47" s="147" t="str">
        <f t="shared" si="1"/>
        <v>A.1.6.2-Attester name [Mandatory]</v>
      </c>
      <c r="D47" s="85" t="s">
        <v>981</v>
      </c>
      <c r="E47" s="82">
        <f t="shared" si="2"/>
        <v>1</v>
      </c>
      <c r="F47" s="82" t="str">
        <f t="shared" si="4"/>
        <v>1</v>
      </c>
      <c r="G47" s="144"/>
      <c r="H47" s="88"/>
      <c r="I47" s="85" t="s">
        <v>883</v>
      </c>
      <c r="J47" s="85" t="s">
        <v>884</v>
      </c>
    </row>
    <row r="48" spans="1:10" ht="48" thickBot="1" x14ac:dyDescent="0.9">
      <c r="A48" s="86" t="s">
        <v>1008</v>
      </c>
      <c r="B48" s="90" t="s">
        <v>1009</v>
      </c>
      <c r="C48" s="147" t="str">
        <f t="shared" si="1"/>
        <v>A.1.6.3-Attester organization ID [Required]</v>
      </c>
      <c r="D48" s="85" t="s">
        <v>984</v>
      </c>
      <c r="E48" s="82">
        <f t="shared" si="2"/>
        <v>0</v>
      </c>
      <c r="F48" s="82" t="str">
        <f t="shared" si="4"/>
        <v>*</v>
      </c>
      <c r="G48" s="144"/>
      <c r="H48" s="88"/>
      <c r="I48" s="85" t="s">
        <v>904</v>
      </c>
      <c r="J48" s="85" t="s">
        <v>59</v>
      </c>
    </row>
    <row r="49" spans="1:10" ht="16.5" thickBot="1" x14ac:dyDescent="0.9">
      <c r="A49" s="86" t="s">
        <v>1010</v>
      </c>
      <c r="B49" s="90" t="s">
        <v>1011</v>
      </c>
      <c r="C49" s="147" t="str">
        <f t="shared" si="1"/>
        <v>A.1.6.4-Attester organization  [Mandatory]</v>
      </c>
      <c r="D49" s="85" t="s">
        <v>987</v>
      </c>
      <c r="E49" s="82">
        <f t="shared" si="2"/>
        <v>1</v>
      </c>
      <c r="F49" s="82" t="str">
        <f t="shared" si="4"/>
        <v>1</v>
      </c>
      <c r="G49" s="144"/>
      <c r="H49" s="88"/>
      <c r="I49" s="85" t="s">
        <v>883</v>
      </c>
      <c r="J49" s="85" t="s">
        <v>884</v>
      </c>
    </row>
    <row r="50" spans="1:10" ht="16.5" thickBot="1" x14ac:dyDescent="0.9">
      <c r="A50" s="86" t="s">
        <v>1012</v>
      </c>
      <c r="B50" s="90" t="s">
        <v>1013</v>
      </c>
      <c r="C50" s="147" t="str">
        <f t="shared" si="1"/>
        <v>A.1.6.5-Approval date and time [Mandatory]</v>
      </c>
      <c r="D50" s="85" t="s">
        <v>1014</v>
      </c>
      <c r="E50" s="82">
        <f t="shared" si="2"/>
        <v>1</v>
      </c>
      <c r="F50" s="82" t="str">
        <f t="shared" si="4"/>
        <v>1</v>
      </c>
      <c r="G50" s="144"/>
      <c r="H50" s="88"/>
      <c r="I50" s="85" t="s">
        <v>883</v>
      </c>
      <c r="J50" s="85" t="s">
        <v>884</v>
      </c>
    </row>
    <row r="51" spans="1:10" ht="31.75" thickBot="1" x14ac:dyDescent="0.9">
      <c r="A51" s="80" t="s">
        <v>1866</v>
      </c>
      <c r="B51" s="81" t="s">
        <v>1834</v>
      </c>
      <c r="C51" s="147" t="str">
        <f t="shared" si="1"/>
        <v>A.1.7-Legal authenticator [Required]</v>
      </c>
      <c r="D51" s="82" t="s">
        <v>1835</v>
      </c>
      <c r="E51" s="82">
        <f t="shared" si="2"/>
        <v>0</v>
      </c>
      <c r="F51" s="82" t="str">
        <f t="shared" si="4"/>
        <v>1</v>
      </c>
      <c r="G51" s="82"/>
      <c r="H51" s="83"/>
      <c r="I51" s="85" t="s">
        <v>915</v>
      </c>
      <c r="J51" s="85" t="s">
        <v>59</v>
      </c>
    </row>
    <row r="52" spans="1:10" ht="63.75" thickBot="1" x14ac:dyDescent="0.9">
      <c r="A52" s="86" t="s">
        <v>1017</v>
      </c>
      <c r="B52" s="90" t="s">
        <v>1018</v>
      </c>
      <c r="C52" s="147" t="str">
        <f t="shared" si="1"/>
        <v>A.1.7.1-Legal authenticator identifier [Mandatory]</v>
      </c>
      <c r="D52" s="85" t="s">
        <v>992</v>
      </c>
      <c r="E52" s="82">
        <f t="shared" si="2"/>
        <v>1</v>
      </c>
      <c r="F52" s="82" t="str">
        <f t="shared" si="4"/>
        <v>*</v>
      </c>
      <c r="G52" s="144"/>
      <c r="H52" s="88"/>
      <c r="I52" s="85" t="s">
        <v>890</v>
      </c>
      <c r="J52" s="85" t="s">
        <v>884</v>
      </c>
    </row>
    <row r="53" spans="1:10" ht="16.5" thickBot="1" x14ac:dyDescent="0.9">
      <c r="A53" s="86" t="s">
        <v>1019</v>
      </c>
      <c r="B53" s="85" t="s">
        <v>1020</v>
      </c>
      <c r="C53" s="147" t="str">
        <f t="shared" si="1"/>
        <v>A.1.7.2-Legal authenticator name [Mandatory]</v>
      </c>
      <c r="D53" s="85" t="s">
        <v>981</v>
      </c>
      <c r="E53" s="82">
        <f t="shared" si="2"/>
        <v>1</v>
      </c>
      <c r="F53" s="82" t="str">
        <f t="shared" si="4"/>
        <v>1</v>
      </c>
      <c r="G53" s="144"/>
      <c r="H53" s="88"/>
      <c r="I53" s="85" t="s">
        <v>883</v>
      </c>
      <c r="J53" s="85" t="s">
        <v>884</v>
      </c>
    </row>
    <row r="54" spans="1:10" ht="48" thickBot="1" x14ac:dyDescent="0.9">
      <c r="A54" s="98"/>
      <c r="B54" s="90" t="s">
        <v>1021</v>
      </c>
      <c r="C54" s="147" t="str">
        <f t="shared" si="1"/>
        <v>-Legal authenticator organization ID [Required]</v>
      </c>
      <c r="D54" s="85" t="s">
        <v>984</v>
      </c>
      <c r="E54" s="82">
        <f t="shared" si="2"/>
        <v>0</v>
      </c>
      <c r="F54" s="82" t="str">
        <f t="shared" si="4"/>
        <v>*</v>
      </c>
      <c r="G54" s="144"/>
      <c r="H54" s="88"/>
      <c r="I54" s="85" t="s">
        <v>904</v>
      </c>
      <c r="J54" s="85" t="s">
        <v>59</v>
      </c>
    </row>
    <row r="55" spans="1:10" ht="16.5" thickBot="1" x14ac:dyDescent="0.9">
      <c r="A55" s="86" t="s">
        <v>1022</v>
      </c>
      <c r="B55" s="90" t="s">
        <v>1023</v>
      </c>
      <c r="C55" s="147" t="str">
        <f t="shared" si="1"/>
        <v>A.1.7.3-Legal authenticator organization  [Mandatory]</v>
      </c>
      <c r="D55" s="85" t="s">
        <v>987</v>
      </c>
      <c r="E55" s="82">
        <f t="shared" si="2"/>
        <v>1</v>
      </c>
      <c r="F55" s="82" t="str">
        <f t="shared" si="4"/>
        <v>1</v>
      </c>
      <c r="G55" s="144"/>
      <c r="H55" s="88"/>
      <c r="I55" s="85" t="s">
        <v>883</v>
      </c>
      <c r="J55" s="85" t="s">
        <v>884</v>
      </c>
    </row>
    <row r="56" spans="1:10" ht="16.5" thickBot="1" x14ac:dyDescent="0.9">
      <c r="A56" s="86" t="s">
        <v>1024</v>
      </c>
      <c r="B56" s="90" t="s">
        <v>1025</v>
      </c>
      <c r="C56" s="147" t="str">
        <f t="shared" si="1"/>
        <v>A.1.7.4-Authentication date and time [Mandatory]</v>
      </c>
      <c r="D56" s="85" t="s">
        <v>1026</v>
      </c>
      <c r="E56" s="82">
        <f t="shared" si="2"/>
        <v>1</v>
      </c>
      <c r="F56" s="82" t="str">
        <f t="shared" si="4"/>
        <v>1</v>
      </c>
      <c r="G56" s="144"/>
      <c r="H56" s="88"/>
      <c r="I56" s="85" t="s">
        <v>883</v>
      </c>
      <c r="J56" s="85" t="s">
        <v>884</v>
      </c>
    </row>
    <row r="57" spans="1:10" ht="16.5" thickBot="1" x14ac:dyDescent="0.9">
      <c r="A57" s="80" t="s">
        <v>1867</v>
      </c>
      <c r="B57" s="81" t="s">
        <v>1028</v>
      </c>
      <c r="C57" s="147" t="str">
        <f t="shared" si="1"/>
        <v>A.1.8-Document metadata [Mandatory]</v>
      </c>
      <c r="D57" s="82"/>
      <c r="E57" s="82">
        <f t="shared" si="2"/>
        <v>1</v>
      </c>
      <c r="F57" s="82" t="str">
        <f t="shared" si="4"/>
        <v>1</v>
      </c>
      <c r="G57" s="82"/>
      <c r="H57" s="83"/>
      <c r="I57" s="85" t="s">
        <v>883</v>
      </c>
      <c r="J57" s="85" t="s">
        <v>884</v>
      </c>
    </row>
    <row r="58" spans="1:10" ht="16.5" thickBot="1" x14ac:dyDescent="0.9">
      <c r="A58" s="86" t="s">
        <v>1029</v>
      </c>
      <c r="B58" s="90" t="s">
        <v>1030</v>
      </c>
      <c r="C58" s="147" t="str">
        <f t="shared" si="1"/>
        <v>A.1.8.1-Document ID [Mandatory]</v>
      </c>
      <c r="D58" s="85" t="s">
        <v>1031</v>
      </c>
      <c r="E58" s="82">
        <f t="shared" si="2"/>
        <v>1</v>
      </c>
      <c r="F58" s="82" t="str">
        <f t="shared" si="4"/>
        <v>1</v>
      </c>
      <c r="G58" s="144"/>
      <c r="H58" s="88"/>
      <c r="I58" s="85" t="s">
        <v>883</v>
      </c>
      <c r="J58" s="85" t="s">
        <v>884</v>
      </c>
    </row>
    <row r="59" spans="1:10" ht="32.25" thickBot="1" x14ac:dyDescent="0.9">
      <c r="A59" s="86" t="s">
        <v>1032</v>
      </c>
      <c r="B59" s="90" t="s">
        <v>1033</v>
      </c>
      <c r="C59" s="147" t="str">
        <f t="shared" si="1"/>
        <v>A.1.8.2-Document type [Mandatory]</v>
      </c>
      <c r="D59" s="85" t="s">
        <v>1034</v>
      </c>
      <c r="E59" s="82">
        <f t="shared" si="2"/>
        <v>1</v>
      </c>
      <c r="F59" s="82" t="str">
        <f t="shared" si="4"/>
        <v>1</v>
      </c>
      <c r="G59" s="144"/>
      <c r="H59" t="s">
        <v>1035</v>
      </c>
      <c r="I59" s="85" t="s">
        <v>883</v>
      </c>
      <c r="J59" s="85" t="s">
        <v>884</v>
      </c>
    </row>
    <row r="60" spans="1:10" ht="16.5" thickBot="1" x14ac:dyDescent="0.9">
      <c r="A60" s="86" t="s">
        <v>1036</v>
      </c>
      <c r="B60" s="90" t="s">
        <v>1037</v>
      </c>
      <c r="C60" s="147" t="str">
        <f t="shared" si="1"/>
        <v>A.1.8.3-Document status [Mandatory]</v>
      </c>
      <c r="D60" s="85" t="s">
        <v>1038</v>
      </c>
      <c r="E60" s="82">
        <f t="shared" si="2"/>
        <v>1</v>
      </c>
      <c r="F60" s="82" t="str">
        <f t="shared" si="4"/>
        <v>1</v>
      </c>
      <c r="G60" s="144"/>
      <c r="H60" s="85" t="s">
        <v>1039</v>
      </c>
      <c r="I60" s="85" t="s">
        <v>883</v>
      </c>
      <c r="J60" s="85" t="s">
        <v>884</v>
      </c>
    </row>
    <row r="61" spans="1:10" ht="16.5" thickBot="1" x14ac:dyDescent="0.9">
      <c r="A61" s="86" t="s">
        <v>1040</v>
      </c>
      <c r="B61" s="90" t="s">
        <v>1041</v>
      </c>
      <c r="C61" s="147" t="str">
        <f t="shared" si="1"/>
        <v>A.1.8.4-Report date and time [Mandatory]</v>
      </c>
      <c r="D61" s="85" t="s">
        <v>1042</v>
      </c>
      <c r="E61" s="82">
        <f t="shared" si="2"/>
        <v>1</v>
      </c>
      <c r="F61" s="82" t="str">
        <f t="shared" si="4"/>
        <v>1</v>
      </c>
      <c r="G61" s="144"/>
      <c r="H61" s="88"/>
      <c r="I61" s="85" t="s">
        <v>883</v>
      </c>
      <c r="J61" s="85" t="s">
        <v>884</v>
      </c>
    </row>
    <row r="62" spans="1:10" ht="16.5" thickBot="1" x14ac:dyDescent="0.9">
      <c r="A62" s="86" t="s">
        <v>1043</v>
      </c>
      <c r="B62" s="90" t="s">
        <v>1044</v>
      </c>
      <c r="C62" s="147" t="str">
        <f t="shared" si="1"/>
        <v>A.1.8.5-Document title [Mandatory]</v>
      </c>
      <c r="D62" s="85" t="s">
        <v>1045</v>
      </c>
      <c r="E62" s="82">
        <f t="shared" si="2"/>
        <v>1</v>
      </c>
      <c r="F62" s="82" t="str">
        <f t="shared" si="4"/>
        <v>1</v>
      </c>
      <c r="G62" s="144"/>
      <c r="H62" s="88"/>
      <c r="I62" s="85" t="s">
        <v>883</v>
      </c>
      <c r="J62" s="85" t="s">
        <v>884</v>
      </c>
    </row>
    <row r="63" spans="1:10" ht="16.5" thickBot="1" x14ac:dyDescent="0.9">
      <c r="A63" s="86" t="s">
        <v>1046</v>
      </c>
      <c r="B63" s="90" t="s">
        <v>1047</v>
      </c>
      <c r="C63" s="147" t="str">
        <f t="shared" si="1"/>
        <v>A.1.8.6-Report custodian [Optional]</v>
      </c>
      <c r="D63" s="85" t="s">
        <v>1048</v>
      </c>
      <c r="E63" s="82">
        <f t="shared" si="2"/>
        <v>1</v>
      </c>
      <c r="F63" s="82" t="str">
        <f t="shared" si="4"/>
        <v>1</v>
      </c>
      <c r="G63" s="144"/>
      <c r="H63" s="88"/>
      <c r="I63" s="85" t="s">
        <v>883</v>
      </c>
      <c r="J63" s="85" t="s">
        <v>912</v>
      </c>
    </row>
    <row r="64" spans="1:10" ht="16.5" thickBot="1" x14ac:dyDescent="0.9">
      <c r="A64" s="86" t="s">
        <v>1049</v>
      </c>
      <c r="B64" s="90" t="s">
        <v>1050</v>
      </c>
      <c r="C64" s="147" t="str">
        <f t="shared" si="1"/>
        <v>A.1.8.7-Confidentiality [Mandatory]</v>
      </c>
      <c r="D64" s="85" t="s">
        <v>1051</v>
      </c>
      <c r="E64" s="82">
        <f t="shared" si="2"/>
        <v>1</v>
      </c>
      <c r="F64" s="82" t="str">
        <f t="shared" si="4"/>
        <v>1</v>
      </c>
      <c r="G64" s="144"/>
      <c r="H64" t="s">
        <v>1052</v>
      </c>
      <c r="I64" s="85" t="s">
        <v>883</v>
      </c>
      <c r="J64" s="85" t="s">
        <v>884</v>
      </c>
    </row>
    <row r="65" spans="1:10" ht="32.25" thickBot="1" x14ac:dyDescent="0.9">
      <c r="A65" s="86" t="s">
        <v>1053</v>
      </c>
      <c r="B65" s="90" t="s">
        <v>1054</v>
      </c>
      <c r="C65" s="147" t="str">
        <f t="shared" si="1"/>
        <v>A.1.8.8-Language [Required]</v>
      </c>
      <c r="D65" s="85" t="s">
        <v>1055</v>
      </c>
      <c r="E65" s="82">
        <f t="shared" si="2"/>
        <v>1</v>
      </c>
      <c r="F65" s="82" t="str">
        <f t="shared" si="4"/>
        <v>1</v>
      </c>
      <c r="G65" s="144"/>
      <c r="H65" s="85" t="s">
        <v>911</v>
      </c>
      <c r="I65" s="85" t="s">
        <v>883</v>
      </c>
      <c r="J65" s="85" t="s">
        <v>59</v>
      </c>
    </row>
    <row r="66" spans="1:10" ht="16.5" thickBot="1" x14ac:dyDescent="0.9">
      <c r="A66" s="86" t="s">
        <v>1056</v>
      </c>
      <c r="B66" s="90" t="s">
        <v>69</v>
      </c>
      <c r="C66" s="147" t="str">
        <f t="shared" si="1"/>
        <v>A.1.8.9-Version [Required]</v>
      </c>
      <c r="D66" s="85" t="s">
        <v>1057</v>
      </c>
      <c r="E66" s="82">
        <f t="shared" si="2"/>
        <v>0</v>
      </c>
      <c r="F66" s="82" t="str">
        <f t="shared" si="4"/>
        <v>1</v>
      </c>
      <c r="G66" s="144"/>
      <c r="H66" s="88"/>
      <c r="I66" s="85" t="s">
        <v>915</v>
      </c>
      <c r="J66" s="85" t="s">
        <v>59</v>
      </c>
    </row>
    <row r="67" spans="1:10" ht="16.5" thickBot="1" x14ac:dyDescent="0.9">
      <c r="A67" s="80" t="s">
        <v>1058</v>
      </c>
      <c r="B67" s="81" t="s">
        <v>1059</v>
      </c>
      <c r="C67" s="147" t="str">
        <f t="shared" si="1"/>
        <v>A.1.9-Digital signatures [Required]</v>
      </c>
      <c r="D67" s="82"/>
      <c r="E67" s="82">
        <f t="shared" ref="E67:E130" si="5">_xlfn.NUMBERVALUE(MID(I67,1,1))</f>
        <v>0</v>
      </c>
      <c r="F67" s="82" t="str">
        <f t="shared" ref="F67:F130" si="6">MID(I67,4,1)</f>
        <v>1</v>
      </c>
      <c r="G67" s="82"/>
      <c r="H67" s="83"/>
      <c r="I67" s="85" t="s">
        <v>915</v>
      </c>
      <c r="J67" s="85" t="s">
        <v>59</v>
      </c>
    </row>
    <row r="68" spans="1:10" ht="16.5" thickBot="1" x14ac:dyDescent="0.9">
      <c r="A68" s="86" t="s">
        <v>1060</v>
      </c>
      <c r="B68" s="90" t="s">
        <v>1061</v>
      </c>
      <c r="C68" s="147" t="str">
        <f t="shared" ref="C68:C132" si="7">CONCATENATE(A68,"-",B68," [",J68,"]")</f>
        <v>A.1.9.1-Digital signature [Required]</v>
      </c>
      <c r="D68" s="85" t="s">
        <v>1062</v>
      </c>
      <c r="E68" s="82">
        <f t="shared" si="5"/>
        <v>0</v>
      </c>
      <c r="F68" s="82" t="str">
        <f t="shared" si="6"/>
        <v>*</v>
      </c>
      <c r="G68" s="144"/>
      <c r="H68" s="88"/>
      <c r="I68" s="85" t="s">
        <v>904</v>
      </c>
      <c r="J68" s="85" t="s">
        <v>59</v>
      </c>
    </row>
    <row r="69" spans="1:10" ht="16.5" thickBot="1" x14ac:dyDescent="0.9">
      <c r="A69" s="86" t="s">
        <v>1063</v>
      </c>
      <c r="B69" s="90" t="s">
        <v>1064</v>
      </c>
      <c r="C69" s="147" t="str">
        <f t="shared" si="7"/>
        <v>A.1.9.2-Time stamp [Required]</v>
      </c>
      <c r="D69" s="85" t="s">
        <v>1065</v>
      </c>
      <c r="E69" s="82">
        <f t="shared" si="5"/>
        <v>0</v>
      </c>
      <c r="F69" s="82" t="str">
        <f t="shared" si="6"/>
        <v>1</v>
      </c>
      <c r="G69" s="144"/>
      <c r="H69" s="88"/>
      <c r="I69" s="85" t="s">
        <v>915</v>
      </c>
      <c r="J69" s="85" t="s">
        <v>59</v>
      </c>
    </row>
    <row r="70" spans="1:10" ht="16.5" thickBot="1" x14ac:dyDescent="0.9">
      <c r="A70" s="86" t="s">
        <v>1871</v>
      </c>
      <c r="B70" s="150" t="s">
        <v>1869</v>
      </c>
      <c r="C70" s="147" t="str">
        <f t="shared" si="7"/>
        <v>A.2-Body (missing elementy ?) [Mandatory]</v>
      </c>
      <c r="D70" s="151" t="s">
        <v>1870</v>
      </c>
      <c r="E70" s="82">
        <f t="shared" si="5"/>
        <v>1</v>
      </c>
      <c r="F70" s="82" t="str">
        <f t="shared" si="6"/>
        <v>1</v>
      </c>
      <c r="G70" s="144"/>
      <c r="H70" s="88"/>
      <c r="I70" s="85" t="s">
        <v>883</v>
      </c>
      <c r="J70" s="85" t="s">
        <v>884</v>
      </c>
    </row>
    <row r="71" spans="1:10" ht="16.5" thickBot="1" x14ac:dyDescent="0.9">
      <c r="A71" s="80" t="s">
        <v>1066</v>
      </c>
      <c r="B71" s="81" t="s">
        <v>1067</v>
      </c>
      <c r="C71" s="147" t="str">
        <f t="shared" si="7"/>
        <v>A.2.1-Advance directives [Required]</v>
      </c>
      <c r="D71" s="82"/>
      <c r="E71" s="82">
        <f t="shared" si="5"/>
        <v>0</v>
      </c>
      <c r="F71" s="82" t="str">
        <f t="shared" si="6"/>
        <v>1</v>
      </c>
      <c r="G71" s="82"/>
      <c r="H71" s="83"/>
      <c r="I71" s="85" t="s">
        <v>915</v>
      </c>
      <c r="J71" s="85" t="s">
        <v>59</v>
      </c>
    </row>
    <row r="72" spans="1:10" ht="16.5" thickBot="1" x14ac:dyDescent="0.9">
      <c r="A72" s="80" t="s">
        <v>1068</v>
      </c>
      <c r="B72" s="84" t="s">
        <v>1069</v>
      </c>
      <c r="C72" s="147" t="str">
        <f t="shared" si="7"/>
        <v>A.2.1.1-Living will [Mandatory]</v>
      </c>
      <c r="D72" s="85" t="s">
        <v>1070</v>
      </c>
      <c r="E72" s="82">
        <f t="shared" si="5"/>
        <v>1</v>
      </c>
      <c r="F72" s="82" t="str">
        <f t="shared" si="6"/>
        <v>*</v>
      </c>
      <c r="G72" s="144"/>
      <c r="H72" s="88"/>
      <c r="I72" s="85" t="s">
        <v>890</v>
      </c>
      <c r="J72" s="85" t="s">
        <v>884</v>
      </c>
    </row>
    <row r="73" spans="1:10" ht="16.5" thickBot="1" x14ac:dyDescent="0.9">
      <c r="A73" s="86" t="s">
        <v>1071</v>
      </c>
      <c r="B73" s="90" t="s">
        <v>1072</v>
      </c>
      <c r="C73" s="147" t="str">
        <f t="shared" si="7"/>
        <v>A.2.1.1.1-Date and time [Mandatory]</v>
      </c>
      <c r="D73" s="85" t="s">
        <v>1073</v>
      </c>
      <c r="E73" s="82">
        <f t="shared" si="5"/>
        <v>1</v>
      </c>
      <c r="F73" s="82" t="str">
        <f t="shared" si="6"/>
        <v>1</v>
      </c>
      <c r="G73" s="144"/>
      <c r="H73" s="88"/>
      <c r="I73" s="85" t="s">
        <v>883</v>
      </c>
      <c r="J73" s="85" t="s">
        <v>884</v>
      </c>
    </row>
    <row r="74" spans="1:10" ht="32.25" thickBot="1" x14ac:dyDescent="0.9">
      <c r="A74" s="86" t="s">
        <v>1074</v>
      </c>
      <c r="B74" s="90" t="s">
        <v>67</v>
      </c>
      <c r="C74" s="147" t="str">
        <f t="shared" si="7"/>
        <v>A.2.1.1.2-Type [Mandatory]</v>
      </c>
      <c r="D74" s="85" t="s">
        <v>1075</v>
      </c>
      <c r="E74" s="82">
        <f t="shared" si="5"/>
        <v>1</v>
      </c>
      <c r="F74" s="82" t="str">
        <f t="shared" si="6"/>
        <v>1</v>
      </c>
      <c r="G74" s="144"/>
      <c r="H74" s="89" t="s">
        <v>1076</v>
      </c>
      <c r="I74" s="85" t="s">
        <v>883</v>
      </c>
      <c r="J74" s="85" t="s">
        <v>884</v>
      </c>
    </row>
    <row r="75" spans="1:10" ht="16.5" thickBot="1" x14ac:dyDescent="0.9">
      <c r="A75" s="86" t="s">
        <v>1077</v>
      </c>
      <c r="B75" s="85" t="s">
        <v>169</v>
      </c>
      <c r="C75" s="147" t="str">
        <f t="shared" si="7"/>
        <v>A.2.1.1.3-Comment [Optional]</v>
      </c>
      <c r="D75" s="85" t="s">
        <v>1078</v>
      </c>
      <c r="E75" s="82">
        <f t="shared" si="5"/>
        <v>0</v>
      </c>
      <c r="F75" s="82" t="str">
        <f t="shared" si="6"/>
        <v>1</v>
      </c>
      <c r="G75" s="144"/>
      <c r="H75" s="88"/>
      <c r="I75" s="85" t="s">
        <v>915</v>
      </c>
      <c r="J75" s="85" t="s">
        <v>912</v>
      </c>
    </row>
    <row r="76" spans="1:10" ht="48" thickBot="1" x14ac:dyDescent="0.9">
      <c r="A76" s="93" t="s">
        <v>1079</v>
      </c>
      <c r="B76" s="100" t="s">
        <v>1080</v>
      </c>
      <c r="C76" s="147" t="str">
        <f t="shared" si="7"/>
        <v>A.2.1.1.4-Related conditions [Required]</v>
      </c>
      <c r="D76" s="93" t="s">
        <v>1081</v>
      </c>
      <c r="E76" s="82">
        <f t="shared" si="5"/>
        <v>0</v>
      </c>
      <c r="F76" s="82" t="str">
        <f t="shared" si="6"/>
        <v>*</v>
      </c>
      <c r="G76" s="153"/>
      <c r="H76" s="95" t="s">
        <v>1836</v>
      </c>
      <c r="I76" s="93" t="s">
        <v>904</v>
      </c>
      <c r="J76" s="93" t="s">
        <v>59</v>
      </c>
    </row>
    <row r="77" spans="1:10" ht="32.25" thickBot="1" x14ac:dyDescent="0.9">
      <c r="A77" s="86" t="s">
        <v>1085</v>
      </c>
      <c r="B77" s="90" t="s">
        <v>1086</v>
      </c>
      <c r="C77" s="147" t="str">
        <f t="shared" si="7"/>
        <v>A.2.1.1.5-Living will document [Required]</v>
      </c>
      <c r="D77" s="85" t="s">
        <v>1087</v>
      </c>
      <c r="E77" s="82">
        <f t="shared" si="5"/>
        <v>1</v>
      </c>
      <c r="F77" s="82" t="str">
        <f t="shared" si="6"/>
        <v>1</v>
      </c>
      <c r="G77" s="144"/>
      <c r="H77" s="88"/>
      <c r="I77" s="85" t="s">
        <v>883</v>
      </c>
      <c r="J77" s="85" t="s">
        <v>59</v>
      </c>
    </row>
    <row r="78" spans="1:10" ht="16.5" thickBot="1" x14ac:dyDescent="0.9">
      <c r="A78" s="80" t="s">
        <v>1088</v>
      </c>
      <c r="B78" s="81" t="s">
        <v>1089</v>
      </c>
      <c r="C78" s="147" t="str">
        <f t="shared" si="7"/>
        <v>A.2.2-Emergency information [Mandatory]</v>
      </c>
      <c r="D78" s="82"/>
      <c r="E78" s="82">
        <f t="shared" si="5"/>
        <v>1</v>
      </c>
      <c r="F78" s="82" t="str">
        <f t="shared" si="6"/>
        <v>1</v>
      </c>
      <c r="G78" s="82"/>
      <c r="H78" s="83"/>
      <c r="I78" s="85" t="s">
        <v>883</v>
      </c>
      <c r="J78" s="85" t="s">
        <v>884</v>
      </c>
    </row>
    <row r="79" spans="1:10" ht="48" thickBot="1" x14ac:dyDescent="0.9">
      <c r="A79" s="86" t="s">
        <v>1090</v>
      </c>
      <c r="B79" s="104" t="s">
        <v>1091</v>
      </c>
      <c r="C79" s="147" t="str">
        <f t="shared" si="7"/>
        <v>A.2.2.1-Allergy and Intolerance [Mandatory]</v>
      </c>
      <c r="D79" s="85" t="s">
        <v>1092</v>
      </c>
      <c r="E79" s="82">
        <f t="shared" si="5"/>
        <v>1</v>
      </c>
      <c r="F79" s="82" t="str">
        <f t="shared" si="6"/>
        <v>*</v>
      </c>
      <c r="G79" s="144"/>
      <c r="H79" s="88"/>
      <c r="I79" s="85" t="s">
        <v>890</v>
      </c>
      <c r="J79" s="85" t="s">
        <v>884</v>
      </c>
    </row>
    <row r="80" spans="1:10" ht="16.5" thickBot="1" x14ac:dyDescent="0.9">
      <c r="A80" s="86" t="s">
        <v>1093</v>
      </c>
      <c r="B80" s="105" t="s">
        <v>1094</v>
      </c>
      <c r="C80" s="147" t="str">
        <f t="shared" si="7"/>
        <v>A.2.2.1.1-Allergy description [Optional]</v>
      </c>
      <c r="D80" s="85" t="s">
        <v>1095</v>
      </c>
      <c r="E80" s="82">
        <f t="shared" si="5"/>
        <v>0</v>
      </c>
      <c r="F80" s="82" t="str">
        <f t="shared" si="6"/>
        <v>1</v>
      </c>
      <c r="G80" s="144"/>
      <c r="H80" s="88"/>
      <c r="I80" s="85" t="s">
        <v>915</v>
      </c>
      <c r="J80" s="85" t="s">
        <v>912</v>
      </c>
    </row>
    <row r="81" spans="1:10" ht="16.5" customHeight="1" thickBot="1" x14ac:dyDescent="0.9">
      <c r="A81" s="93" t="s">
        <v>1096</v>
      </c>
      <c r="B81" s="106" t="s">
        <v>1097</v>
      </c>
      <c r="C81" s="147" t="str">
        <f t="shared" si="7"/>
        <v>A.2.2.1.2-Agent or Allergen [Mandatory]</v>
      </c>
      <c r="D81" s="93" t="s">
        <v>1098</v>
      </c>
      <c r="E81" s="82">
        <f t="shared" si="5"/>
        <v>1</v>
      </c>
      <c r="F81" s="82" t="str">
        <f t="shared" si="6"/>
        <v>1</v>
      </c>
      <c r="G81" s="153"/>
      <c r="H81" s="95" t="s">
        <v>1837</v>
      </c>
      <c r="I81" s="93" t="s">
        <v>883</v>
      </c>
      <c r="J81" s="93" t="s">
        <v>884</v>
      </c>
    </row>
    <row r="82" spans="1:10" ht="48" thickBot="1" x14ac:dyDescent="0.9">
      <c r="A82" s="86" t="s">
        <v>1101</v>
      </c>
      <c r="B82" s="105" t="s">
        <v>1102</v>
      </c>
      <c r="C82" s="147" t="str">
        <f t="shared" si="7"/>
        <v>A.2.2.1.3-Type of propensity [Required]</v>
      </c>
      <c r="D82" s="85" t="s">
        <v>1103</v>
      </c>
      <c r="E82" s="82">
        <f t="shared" si="5"/>
        <v>0</v>
      </c>
      <c r="F82" s="82" t="str">
        <f t="shared" si="6"/>
        <v>1</v>
      </c>
      <c r="G82" s="144"/>
      <c r="H82" s="85" t="s">
        <v>1104</v>
      </c>
      <c r="I82" s="85" t="s">
        <v>915</v>
      </c>
      <c r="J82" s="85" t="s">
        <v>59</v>
      </c>
    </row>
    <row r="83" spans="1:10" ht="63.75" thickBot="1" x14ac:dyDescent="0.9">
      <c r="A83" s="86" t="s">
        <v>1105</v>
      </c>
      <c r="B83" s="105" t="s">
        <v>1106</v>
      </c>
      <c r="C83" s="147" t="str">
        <f t="shared" si="7"/>
        <v>A.2.2.1.4-Allergy manifestation [Required]</v>
      </c>
      <c r="D83" s="85" t="s">
        <v>1107</v>
      </c>
      <c r="E83" s="82">
        <f t="shared" si="5"/>
        <v>0</v>
      </c>
      <c r="F83" s="82" t="str">
        <f t="shared" si="6"/>
        <v>*</v>
      </c>
      <c r="G83" s="144"/>
      <c r="H83" s="85" t="s">
        <v>1099</v>
      </c>
      <c r="I83" s="85" t="s">
        <v>904</v>
      </c>
      <c r="J83" s="85" t="s">
        <v>59</v>
      </c>
    </row>
    <row r="84" spans="1:10" ht="32.25" thickBot="1" x14ac:dyDescent="0.9">
      <c r="A84" s="86" t="s">
        <v>1108</v>
      </c>
      <c r="B84" s="90" t="s">
        <v>1109</v>
      </c>
      <c r="C84" s="147" t="str">
        <f t="shared" si="7"/>
        <v>A.2.2.1.5-Criticality [Required]</v>
      </c>
      <c r="D84" s="85" t="s">
        <v>1110</v>
      </c>
      <c r="E84" s="82">
        <f t="shared" si="5"/>
        <v>0</v>
      </c>
      <c r="F84" s="82" t="str">
        <f t="shared" si="6"/>
        <v>1</v>
      </c>
      <c r="G84" s="144"/>
      <c r="H84" s="85" t="s">
        <v>1099</v>
      </c>
      <c r="I84" s="85" t="s">
        <v>915</v>
      </c>
      <c r="J84" s="85" t="s">
        <v>59</v>
      </c>
    </row>
    <row r="85" spans="1:10" ht="48" thickBot="1" x14ac:dyDescent="0.9">
      <c r="A85" s="86" t="s">
        <v>1111</v>
      </c>
      <c r="B85" s="91" t="s">
        <v>1112</v>
      </c>
      <c r="C85" s="147" t="str">
        <f t="shared" si="7"/>
        <v>A.2.2.1.6-Onset date [Required]</v>
      </c>
      <c r="D85" s="85" t="s">
        <v>1113</v>
      </c>
      <c r="E85" s="82">
        <f t="shared" si="5"/>
        <v>0</v>
      </c>
      <c r="F85" s="82" t="str">
        <f t="shared" si="6"/>
        <v>1</v>
      </c>
      <c r="G85" s="144"/>
      <c r="H85" s="89" t="s">
        <v>1114</v>
      </c>
      <c r="I85" s="85" t="s">
        <v>915</v>
      </c>
      <c r="J85" s="85" t="s">
        <v>59</v>
      </c>
    </row>
    <row r="86" spans="1:10" ht="32.25" thickBot="1" x14ac:dyDescent="0.9">
      <c r="A86" s="86" t="s">
        <v>1115</v>
      </c>
      <c r="B86" s="90" t="s">
        <v>1116</v>
      </c>
      <c r="C86" s="147" t="str">
        <f t="shared" si="7"/>
        <v>A.2.2.1.7-End date [Required]</v>
      </c>
      <c r="D86" s="85" t="s">
        <v>1117</v>
      </c>
      <c r="E86" s="82">
        <f t="shared" si="5"/>
        <v>0</v>
      </c>
      <c r="F86" s="82" t="str">
        <f t="shared" si="6"/>
        <v>1</v>
      </c>
      <c r="G86" s="144"/>
      <c r="H86" s="88"/>
      <c r="I86" s="85" t="s">
        <v>915</v>
      </c>
      <c r="J86" s="85" t="s">
        <v>59</v>
      </c>
    </row>
    <row r="87" spans="1:10" ht="32.25" thickBot="1" x14ac:dyDescent="0.9">
      <c r="A87" s="86" t="s">
        <v>1118</v>
      </c>
      <c r="B87" s="90" t="s">
        <v>72</v>
      </c>
      <c r="C87" s="147" t="str">
        <f t="shared" si="7"/>
        <v>A.2.2.1.8-Status [Required]</v>
      </c>
      <c r="D87" s="85" t="s">
        <v>1119</v>
      </c>
      <c r="E87" s="82">
        <f t="shared" si="5"/>
        <v>0</v>
      </c>
      <c r="F87" s="82" t="str">
        <f t="shared" si="6"/>
        <v>1</v>
      </c>
      <c r="G87" s="144"/>
      <c r="H87" s="85" t="s">
        <v>1120</v>
      </c>
      <c r="I87" s="85" t="s">
        <v>915</v>
      </c>
      <c r="J87" s="85" t="s">
        <v>59</v>
      </c>
    </row>
    <row r="88" spans="1:10" ht="48" thickBot="1" x14ac:dyDescent="0.9">
      <c r="A88" s="86" t="s">
        <v>1121</v>
      </c>
      <c r="B88" s="105" t="s">
        <v>1122</v>
      </c>
      <c r="C88" s="147" t="str">
        <f t="shared" si="7"/>
        <v>A.2.2.1.9-Certainty [Required]</v>
      </c>
      <c r="D88" s="85" t="s">
        <v>1123</v>
      </c>
      <c r="E88" s="82">
        <f t="shared" si="5"/>
        <v>0</v>
      </c>
      <c r="F88" s="82" t="str">
        <f t="shared" si="6"/>
        <v>1</v>
      </c>
      <c r="G88" s="144"/>
      <c r="H88" s="87" t="s">
        <v>1099</v>
      </c>
      <c r="I88" s="85" t="s">
        <v>915</v>
      </c>
      <c r="J88" s="85" t="s">
        <v>59</v>
      </c>
    </row>
    <row r="89" spans="1:10" ht="16.5" thickBot="1" x14ac:dyDescent="0.9">
      <c r="A89" s="86" t="s">
        <v>1124</v>
      </c>
      <c r="B89" s="90" t="s">
        <v>1125</v>
      </c>
      <c r="C89" s="147" t="str">
        <f t="shared" si="7"/>
        <v>A.2.2.1.10-Last Manifestation [Optional]</v>
      </c>
      <c r="D89" s="85" t="s">
        <v>1126</v>
      </c>
      <c r="E89" s="82">
        <f t="shared" si="5"/>
        <v>0</v>
      </c>
      <c r="F89" s="82" t="str">
        <f t="shared" si="6"/>
        <v>1</v>
      </c>
      <c r="G89" s="144"/>
      <c r="H89" s="88"/>
      <c r="I89" s="85" t="s">
        <v>915</v>
      </c>
      <c r="J89" s="85" t="s">
        <v>912</v>
      </c>
    </row>
    <row r="90" spans="1:10" ht="16.5" thickBot="1" x14ac:dyDescent="0.9">
      <c r="A90" s="80" t="s">
        <v>1127</v>
      </c>
      <c r="B90" s="81" t="s">
        <v>1128</v>
      </c>
      <c r="C90" s="147" t="str">
        <f t="shared" si="7"/>
        <v>A.2.2.2-Medical alerts [Required]</v>
      </c>
      <c r="D90" s="82"/>
      <c r="E90" s="82">
        <f t="shared" si="5"/>
        <v>0</v>
      </c>
      <c r="F90" s="82" t="str">
        <f t="shared" si="6"/>
        <v>*</v>
      </c>
      <c r="G90" s="82"/>
      <c r="H90" s="83"/>
      <c r="I90" s="85" t="s">
        <v>904</v>
      </c>
      <c r="J90" s="85" t="s">
        <v>59</v>
      </c>
    </row>
    <row r="91" spans="1:10" ht="111" thickBot="1" x14ac:dyDescent="0.9">
      <c r="A91" s="93" t="s">
        <v>1129</v>
      </c>
      <c r="B91" s="100" t="s">
        <v>1130</v>
      </c>
      <c r="C91" s="147" t="str">
        <f t="shared" si="7"/>
        <v>A.2.2.2.1-Alert name [Required]</v>
      </c>
      <c r="D91" s="95" t="s">
        <v>1838</v>
      </c>
      <c r="E91" s="82">
        <f t="shared" si="5"/>
        <v>0</v>
      </c>
      <c r="F91" s="82" t="str">
        <f t="shared" si="6"/>
        <v>1</v>
      </c>
      <c r="G91" s="153"/>
      <c r="H91" s="95" t="s">
        <v>1839</v>
      </c>
      <c r="I91" s="93" t="s">
        <v>915</v>
      </c>
      <c r="J91" s="93" t="s">
        <v>59</v>
      </c>
    </row>
    <row r="92" spans="1:10" ht="48" customHeight="1" thickBot="1" x14ac:dyDescent="0.9">
      <c r="A92" s="93" t="s">
        <v>1133</v>
      </c>
      <c r="B92" s="100" t="s">
        <v>1134</v>
      </c>
      <c r="C92" s="147" t="str">
        <f t="shared" si="7"/>
        <v>A.2.2.2.3-Condition [Required]</v>
      </c>
      <c r="D92" s="93" t="s">
        <v>1135</v>
      </c>
      <c r="E92" s="82">
        <f t="shared" si="5"/>
        <v>0</v>
      </c>
      <c r="F92" s="82" t="str">
        <f t="shared" si="6"/>
        <v>*</v>
      </c>
      <c r="G92" s="153"/>
      <c r="H92" s="95" t="s">
        <v>1840</v>
      </c>
      <c r="I92" s="93" t="s">
        <v>904</v>
      </c>
      <c r="J92" s="93" t="s">
        <v>59</v>
      </c>
    </row>
    <row r="93" spans="1:10" ht="32.25" thickBot="1" x14ac:dyDescent="0.9">
      <c r="A93" s="86" t="s">
        <v>1138</v>
      </c>
      <c r="B93" s="90" t="s">
        <v>1139</v>
      </c>
      <c r="C93" s="147" t="str">
        <f t="shared" si="7"/>
        <v>A.2.2.2.4-Specialist contact [Required]</v>
      </c>
      <c r="D93" s="85" t="s">
        <v>1140</v>
      </c>
      <c r="E93" s="82">
        <f t="shared" si="5"/>
        <v>0</v>
      </c>
      <c r="F93" s="82" t="str">
        <f t="shared" si="6"/>
        <v>*</v>
      </c>
      <c r="G93" s="144"/>
      <c r="H93" s="88"/>
      <c r="I93" s="85" t="s">
        <v>904</v>
      </c>
      <c r="J93" s="85" t="s">
        <v>59</v>
      </c>
    </row>
    <row r="94" spans="1:10" ht="32.25" thickBot="1" x14ac:dyDescent="0.9">
      <c r="A94" s="86" t="s">
        <v>1141</v>
      </c>
      <c r="B94" s="90" t="s">
        <v>169</v>
      </c>
      <c r="C94" s="147" t="str">
        <f t="shared" si="7"/>
        <v>A.2.2.2.5-Comment [Optional]</v>
      </c>
      <c r="D94" s="85" t="s">
        <v>1142</v>
      </c>
      <c r="E94" s="82">
        <f t="shared" si="5"/>
        <v>0</v>
      </c>
      <c r="F94" s="82" t="str">
        <f t="shared" si="6"/>
        <v>1</v>
      </c>
      <c r="G94" s="144"/>
      <c r="H94" s="88"/>
      <c r="I94" s="85" t="s">
        <v>915</v>
      </c>
      <c r="J94" s="85" t="s">
        <v>912</v>
      </c>
    </row>
    <row r="95" spans="1:10" ht="16.5" thickBot="1" x14ac:dyDescent="0.9">
      <c r="A95" s="86" t="s">
        <v>1143</v>
      </c>
      <c r="B95" s="90" t="s">
        <v>1144</v>
      </c>
      <c r="C95" s="147" t="str">
        <f t="shared" si="7"/>
        <v>A.2.2.2.6-Level [Required]</v>
      </c>
      <c r="D95" s="85" t="s">
        <v>1145</v>
      </c>
      <c r="E95" s="82">
        <f t="shared" si="5"/>
        <v>0</v>
      </c>
      <c r="F95" s="82" t="str">
        <f t="shared" si="6"/>
        <v>1</v>
      </c>
      <c r="G95" s="144"/>
      <c r="H95" s="85" t="s">
        <v>1099</v>
      </c>
      <c r="I95" s="85" t="s">
        <v>915</v>
      </c>
      <c r="J95" s="85" t="s">
        <v>59</v>
      </c>
    </row>
    <row r="96" spans="1:10" ht="32.25" thickBot="1" x14ac:dyDescent="0.9">
      <c r="A96" s="86" t="s">
        <v>1146</v>
      </c>
      <c r="B96" s="90" t="s">
        <v>1147</v>
      </c>
      <c r="C96" s="147" t="str">
        <f t="shared" si="7"/>
        <v>A.2.2.2.7-Period [Required]</v>
      </c>
      <c r="D96" s="85" t="s">
        <v>1148</v>
      </c>
      <c r="E96" s="82">
        <f t="shared" si="5"/>
        <v>0</v>
      </c>
      <c r="F96" s="82" t="str">
        <f t="shared" si="6"/>
        <v>1</v>
      </c>
      <c r="G96" s="144"/>
      <c r="H96" s="88"/>
      <c r="I96" s="85" t="s">
        <v>915</v>
      </c>
      <c r="J96" s="85" t="s">
        <v>59</v>
      </c>
    </row>
    <row r="97" spans="1:10" ht="16.5" thickBot="1" x14ac:dyDescent="0.9">
      <c r="A97" s="80" t="s">
        <v>1868</v>
      </c>
      <c r="B97" s="81" t="s">
        <v>1150</v>
      </c>
      <c r="C97" s="147" t="str">
        <f t="shared" si="7"/>
        <v>A.2.3-Encounter [Mandatory]</v>
      </c>
      <c r="D97" s="82"/>
      <c r="E97" s="82">
        <f t="shared" si="5"/>
        <v>1</v>
      </c>
      <c r="F97" s="82" t="str">
        <f t="shared" si="6"/>
        <v>1</v>
      </c>
      <c r="G97" s="82"/>
      <c r="H97" s="83"/>
      <c r="I97" s="85" t="s">
        <v>883</v>
      </c>
      <c r="J97" s="85" t="s">
        <v>884</v>
      </c>
    </row>
    <row r="98" spans="1:10" ht="16.5" thickBot="1" x14ac:dyDescent="0.9">
      <c r="A98" s="86" t="s">
        <v>1151</v>
      </c>
      <c r="B98" s="90" t="s">
        <v>1152</v>
      </c>
      <c r="C98" s="147" t="str">
        <f t="shared" si="7"/>
        <v>A.2.3.1-Encounter type [Mandatory]</v>
      </c>
      <c r="D98" s="85" t="s">
        <v>1153</v>
      </c>
      <c r="E98" s="82">
        <f t="shared" si="5"/>
        <v>1</v>
      </c>
      <c r="F98" s="82" t="str">
        <f t="shared" si="6"/>
        <v>1</v>
      </c>
      <c r="G98" s="144"/>
      <c r="H98" s="89" t="s">
        <v>1154</v>
      </c>
      <c r="I98" s="85" t="s">
        <v>883</v>
      </c>
      <c r="J98" s="85" t="s">
        <v>884</v>
      </c>
    </row>
    <row r="99" spans="1:10" ht="16.5" thickBot="1" x14ac:dyDescent="0.9">
      <c r="A99" s="86" t="s">
        <v>1155</v>
      </c>
      <c r="B99" s="90" t="s">
        <v>1156</v>
      </c>
      <c r="C99" s="147" t="str">
        <f t="shared" si="7"/>
        <v>A.2.3.2-Encounter note [Optional]</v>
      </c>
      <c r="D99" s="85" t="s">
        <v>1157</v>
      </c>
      <c r="E99" s="82">
        <f t="shared" si="5"/>
        <v>0</v>
      </c>
      <c r="F99" s="82" t="str">
        <f t="shared" si="6"/>
        <v>1</v>
      </c>
      <c r="G99" s="144"/>
      <c r="H99" s="88"/>
      <c r="I99" s="85" t="s">
        <v>915</v>
      </c>
      <c r="J99" s="85" t="s">
        <v>912</v>
      </c>
    </row>
    <row r="100" spans="1:10" ht="16.5" thickBot="1" x14ac:dyDescent="0.9">
      <c r="A100" s="80" t="s">
        <v>1158</v>
      </c>
      <c r="B100" s="81" t="s">
        <v>1159</v>
      </c>
      <c r="C100" s="147" t="str">
        <f t="shared" si="7"/>
        <v>A.2.3.3-Admission [Mandatory]</v>
      </c>
      <c r="D100" s="82"/>
      <c r="E100" s="82">
        <f t="shared" si="5"/>
        <v>1</v>
      </c>
      <c r="F100" s="82" t="str">
        <f t="shared" si="6"/>
        <v>1</v>
      </c>
      <c r="G100" s="82"/>
      <c r="H100" s="83"/>
      <c r="I100" s="85" t="s">
        <v>883</v>
      </c>
      <c r="J100" s="85" t="s">
        <v>884</v>
      </c>
    </row>
    <row r="101" spans="1:10" ht="30.25" thickBot="1" x14ac:dyDescent="0.9">
      <c r="A101" s="86" t="s">
        <v>1160</v>
      </c>
      <c r="B101" s="108" t="s">
        <v>1161</v>
      </c>
      <c r="C101" s="147" t="str">
        <f t="shared" si="7"/>
        <v>A.2.3.3.1-Admission urgency [Required]</v>
      </c>
      <c r="D101" s="85" t="s">
        <v>1162</v>
      </c>
      <c r="E101" s="82">
        <f t="shared" si="5"/>
        <v>0</v>
      </c>
      <c r="F101" s="82" t="str">
        <f t="shared" si="6"/>
        <v>1</v>
      </c>
      <c r="G101" s="144"/>
      <c r="H101" s="89" t="s">
        <v>1163</v>
      </c>
      <c r="I101" s="85" t="s">
        <v>915</v>
      </c>
      <c r="J101" s="85" t="s">
        <v>59</v>
      </c>
    </row>
    <row r="102" spans="1:10" ht="16.5" thickBot="1" x14ac:dyDescent="0.9">
      <c r="A102" s="86" t="s">
        <v>1164</v>
      </c>
      <c r="B102" s="108" t="s">
        <v>1165</v>
      </c>
      <c r="C102" s="147" t="str">
        <f t="shared" si="7"/>
        <v>A.2.3.3.2-Admission date [Mandatory]</v>
      </c>
      <c r="D102" s="85" t="s">
        <v>1166</v>
      </c>
      <c r="E102" s="82">
        <f t="shared" si="5"/>
        <v>1</v>
      </c>
      <c r="F102" s="82" t="str">
        <f t="shared" si="6"/>
        <v>1</v>
      </c>
      <c r="G102" s="144"/>
      <c r="H102" s="88"/>
      <c r="I102" s="85" t="s">
        <v>883</v>
      </c>
      <c r="J102" s="85" t="s">
        <v>884</v>
      </c>
    </row>
    <row r="103" spans="1:10" ht="63.75" thickBot="1" x14ac:dyDescent="0.9">
      <c r="A103" s="86" t="s">
        <v>1167</v>
      </c>
      <c r="B103" s="92" t="s">
        <v>1168</v>
      </c>
      <c r="C103" s="147" t="str">
        <f t="shared" si="7"/>
        <v>A.2.3.3.3-Admitting professional Id [Required]</v>
      </c>
      <c r="D103" s="85" t="s">
        <v>992</v>
      </c>
      <c r="E103" s="82">
        <f t="shared" si="5"/>
        <v>0</v>
      </c>
      <c r="F103" s="82" t="str">
        <f t="shared" si="6"/>
        <v>1</v>
      </c>
      <c r="G103" s="144"/>
      <c r="H103" s="88"/>
      <c r="I103" s="85" t="s">
        <v>915</v>
      </c>
      <c r="J103" s="85" t="s">
        <v>59</v>
      </c>
    </row>
    <row r="104" spans="1:10" ht="16.5" thickBot="1" x14ac:dyDescent="0.9">
      <c r="A104" s="86" t="s">
        <v>1169</v>
      </c>
      <c r="B104" s="92" t="s">
        <v>1170</v>
      </c>
      <c r="C104" s="147" t="str">
        <f t="shared" si="7"/>
        <v>A.2.3.3.4-Admitting professional name [Required]</v>
      </c>
      <c r="D104" s="85" t="s">
        <v>981</v>
      </c>
      <c r="E104" s="82">
        <f t="shared" si="5"/>
        <v>0</v>
      </c>
      <c r="F104" s="82" t="str">
        <f t="shared" si="6"/>
        <v>1</v>
      </c>
      <c r="G104" s="144"/>
      <c r="H104" s="88"/>
      <c r="I104" s="85" t="s">
        <v>915</v>
      </c>
      <c r="J104" s="85" t="s">
        <v>59</v>
      </c>
    </row>
    <row r="105" spans="1:10" ht="30.25" thickBot="1" x14ac:dyDescent="0.9">
      <c r="A105" s="86" t="s">
        <v>1171</v>
      </c>
      <c r="B105" s="92" t="s">
        <v>1172</v>
      </c>
      <c r="C105" s="147" t="str">
        <f t="shared" si="7"/>
        <v>A.2.3.3.5-Admit Source [Required]</v>
      </c>
      <c r="D105" s="85" t="s">
        <v>1173</v>
      </c>
      <c r="E105" s="82">
        <f t="shared" si="5"/>
        <v>0</v>
      </c>
      <c r="F105" s="82" t="str">
        <f t="shared" si="6"/>
        <v>1</v>
      </c>
      <c r="G105" s="144"/>
      <c r="H105" s="89" t="s">
        <v>1174</v>
      </c>
      <c r="I105" s="85" t="s">
        <v>915</v>
      </c>
      <c r="J105" s="85" t="s">
        <v>59</v>
      </c>
    </row>
    <row r="106" spans="1:10" ht="63.75" thickBot="1" x14ac:dyDescent="0.9">
      <c r="A106" s="86" t="s">
        <v>1175</v>
      </c>
      <c r="B106" s="92" t="s">
        <v>1176</v>
      </c>
      <c r="C106" s="147" t="str">
        <f t="shared" si="7"/>
        <v>A.2.3.3.6-Referring professional Id [Required]</v>
      </c>
      <c r="D106" s="85" t="s">
        <v>992</v>
      </c>
      <c r="E106" s="82">
        <f t="shared" si="5"/>
        <v>0</v>
      </c>
      <c r="F106" s="82" t="str">
        <f t="shared" si="6"/>
        <v>1</v>
      </c>
      <c r="G106" s="144"/>
      <c r="H106" s="88"/>
      <c r="I106" s="85" t="s">
        <v>915</v>
      </c>
      <c r="J106" s="85" t="s">
        <v>59</v>
      </c>
    </row>
    <row r="107" spans="1:10" ht="16.5" thickBot="1" x14ac:dyDescent="0.9">
      <c r="A107" s="86" t="s">
        <v>1177</v>
      </c>
      <c r="B107" s="92" t="s">
        <v>1178</v>
      </c>
      <c r="C107" s="147" t="str">
        <f t="shared" si="7"/>
        <v>A.2.3.3.7-Referring professional name [Required]</v>
      </c>
      <c r="D107" s="85" t="s">
        <v>981</v>
      </c>
      <c r="E107" s="82">
        <f t="shared" si="5"/>
        <v>0</v>
      </c>
      <c r="F107" s="82" t="str">
        <f t="shared" si="6"/>
        <v>1</v>
      </c>
      <c r="G107" s="144"/>
      <c r="H107" s="88"/>
      <c r="I107" s="85" t="s">
        <v>915</v>
      </c>
      <c r="J107" s="85" t="s">
        <v>59</v>
      </c>
    </row>
    <row r="108" spans="1:10" ht="16.5" thickBot="1" x14ac:dyDescent="0.9">
      <c r="A108" s="86" t="s">
        <v>1179</v>
      </c>
      <c r="B108" s="92" t="s">
        <v>1180</v>
      </c>
      <c r="C108" s="147" t="str">
        <f t="shared" si="7"/>
        <v>A.2.3.3.8-Referring organization [Required]</v>
      </c>
      <c r="D108" s="85" t="s">
        <v>987</v>
      </c>
      <c r="E108" s="82">
        <f t="shared" si="5"/>
        <v>0</v>
      </c>
      <c r="F108" s="82" t="str">
        <f t="shared" si="6"/>
        <v>1</v>
      </c>
      <c r="G108" s="144"/>
      <c r="H108" s="88"/>
      <c r="I108" s="85" t="s">
        <v>915</v>
      </c>
      <c r="J108" s="85" t="s">
        <v>59</v>
      </c>
    </row>
    <row r="109" spans="1:10" ht="16.5" thickBot="1" x14ac:dyDescent="0.9">
      <c r="A109" s="80" t="s">
        <v>1181</v>
      </c>
      <c r="B109" s="81" t="s">
        <v>1182</v>
      </c>
      <c r="C109" s="147" t="str">
        <f t="shared" si="7"/>
        <v>A.2.3.4-Admission reason [Mandatory]</v>
      </c>
      <c r="D109" s="82"/>
      <c r="E109" s="82">
        <f t="shared" si="5"/>
        <v>1</v>
      </c>
      <c r="F109" s="82" t="str">
        <f t="shared" si="6"/>
        <v>1</v>
      </c>
      <c r="G109" s="82"/>
      <c r="H109" s="83"/>
      <c r="I109" s="85" t="s">
        <v>883</v>
      </c>
      <c r="J109" s="85" t="s">
        <v>884</v>
      </c>
    </row>
    <row r="110" spans="1:10" ht="48" thickBot="1" x14ac:dyDescent="0.9">
      <c r="A110" s="93" t="s">
        <v>1183</v>
      </c>
      <c r="B110" s="100" t="s">
        <v>1182</v>
      </c>
      <c r="C110" s="147" t="str">
        <f t="shared" si="7"/>
        <v>A.2.3.4.1-Admission reason [Required]</v>
      </c>
      <c r="D110" s="93" t="s">
        <v>1184</v>
      </c>
      <c r="E110" s="82">
        <f t="shared" si="5"/>
        <v>0</v>
      </c>
      <c r="F110" s="82" t="str">
        <f t="shared" si="6"/>
        <v>*</v>
      </c>
      <c r="G110" s="153"/>
      <c r="H110" s="95" t="s">
        <v>1840</v>
      </c>
      <c r="I110" s="93" t="s">
        <v>904</v>
      </c>
      <c r="J110" s="93" t="s">
        <v>59</v>
      </c>
    </row>
    <row r="111" spans="1:10" ht="16.5" thickBot="1" x14ac:dyDescent="0.9">
      <c r="A111" s="86" t="s">
        <v>1185</v>
      </c>
      <c r="B111" s="90" t="s">
        <v>1186</v>
      </c>
      <c r="C111" s="147" t="str">
        <f t="shared" si="7"/>
        <v>A.2.3.4.2-Admission reason comment [Optional]</v>
      </c>
      <c r="D111" s="85" t="s">
        <v>1187</v>
      </c>
      <c r="E111" s="82">
        <f t="shared" si="5"/>
        <v>0</v>
      </c>
      <c r="F111" s="82" t="str">
        <f t="shared" si="6"/>
        <v>1</v>
      </c>
      <c r="G111" s="144"/>
      <c r="H111" s="88"/>
      <c r="I111" s="85" t="s">
        <v>915</v>
      </c>
      <c r="J111" s="85" t="s">
        <v>912</v>
      </c>
    </row>
    <row r="112" spans="1:10" ht="95.25" thickBot="1" x14ac:dyDescent="0.9">
      <c r="A112" s="86" t="s">
        <v>1188</v>
      </c>
      <c r="B112" s="108" t="s">
        <v>1189</v>
      </c>
      <c r="C112" s="147" t="str">
        <f t="shared" si="7"/>
        <v>A.2.3.4.3-Admission legal status [Required]</v>
      </c>
      <c r="D112" s="85" t="s">
        <v>1190</v>
      </c>
      <c r="E112" s="82">
        <f t="shared" si="5"/>
        <v>0</v>
      </c>
      <c r="F112" s="82" t="str">
        <f t="shared" si="6"/>
        <v>1</v>
      </c>
      <c r="G112" s="144"/>
      <c r="H112" s="85" t="s">
        <v>1099</v>
      </c>
      <c r="I112" s="85" t="s">
        <v>915</v>
      </c>
      <c r="J112" s="85" t="s">
        <v>59</v>
      </c>
    </row>
    <row r="113" spans="1:10" ht="16.5" thickBot="1" x14ac:dyDescent="0.9">
      <c r="A113" s="80" t="s">
        <v>1191</v>
      </c>
      <c r="B113" s="81" t="s">
        <v>1192</v>
      </c>
      <c r="C113" s="147" t="str">
        <f t="shared" si="7"/>
        <v>A.2.3.5-Discharge [Mandatory]</v>
      </c>
      <c r="D113" s="82"/>
      <c r="E113" s="82">
        <f t="shared" si="5"/>
        <v>0</v>
      </c>
      <c r="F113" s="82" t="str">
        <f t="shared" si="6"/>
        <v/>
      </c>
      <c r="G113" s="82"/>
      <c r="H113" s="83"/>
      <c r="I113" s="88"/>
      <c r="J113" s="85" t="s">
        <v>884</v>
      </c>
    </row>
    <row r="114" spans="1:10" ht="16.5" thickBot="1" x14ac:dyDescent="0.9">
      <c r="A114" s="86" t="s">
        <v>1193</v>
      </c>
      <c r="B114" s="90" t="s">
        <v>1194</v>
      </c>
      <c r="C114" s="147" t="str">
        <f t="shared" si="7"/>
        <v>A.2.3.5.1-Discharge date [Mandatory]</v>
      </c>
      <c r="D114" s="85" t="s">
        <v>1195</v>
      </c>
      <c r="E114" s="82">
        <f t="shared" si="5"/>
        <v>1</v>
      </c>
      <c r="F114" s="82" t="str">
        <f t="shared" si="6"/>
        <v>1</v>
      </c>
      <c r="G114" s="144"/>
      <c r="H114" s="88"/>
      <c r="I114" s="85" t="s">
        <v>883</v>
      </c>
      <c r="J114" s="85" t="s">
        <v>884</v>
      </c>
    </row>
    <row r="115" spans="1:10" ht="32.25" thickBot="1" x14ac:dyDescent="0.9">
      <c r="A115" s="86" t="s">
        <v>1196</v>
      </c>
      <c r="B115" s="90" t="s">
        <v>1197</v>
      </c>
      <c r="C115" s="147" t="str">
        <f t="shared" si="7"/>
        <v>A.2.3.5.2-Discharge destination type [Required]</v>
      </c>
      <c r="D115" s="85" t="s">
        <v>1198</v>
      </c>
      <c r="E115" s="82">
        <f t="shared" si="5"/>
        <v>0</v>
      </c>
      <c r="F115" s="82" t="str">
        <f t="shared" si="6"/>
        <v>1</v>
      </c>
      <c r="G115" s="144"/>
      <c r="H115" s="89" t="s">
        <v>1199</v>
      </c>
      <c r="I115" s="85" t="s">
        <v>915</v>
      </c>
      <c r="J115" s="85" t="s">
        <v>59</v>
      </c>
    </row>
    <row r="116" spans="1:10" ht="32.25" thickBot="1" x14ac:dyDescent="0.9">
      <c r="A116" s="86" t="s">
        <v>1200</v>
      </c>
      <c r="B116" s="90" t="s">
        <v>1201</v>
      </c>
      <c r="C116" s="147" t="str">
        <f t="shared" si="7"/>
        <v>A.2.3.5.3-Destination location [Required]</v>
      </c>
      <c r="D116" s="85" t="s">
        <v>1202</v>
      </c>
      <c r="E116" s="82">
        <f t="shared" si="5"/>
        <v>0</v>
      </c>
      <c r="F116" s="82" t="str">
        <f t="shared" si="6"/>
        <v>1</v>
      </c>
      <c r="G116" s="144"/>
      <c r="H116" s="88"/>
      <c r="I116" s="85" t="s">
        <v>915</v>
      </c>
      <c r="J116" s="85" t="s">
        <v>59</v>
      </c>
    </row>
    <row r="117" spans="1:10" ht="31.75" thickBot="1" x14ac:dyDescent="0.9">
      <c r="A117" s="80" t="s">
        <v>1203</v>
      </c>
      <c r="B117" s="81" t="s">
        <v>87</v>
      </c>
      <c r="C117" s="147" t="str">
        <f t="shared" si="7"/>
        <v>A.2.3.6-Location [Required]</v>
      </c>
      <c r="D117" s="82" t="s">
        <v>1841</v>
      </c>
      <c r="E117" s="82">
        <f t="shared" si="5"/>
        <v>0</v>
      </c>
      <c r="F117" s="82" t="str">
        <f t="shared" si="6"/>
        <v>*</v>
      </c>
      <c r="G117" s="82"/>
      <c r="H117" s="83"/>
      <c r="I117" s="85" t="s">
        <v>904</v>
      </c>
      <c r="J117" s="85" t="s">
        <v>59</v>
      </c>
    </row>
    <row r="118" spans="1:10" ht="16.5" thickBot="1" x14ac:dyDescent="0.9">
      <c r="A118" s="86" t="s">
        <v>1205</v>
      </c>
      <c r="B118" s="90" t="s">
        <v>1147</v>
      </c>
      <c r="C118" s="147" t="str">
        <f t="shared" si="7"/>
        <v>A.2.3.6.1-Period [Mandatory]</v>
      </c>
      <c r="D118" s="85" t="s">
        <v>1206</v>
      </c>
      <c r="E118" s="82">
        <f t="shared" si="5"/>
        <v>1</v>
      </c>
      <c r="F118" s="82" t="str">
        <f t="shared" si="6"/>
        <v>1</v>
      </c>
      <c r="G118" s="144"/>
      <c r="H118" s="88"/>
      <c r="I118" s="85" t="s">
        <v>883</v>
      </c>
      <c r="J118" s="85" t="s">
        <v>884</v>
      </c>
    </row>
    <row r="119" spans="1:10" ht="16.5" thickBot="1" x14ac:dyDescent="0.9">
      <c r="A119" s="86" t="s">
        <v>1207</v>
      </c>
      <c r="B119" s="90" t="s">
        <v>1208</v>
      </c>
      <c r="C119" s="147" t="str">
        <f t="shared" si="7"/>
        <v>A.2.3.6.2-Organization Id [Required]</v>
      </c>
      <c r="D119" s="85" t="s">
        <v>1209</v>
      </c>
      <c r="E119" s="82">
        <f t="shared" si="5"/>
        <v>0</v>
      </c>
      <c r="F119" s="82" t="str">
        <f t="shared" si="6"/>
        <v>1</v>
      </c>
      <c r="G119" s="144"/>
      <c r="H119" s="88"/>
      <c r="I119" s="85" t="s">
        <v>915</v>
      </c>
      <c r="J119" s="85" t="s">
        <v>59</v>
      </c>
    </row>
    <row r="120" spans="1:10" ht="16.5" thickBot="1" x14ac:dyDescent="0.9">
      <c r="A120" s="86" t="s">
        <v>1210</v>
      </c>
      <c r="B120" s="90" t="s">
        <v>1211</v>
      </c>
      <c r="C120" s="147" t="str">
        <f t="shared" si="7"/>
        <v>A.2.3.6.3-Organization Part Name [Mandatory]</v>
      </c>
      <c r="D120" s="85" t="s">
        <v>1212</v>
      </c>
      <c r="E120" s="82">
        <f t="shared" si="5"/>
        <v>1</v>
      </c>
      <c r="F120" s="82" t="str">
        <f t="shared" si="6"/>
        <v>1</v>
      </c>
      <c r="G120" s="144"/>
      <c r="H120" s="88"/>
      <c r="I120" s="85" t="s">
        <v>883</v>
      </c>
      <c r="J120" s="85" t="s">
        <v>884</v>
      </c>
    </row>
    <row r="121" spans="1:10" ht="32.25" thickBot="1" x14ac:dyDescent="0.9">
      <c r="A121" s="86" t="s">
        <v>1213</v>
      </c>
      <c r="B121" s="90" t="s">
        <v>1214</v>
      </c>
      <c r="C121" s="147" t="str">
        <f t="shared" si="7"/>
        <v>A.2.3.6.4-Organization Part Details [Required]</v>
      </c>
      <c r="D121" s="85" t="s">
        <v>1215</v>
      </c>
      <c r="E121" s="82">
        <f t="shared" si="5"/>
        <v>1</v>
      </c>
      <c r="F121" s="82" t="str">
        <f t="shared" si="6"/>
        <v>*</v>
      </c>
      <c r="G121" s="144"/>
      <c r="H121" s="88"/>
      <c r="I121" s="85" t="s">
        <v>890</v>
      </c>
      <c r="J121" s="85" t="s">
        <v>59</v>
      </c>
    </row>
    <row r="122" spans="1:10" ht="32.25" thickBot="1" x14ac:dyDescent="0.9">
      <c r="A122" s="80" t="s">
        <v>1216</v>
      </c>
      <c r="B122" s="81" t="s">
        <v>1217</v>
      </c>
      <c r="C122" s="147" t="str">
        <f t="shared" si="7"/>
        <v>A.2.4-Admission evaluation - Admission status should be reported exceptionally only if it is relevant to ensure continuity of care. [Optional]</v>
      </c>
      <c r="D122" s="82"/>
      <c r="E122" s="82">
        <f t="shared" si="5"/>
        <v>0</v>
      </c>
      <c r="F122" s="82" t="str">
        <f t="shared" si="6"/>
        <v>1</v>
      </c>
      <c r="G122" s="82"/>
      <c r="H122" s="83"/>
      <c r="I122" s="85" t="s">
        <v>915</v>
      </c>
      <c r="J122" s="85" t="s">
        <v>912</v>
      </c>
    </row>
    <row r="123" spans="1:10" ht="16.5" thickBot="1" x14ac:dyDescent="0.9">
      <c r="A123" s="109" t="s">
        <v>1218</v>
      </c>
      <c r="B123" s="110" t="s">
        <v>1219</v>
      </c>
      <c r="C123" s="147" t="str">
        <f t="shared" si="7"/>
        <v>A.2.4.1-Objective findings [Optional]</v>
      </c>
      <c r="D123" s="111"/>
      <c r="E123" s="82">
        <f t="shared" si="5"/>
        <v>0</v>
      </c>
      <c r="F123" s="82" t="str">
        <f t="shared" si="6"/>
        <v>1</v>
      </c>
      <c r="G123" s="82"/>
      <c r="H123" s="112"/>
      <c r="I123" s="85" t="s">
        <v>915</v>
      </c>
      <c r="J123" s="85" t="s">
        <v>912</v>
      </c>
    </row>
    <row r="124" spans="1:10" ht="16.5" thickBot="1" x14ac:dyDescent="0.9">
      <c r="A124" s="86" t="s">
        <v>1220</v>
      </c>
      <c r="B124" s="90" t="s">
        <v>1072</v>
      </c>
      <c r="C124" s="147" t="str">
        <f t="shared" si="7"/>
        <v>A.2.4.1.1-Date and time [Optional]</v>
      </c>
      <c r="D124" s="85" t="s">
        <v>1221</v>
      </c>
      <c r="E124" s="82">
        <f t="shared" si="5"/>
        <v>0</v>
      </c>
      <c r="F124" s="82" t="str">
        <f t="shared" si="6"/>
        <v>1</v>
      </c>
      <c r="G124" s="144"/>
      <c r="H124" s="88"/>
      <c r="I124" s="85" t="s">
        <v>915</v>
      </c>
      <c r="J124" s="85" t="s">
        <v>912</v>
      </c>
    </row>
    <row r="125" spans="1:10" ht="48" thickBot="1" x14ac:dyDescent="0.9">
      <c r="A125" s="86" t="s">
        <v>1222</v>
      </c>
      <c r="B125" s="90" t="s">
        <v>1223</v>
      </c>
      <c r="C125" s="147" t="str">
        <f t="shared" si="7"/>
        <v>A.2.4.1.2-Performer [Optional]</v>
      </c>
      <c r="D125" s="85" t="s">
        <v>1224</v>
      </c>
      <c r="E125" s="82">
        <f t="shared" si="5"/>
        <v>0</v>
      </c>
      <c r="F125" s="82" t="str">
        <f t="shared" si="6"/>
        <v>*</v>
      </c>
      <c r="G125" s="144"/>
      <c r="H125" s="88"/>
      <c r="I125" s="85" t="s">
        <v>904</v>
      </c>
      <c r="J125" s="85" t="s">
        <v>912</v>
      </c>
    </row>
    <row r="126" spans="1:10" ht="16.5" customHeight="1" thickBot="1" x14ac:dyDescent="0.9">
      <c r="A126" s="113" t="s">
        <v>1225</v>
      </c>
      <c r="B126" s="114" t="s">
        <v>1226</v>
      </c>
      <c r="C126" s="147" t="str">
        <f t="shared" si="7"/>
        <v>A.2.4.1.3-Anthropometric obsevations [Optional]</v>
      </c>
      <c r="D126" s="115" t="s">
        <v>1842</v>
      </c>
      <c r="E126" s="82">
        <f t="shared" si="5"/>
        <v>0</v>
      </c>
      <c r="F126" s="82" t="str">
        <f t="shared" si="6"/>
        <v>*</v>
      </c>
      <c r="G126" s="122"/>
      <c r="H126" s="116"/>
      <c r="I126" s="93" t="s">
        <v>904</v>
      </c>
      <c r="J126" s="93" t="s">
        <v>912</v>
      </c>
    </row>
    <row r="127" spans="1:10" ht="16.5" thickBot="1" x14ac:dyDescent="0.9">
      <c r="A127" s="86" t="s">
        <v>1229</v>
      </c>
      <c r="B127" s="148" t="s">
        <v>1230</v>
      </c>
      <c r="C127" s="147" t="str">
        <f t="shared" si="7"/>
        <v>A.2.4.1.3.1-Observation category [Required]</v>
      </c>
      <c r="D127" s="85" t="s">
        <v>1231</v>
      </c>
      <c r="E127" s="82">
        <f t="shared" si="5"/>
        <v>0</v>
      </c>
      <c r="F127" s="82" t="str">
        <f t="shared" si="6"/>
        <v>1</v>
      </c>
      <c r="G127" s="144"/>
      <c r="H127" s="88"/>
      <c r="I127" s="85" t="s">
        <v>915</v>
      </c>
      <c r="J127" s="85" t="s">
        <v>59</v>
      </c>
    </row>
    <row r="128" spans="1:10" ht="158.25" thickBot="1" x14ac:dyDescent="0.9">
      <c r="A128" s="93" t="s">
        <v>1232</v>
      </c>
      <c r="B128" s="100" t="s">
        <v>1233</v>
      </c>
      <c r="C128" s="147" t="str">
        <f t="shared" si="7"/>
        <v>A.2.4.1.3.2-Observation description [Mandatory]</v>
      </c>
      <c r="D128" s="93" t="s">
        <v>1234</v>
      </c>
      <c r="E128" s="82">
        <f t="shared" si="5"/>
        <v>1</v>
      </c>
      <c r="F128" s="82" t="str">
        <f t="shared" si="6"/>
        <v>1</v>
      </c>
      <c r="G128" s="153"/>
      <c r="H128" s="95" t="s">
        <v>1843</v>
      </c>
      <c r="I128" s="93" t="s">
        <v>883</v>
      </c>
      <c r="J128" s="93" t="s">
        <v>884</v>
      </c>
    </row>
    <row r="129" spans="1:10" ht="16.5" customHeight="1" thickBot="1" x14ac:dyDescent="0.9">
      <c r="A129" s="93" t="s">
        <v>1237</v>
      </c>
      <c r="B129" s="160" t="s">
        <v>1238</v>
      </c>
      <c r="C129" s="147" t="str">
        <f t="shared" si="7"/>
        <v>A.2.4.1.3.3-Observation result [Mandatory]</v>
      </c>
      <c r="D129" s="93" t="s">
        <v>1239</v>
      </c>
      <c r="E129" s="82">
        <f t="shared" si="5"/>
        <v>1</v>
      </c>
      <c r="F129" s="82" t="str">
        <f t="shared" si="6"/>
        <v>1</v>
      </c>
      <c r="G129" s="153"/>
      <c r="H129" s="95" t="s">
        <v>1099</v>
      </c>
      <c r="I129" s="93" t="s">
        <v>883</v>
      </c>
      <c r="J129" s="93" t="s">
        <v>884</v>
      </c>
    </row>
    <row r="130" spans="1:10" ht="16.5" thickBot="1" x14ac:dyDescent="0.9">
      <c r="A130" s="86"/>
      <c r="B130" s="162"/>
      <c r="C130" s="147" t="str">
        <f t="shared" si="7"/>
        <v>- []</v>
      </c>
      <c r="D130" s="86"/>
      <c r="E130" s="82">
        <f t="shared" si="5"/>
        <v>0</v>
      </c>
      <c r="F130" s="82" t="str">
        <f t="shared" si="6"/>
        <v/>
      </c>
      <c r="G130" s="144"/>
      <c r="H130" s="85" t="s">
        <v>1240</v>
      </c>
      <c r="I130" s="86"/>
      <c r="J130" s="86"/>
    </row>
    <row r="131" spans="1:10" ht="48" thickBot="1" x14ac:dyDescent="0.9">
      <c r="A131" s="86" t="s">
        <v>1241</v>
      </c>
      <c r="B131" s="90" t="s">
        <v>1223</v>
      </c>
      <c r="C131" s="147" t="str">
        <f t="shared" si="7"/>
        <v>A.2.4.1.3.4-Performer [Optional]</v>
      </c>
      <c r="D131" s="85" t="s">
        <v>1242</v>
      </c>
      <c r="E131" s="82">
        <f t="shared" ref="E131:E194" si="8">_xlfn.NUMBERVALUE(MID(I131,1,1))</f>
        <v>0</v>
      </c>
      <c r="F131" s="82" t="str">
        <f t="shared" ref="F131:F194" si="9">MID(I131,4,1)</f>
        <v>*</v>
      </c>
      <c r="G131" s="144"/>
      <c r="H131" s="88"/>
      <c r="I131" s="85" t="s">
        <v>904</v>
      </c>
      <c r="J131" s="85" t="s">
        <v>912</v>
      </c>
    </row>
    <row r="132" spans="1:10" ht="16.5" customHeight="1" thickBot="1" x14ac:dyDescent="0.9">
      <c r="A132" s="113" t="s">
        <v>1243</v>
      </c>
      <c r="B132" s="113" t="s">
        <v>1244</v>
      </c>
      <c r="C132" s="147" t="str">
        <f t="shared" si="7"/>
        <v>A.2.4.1.4-Vital signs [Optional]</v>
      </c>
      <c r="D132" s="115" t="s">
        <v>1844</v>
      </c>
      <c r="E132" s="82">
        <f t="shared" si="8"/>
        <v>0</v>
      </c>
      <c r="F132" s="82" t="str">
        <f t="shared" si="9"/>
        <v>*</v>
      </c>
      <c r="G132" s="122"/>
      <c r="H132" s="116"/>
      <c r="I132" s="93" t="s">
        <v>904</v>
      </c>
      <c r="J132" s="93" t="s">
        <v>912</v>
      </c>
    </row>
    <row r="133" spans="1:10" ht="42.25" customHeight="1" thickBot="1" x14ac:dyDescent="0.9">
      <c r="A133" s="93" t="s">
        <v>1248</v>
      </c>
      <c r="B133" s="100" t="s">
        <v>1230</v>
      </c>
      <c r="C133" s="147" t="str">
        <f t="shared" ref="C133:C197" si="10">CONCATENATE(A133,"-",B133," [",J133,"]")</f>
        <v>A.2.4.1.4.1-Observation category [Mandatory]</v>
      </c>
      <c r="D133" s="93" t="s">
        <v>1231</v>
      </c>
      <c r="E133" s="82">
        <f t="shared" si="8"/>
        <v>1</v>
      </c>
      <c r="F133" s="82" t="str">
        <f t="shared" si="9"/>
        <v>1</v>
      </c>
      <c r="G133" s="153"/>
      <c r="H133" s="149" t="s">
        <v>1845</v>
      </c>
      <c r="I133" s="93" t="s">
        <v>883</v>
      </c>
      <c r="J133" s="93" t="s">
        <v>884</v>
      </c>
    </row>
    <row r="134" spans="1:10" ht="174" thickBot="1" x14ac:dyDescent="0.9">
      <c r="A134" s="93" t="s">
        <v>1251</v>
      </c>
      <c r="B134" s="100" t="s">
        <v>1233</v>
      </c>
      <c r="C134" s="147" t="str">
        <f t="shared" si="10"/>
        <v>A.2.4.1.4.2-Observation description [Mandatory]</v>
      </c>
      <c r="D134" s="93" t="s">
        <v>1234</v>
      </c>
      <c r="E134" s="82">
        <f t="shared" si="8"/>
        <v>1</v>
      </c>
      <c r="F134" s="82" t="str">
        <f t="shared" si="9"/>
        <v>1</v>
      </c>
      <c r="G134" s="153"/>
      <c r="H134" s="95" t="s">
        <v>1846</v>
      </c>
      <c r="I134" s="93" t="s">
        <v>883</v>
      </c>
      <c r="J134" s="93" t="s">
        <v>884</v>
      </c>
    </row>
    <row r="135" spans="1:10" ht="79.5" thickBot="1" x14ac:dyDescent="0.9">
      <c r="A135" s="93" t="s">
        <v>1253</v>
      </c>
      <c r="B135" s="100" t="s">
        <v>1238</v>
      </c>
      <c r="C135" s="147" t="str">
        <f t="shared" si="10"/>
        <v>A.2.4.1.4.3-Observation result [Required]</v>
      </c>
      <c r="D135" s="93" t="s">
        <v>1239</v>
      </c>
      <c r="E135" s="82">
        <f t="shared" si="8"/>
        <v>1</v>
      </c>
      <c r="F135" s="82" t="str">
        <f t="shared" si="9"/>
        <v>1</v>
      </c>
      <c r="G135" s="144"/>
      <c r="H135" s="85" t="s">
        <v>1254</v>
      </c>
      <c r="I135" s="93" t="s">
        <v>883</v>
      </c>
      <c r="J135" s="93" t="s">
        <v>59</v>
      </c>
    </row>
    <row r="136" spans="1:10" ht="48" thickBot="1" x14ac:dyDescent="0.9">
      <c r="A136" s="86" t="s">
        <v>1255</v>
      </c>
      <c r="B136" s="90" t="s">
        <v>1223</v>
      </c>
      <c r="C136" s="147" t="str">
        <f t="shared" si="10"/>
        <v>A.2.4.1.4.4-Performer [Required]</v>
      </c>
      <c r="D136" s="85" t="s">
        <v>1242</v>
      </c>
      <c r="E136" s="82">
        <f t="shared" si="8"/>
        <v>0</v>
      </c>
      <c r="F136" s="82" t="str">
        <f t="shared" si="9"/>
        <v>*</v>
      </c>
      <c r="G136" s="144"/>
      <c r="H136" s="88"/>
      <c r="I136" s="85" t="s">
        <v>904</v>
      </c>
      <c r="J136" s="85" t="s">
        <v>59</v>
      </c>
    </row>
    <row r="137" spans="1:10" ht="111" thickBot="1" x14ac:dyDescent="0.9">
      <c r="A137" s="80" t="s">
        <v>1256</v>
      </c>
      <c r="B137" s="84" t="s">
        <v>1257</v>
      </c>
      <c r="C137" s="147" t="str">
        <f t="shared" si="10"/>
        <v>A.2.4.1.5-Physical examination [Optional]</v>
      </c>
      <c r="D137" s="85" t="s">
        <v>1258</v>
      </c>
      <c r="E137" s="82">
        <f t="shared" si="8"/>
        <v>0</v>
      </c>
      <c r="F137" s="82" t="str">
        <f t="shared" si="9"/>
        <v>1</v>
      </c>
      <c r="G137" s="144"/>
      <c r="H137" s="88"/>
      <c r="I137" s="85" t="s">
        <v>915</v>
      </c>
      <c r="J137" s="85" t="s">
        <v>912</v>
      </c>
    </row>
    <row r="138" spans="1:10" ht="16.5" thickBot="1" x14ac:dyDescent="0.9">
      <c r="A138" s="86" t="s">
        <v>1259</v>
      </c>
      <c r="B138" s="90" t="s">
        <v>1260</v>
      </c>
      <c r="C138" s="147" t="str">
        <f t="shared" si="10"/>
        <v>A.2.4.1.5.1-Observation Note [Required]</v>
      </c>
      <c r="D138" s="85" t="s">
        <v>1261</v>
      </c>
      <c r="E138" s="82">
        <f t="shared" si="8"/>
        <v>1</v>
      </c>
      <c r="F138" s="82" t="str">
        <f t="shared" si="9"/>
        <v>1</v>
      </c>
      <c r="G138" s="144"/>
      <c r="H138" s="88"/>
      <c r="I138" s="85" t="s">
        <v>883</v>
      </c>
      <c r="J138" s="85" t="s">
        <v>59</v>
      </c>
    </row>
    <row r="139" spans="1:10" ht="48" thickBot="1" x14ac:dyDescent="0.9">
      <c r="A139" s="86" t="s">
        <v>1262</v>
      </c>
      <c r="B139" s="90" t="s">
        <v>1223</v>
      </c>
      <c r="C139" s="147" t="str">
        <f t="shared" si="10"/>
        <v>A.2.4.1.5.2-Performer [Optional]</v>
      </c>
      <c r="D139" s="85" t="s">
        <v>1242</v>
      </c>
      <c r="E139" s="82">
        <f t="shared" si="8"/>
        <v>0</v>
      </c>
      <c r="F139" s="82" t="str">
        <f t="shared" si="9"/>
        <v>*</v>
      </c>
      <c r="G139" s="144"/>
      <c r="H139" s="88"/>
      <c r="I139" s="85" t="s">
        <v>904</v>
      </c>
      <c r="J139" s="85" t="s">
        <v>912</v>
      </c>
    </row>
    <row r="140" spans="1:10" ht="109.25" thickBot="1" x14ac:dyDescent="0.9">
      <c r="A140" s="113" t="s">
        <v>1263</v>
      </c>
      <c r="B140" s="121" t="s">
        <v>1264</v>
      </c>
      <c r="C140" s="147" t="str">
        <f t="shared" si="10"/>
        <v>A.2.4.2-Functional status [Optional]</v>
      </c>
      <c r="D140" s="122" t="s">
        <v>1847</v>
      </c>
      <c r="E140" s="82">
        <f t="shared" si="8"/>
        <v>0</v>
      </c>
      <c r="F140" s="82" t="str">
        <f t="shared" si="9"/>
        <v>1</v>
      </c>
      <c r="G140" s="122"/>
      <c r="H140" s="123"/>
      <c r="I140" s="93" t="s">
        <v>915</v>
      </c>
      <c r="J140" s="93" t="s">
        <v>912</v>
      </c>
    </row>
    <row r="141" spans="1:10" ht="16.5" thickBot="1" x14ac:dyDescent="0.9">
      <c r="A141" s="86" t="s">
        <v>1267</v>
      </c>
      <c r="B141" s="85" t="s">
        <v>1072</v>
      </c>
      <c r="C141" s="147" t="str">
        <f t="shared" si="10"/>
        <v>A.2.4.2.1-Date and time [Optional]</v>
      </c>
      <c r="D141" s="85" t="s">
        <v>1221</v>
      </c>
      <c r="E141" s="82">
        <f t="shared" si="8"/>
        <v>1</v>
      </c>
      <c r="F141" s="82" t="str">
        <f t="shared" si="9"/>
        <v>1</v>
      </c>
      <c r="G141" s="144"/>
      <c r="H141" s="88"/>
      <c r="I141" s="85" t="s">
        <v>883</v>
      </c>
      <c r="J141" s="85" t="s">
        <v>912</v>
      </c>
    </row>
    <row r="142" spans="1:10" ht="48" thickBot="1" x14ac:dyDescent="0.9">
      <c r="A142" s="86" t="s">
        <v>1268</v>
      </c>
      <c r="B142" s="90" t="s">
        <v>1223</v>
      </c>
      <c r="C142" s="147" t="str">
        <f t="shared" si="10"/>
        <v>A.2.4.2.2-Performer [Optional]</v>
      </c>
      <c r="D142" s="85" t="s">
        <v>1224</v>
      </c>
      <c r="E142" s="82">
        <f t="shared" si="8"/>
        <v>0</v>
      </c>
      <c r="F142" s="82" t="str">
        <f t="shared" si="9"/>
        <v>*</v>
      </c>
      <c r="G142" s="144"/>
      <c r="H142" s="88"/>
      <c r="I142" s="85" t="s">
        <v>904</v>
      </c>
      <c r="J142" s="85" t="s">
        <v>912</v>
      </c>
    </row>
    <row r="143" spans="1:10" ht="48" thickBot="1" x14ac:dyDescent="0.9">
      <c r="A143" s="86" t="s">
        <v>1269</v>
      </c>
      <c r="B143" s="90" t="s">
        <v>3</v>
      </c>
      <c r="C143" s="147" t="str">
        <f t="shared" si="10"/>
        <v>A.2.4.2.3-Description [Optional]</v>
      </c>
      <c r="D143" s="85" t="s">
        <v>1270</v>
      </c>
      <c r="E143" s="82">
        <f t="shared" si="8"/>
        <v>0</v>
      </c>
      <c r="F143" s="82" t="str">
        <f t="shared" si="9"/>
        <v>1</v>
      </c>
      <c r="G143" s="144"/>
      <c r="H143" s="88"/>
      <c r="I143" s="85" t="s">
        <v>915</v>
      </c>
      <c r="J143" s="85" t="s">
        <v>912</v>
      </c>
    </row>
    <row r="144" spans="1:10" ht="48" thickBot="1" x14ac:dyDescent="0.9">
      <c r="A144" s="86" t="s">
        <v>1271</v>
      </c>
      <c r="B144" s="90" t="s">
        <v>1272</v>
      </c>
      <c r="C144" s="147" t="str">
        <f t="shared" si="10"/>
        <v>A.2.4.2.4-Functional status assessment [Optional]</v>
      </c>
      <c r="D144" s="85" t="s">
        <v>1273</v>
      </c>
      <c r="E144" s="82">
        <f t="shared" si="8"/>
        <v>0</v>
      </c>
      <c r="F144" s="82" t="str">
        <f t="shared" si="9"/>
        <v>*</v>
      </c>
      <c r="G144" s="144"/>
      <c r="H144" s="88"/>
      <c r="I144" s="85" t="s">
        <v>904</v>
      </c>
      <c r="J144" s="85" t="s">
        <v>912</v>
      </c>
    </row>
    <row r="145" spans="1:10" ht="30.25" thickBot="1" x14ac:dyDescent="0.9">
      <c r="A145" s="86" t="s">
        <v>1248</v>
      </c>
      <c r="B145" s="90" t="s">
        <v>1274</v>
      </c>
      <c r="C145" s="147" t="str">
        <f t="shared" si="10"/>
        <v>A.2.4.1.4.1-Observation cathegory [Mandatory]</v>
      </c>
      <c r="D145" s="85" t="s">
        <v>1275</v>
      </c>
      <c r="E145" s="82">
        <f t="shared" si="8"/>
        <v>1</v>
      </c>
      <c r="F145" s="82" t="str">
        <f t="shared" si="9"/>
        <v>1</v>
      </c>
      <c r="G145" s="144"/>
      <c r="H145" s="89" t="s">
        <v>1276</v>
      </c>
      <c r="I145" s="85" t="s">
        <v>883</v>
      </c>
      <c r="J145" s="85" t="s">
        <v>884</v>
      </c>
    </row>
    <row r="146" spans="1:10" ht="16.5" thickBot="1" x14ac:dyDescent="0.9">
      <c r="A146" s="86" t="s">
        <v>1251</v>
      </c>
      <c r="B146" s="90" t="s">
        <v>1277</v>
      </c>
      <c r="C146" s="147" t="str">
        <f t="shared" si="10"/>
        <v>A.2.4.1.4.2-Onset Date [Required]</v>
      </c>
      <c r="D146" s="85" t="s">
        <v>1278</v>
      </c>
      <c r="E146" s="82">
        <f t="shared" si="8"/>
        <v>0</v>
      </c>
      <c r="F146" s="82" t="str">
        <f t="shared" si="9"/>
        <v>1</v>
      </c>
      <c r="G146" s="144"/>
      <c r="H146" s="88"/>
      <c r="I146" s="85" t="s">
        <v>915</v>
      </c>
      <c r="J146" s="85" t="s">
        <v>59</v>
      </c>
    </row>
    <row r="147" spans="1:10" ht="16.5" thickBot="1" x14ac:dyDescent="0.9">
      <c r="A147" s="86" t="s">
        <v>1253</v>
      </c>
      <c r="B147" s="90" t="s">
        <v>1279</v>
      </c>
      <c r="C147" s="147" t="str">
        <f t="shared" si="10"/>
        <v>A.2.4.1.4.3-Result description [Optional]</v>
      </c>
      <c r="D147" s="85" t="s">
        <v>1280</v>
      </c>
      <c r="E147" s="82">
        <f t="shared" si="8"/>
        <v>0</v>
      </c>
      <c r="F147" s="82" t="str">
        <f t="shared" si="9"/>
        <v>1</v>
      </c>
      <c r="G147" s="144"/>
      <c r="H147" s="88"/>
      <c r="I147" s="85" t="s">
        <v>915</v>
      </c>
      <c r="J147" s="85" t="s">
        <v>912</v>
      </c>
    </row>
    <row r="148" spans="1:10" ht="48" thickBot="1" x14ac:dyDescent="0.9">
      <c r="A148" s="86" t="s">
        <v>1255</v>
      </c>
      <c r="B148" s="90" t="s">
        <v>1281</v>
      </c>
      <c r="C148" s="147" t="str">
        <f t="shared" si="10"/>
        <v>A.2.4.1.4.4-Observation details [Required]</v>
      </c>
      <c r="D148" s="85" t="s">
        <v>1234</v>
      </c>
      <c r="E148" s="82">
        <f t="shared" si="8"/>
        <v>1</v>
      </c>
      <c r="F148" s="82" t="str">
        <f t="shared" si="9"/>
        <v>1</v>
      </c>
      <c r="G148" s="144"/>
      <c r="H148" s="85" t="s">
        <v>1282</v>
      </c>
      <c r="I148" s="85" t="s">
        <v>883</v>
      </c>
      <c r="J148" s="85" t="s">
        <v>59</v>
      </c>
    </row>
    <row r="149" spans="1:10" ht="79.5" thickBot="1" x14ac:dyDescent="0.9">
      <c r="A149" s="86" t="s">
        <v>1283</v>
      </c>
      <c r="B149" s="90" t="s">
        <v>1238</v>
      </c>
      <c r="C149" s="147" t="str">
        <f t="shared" si="10"/>
        <v>A.2.4.1.4.5-Observation result [Required]</v>
      </c>
      <c r="D149" s="85" t="s">
        <v>1239</v>
      </c>
      <c r="E149" s="82">
        <f t="shared" si="8"/>
        <v>1</v>
      </c>
      <c r="F149" s="82" t="str">
        <f t="shared" si="9"/>
        <v>1</v>
      </c>
      <c r="G149" s="144"/>
      <c r="H149" s="85" t="s">
        <v>1282</v>
      </c>
      <c r="I149" s="85" t="s">
        <v>883</v>
      </c>
      <c r="J149" s="85" t="s">
        <v>59</v>
      </c>
    </row>
    <row r="150" spans="1:10" ht="16.5" thickBot="1" x14ac:dyDescent="0.9">
      <c r="A150" s="80" t="s">
        <v>1284</v>
      </c>
      <c r="B150" s="81" t="s">
        <v>1285</v>
      </c>
      <c r="C150" s="147" t="str">
        <f t="shared" si="10"/>
        <v>A.2.6-Patient history [Optional]</v>
      </c>
      <c r="D150" s="82"/>
      <c r="E150" s="82">
        <f t="shared" si="8"/>
        <v>0</v>
      </c>
      <c r="F150" s="82" t="str">
        <f t="shared" si="9"/>
        <v>1</v>
      </c>
      <c r="G150" s="82"/>
      <c r="H150" s="83"/>
      <c r="I150" s="85" t="s">
        <v>915</v>
      </c>
      <c r="J150" s="85" t="s">
        <v>912</v>
      </c>
    </row>
    <row r="151" spans="1:10" ht="16.5" thickBot="1" x14ac:dyDescent="0.9">
      <c r="A151" s="80" t="s">
        <v>1286</v>
      </c>
      <c r="B151" s="81" t="s">
        <v>1287</v>
      </c>
      <c r="C151" s="147" t="str">
        <f t="shared" si="10"/>
        <v>A.2.6.1-Medical history [Required]</v>
      </c>
      <c r="D151" s="82"/>
      <c r="E151" s="82">
        <f t="shared" si="8"/>
        <v>1</v>
      </c>
      <c r="F151" s="82" t="str">
        <f t="shared" si="9"/>
        <v>1</v>
      </c>
      <c r="G151" s="82"/>
      <c r="H151" s="83"/>
      <c r="I151" s="85" t="s">
        <v>883</v>
      </c>
      <c r="J151" s="85" t="s">
        <v>59</v>
      </c>
    </row>
    <row r="152" spans="1:10" ht="16.5" customHeight="1" thickBot="1" x14ac:dyDescent="0.9">
      <c r="A152" s="109" t="s">
        <v>1288</v>
      </c>
      <c r="B152" s="126" t="s">
        <v>1289</v>
      </c>
      <c r="C152" s="147" t="str">
        <f t="shared" si="10"/>
        <v>A.2.6.1.1-Past problems [Required]</v>
      </c>
      <c r="D152" s="127" t="s">
        <v>1290</v>
      </c>
      <c r="E152" s="82">
        <f t="shared" si="8"/>
        <v>1</v>
      </c>
      <c r="F152" s="82" t="str">
        <f t="shared" si="9"/>
        <v>*</v>
      </c>
      <c r="G152" s="82"/>
      <c r="H152" s="128"/>
      <c r="I152" s="85" t="s">
        <v>890</v>
      </c>
      <c r="J152" s="85" t="s">
        <v>59</v>
      </c>
    </row>
    <row r="153" spans="1:10" ht="16.5" thickBot="1" x14ac:dyDescent="0.9">
      <c r="A153" s="86" t="s">
        <v>1291</v>
      </c>
      <c r="B153" s="108" t="s">
        <v>1292</v>
      </c>
      <c r="C153" s="147" t="str">
        <f t="shared" si="10"/>
        <v>A.2.6.1.1.1-Problem description [Mandatory]</v>
      </c>
      <c r="D153" s="129" t="s">
        <v>1293</v>
      </c>
      <c r="E153" s="82">
        <f t="shared" si="8"/>
        <v>1</v>
      </c>
      <c r="F153" s="82" t="str">
        <f t="shared" si="9"/>
        <v>1</v>
      </c>
      <c r="G153" s="82"/>
      <c r="H153" s="130"/>
      <c r="I153" s="85" t="s">
        <v>883</v>
      </c>
      <c r="J153" s="85" t="s">
        <v>884</v>
      </c>
    </row>
    <row r="154" spans="1:10" ht="63.75" thickBot="1" x14ac:dyDescent="0.9">
      <c r="A154" s="93" t="s">
        <v>1294</v>
      </c>
      <c r="B154" s="131" t="s">
        <v>64</v>
      </c>
      <c r="C154" s="147" t="str">
        <f t="shared" si="10"/>
        <v>A.2.6.1.1.2-Code [Optional]</v>
      </c>
      <c r="D154" s="93" t="s">
        <v>1295</v>
      </c>
      <c r="E154" s="82">
        <f t="shared" si="8"/>
        <v>0</v>
      </c>
      <c r="F154" s="82" t="str">
        <f t="shared" si="9"/>
        <v>*</v>
      </c>
      <c r="G154" s="153"/>
      <c r="H154" s="95" t="s">
        <v>1848</v>
      </c>
      <c r="I154" s="93" t="s">
        <v>904</v>
      </c>
      <c r="J154" s="93" t="s">
        <v>912</v>
      </c>
    </row>
    <row r="155" spans="1:10" ht="16.5" thickBot="1" x14ac:dyDescent="0.9">
      <c r="A155" s="86" t="s">
        <v>1298</v>
      </c>
      <c r="B155" s="87" t="s">
        <v>1112</v>
      </c>
      <c r="C155" s="147" t="str">
        <f t="shared" si="10"/>
        <v>A.2.6.1.1.3-Onset date [Required]</v>
      </c>
      <c r="D155" s="85" t="s">
        <v>1299</v>
      </c>
      <c r="E155" s="82">
        <f t="shared" si="8"/>
        <v>1</v>
      </c>
      <c r="F155" s="82" t="str">
        <f t="shared" si="9"/>
        <v>1</v>
      </c>
      <c r="G155" s="144"/>
      <c r="H155" s="88"/>
      <c r="I155" s="85" t="s">
        <v>883</v>
      </c>
      <c r="J155" s="85" t="s">
        <v>59</v>
      </c>
    </row>
    <row r="156" spans="1:10" ht="32.25" thickBot="1" x14ac:dyDescent="0.9">
      <c r="A156" s="86" t="s">
        <v>1300</v>
      </c>
      <c r="B156" s="90" t="s">
        <v>1301</v>
      </c>
      <c r="C156" s="147" t="str">
        <f t="shared" si="10"/>
        <v>A.2.6.1.1.4-Abetement date [Required]</v>
      </c>
      <c r="D156" s="85" t="s">
        <v>1302</v>
      </c>
      <c r="E156" s="82">
        <f t="shared" si="8"/>
        <v>0</v>
      </c>
      <c r="F156" s="82" t="str">
        <f t="shared" si="9"/>
        <v>1</v>
      </c>
      <c r="G156" s="144"/>
      <c r="H156" s="88"/>
      <c r="I156" s="85" t="s">
        <v>915</v>
      </c>
      <c r="J156" s="85" t="s">
        <v>59</v>
      </c>
    </row>
    <row r="157" spans="1:10" ht="16.5" thickBot="1" x14ac:dyDescent="0.9">
      <c r="A157" s="86" t="s">
        <v>1303</v>
      </c>
      <c r="B157" s="90" t="s">
        <v>1304</v>
      </c>
      <c r="C157" s="147" t="str">
        <f t="shared" si="10"/>
        <v>A.2.6.1.1.5-Clinical status [Optional]</v>
      </c>
      <c r="D157" s="85" t="s">
        <v>1305</v>
      </c>
      <c r="E157" s="82">
        <f t="shared" si="8"/>
        <v>0</v>
      </c>
      <c r="F157" s="82" t="str">
        <f t="shared" si="9"/>
        <v>1</v>
      </c>
      <c r="G157" s="144"/>
      <c r="H157" s="89" t="s">
        <v>1306</v>
      </c>
      <c r="I157" s="85" t="s">
        <v>915</v>
      </c>
      <c r="J157" s="85" t="s">
        <v>912</v>
      </c>
    </row>
    <row r="158" spans="1:10" ht="111" thickBot="1" x14ac:dyDescent="0.9">
      <c r="A158" s="86" t="s">
        <v>1307</v>
      </c>
      <c r="B158" s="90" t="s">
        <v>1308</v>
      </c>
      <c r="C158" s="147" t="str">
        <f t="shared" si="10"/>
        <v>A.2.6.1.1.6-Resolution circumstances [Optional]</v>
      </c>
      <c r="D158" s="85" t="s">
        <v>1309</v>
      </c>
      <c r="E158" s="82">
        <f t="shared" si="8"/>
        <v>0</v>
      </c>
      <c r="F158" s="82" t="str">
        <f t="shared" si="9"/>
        <v>1</v>
      </c>
      <c r="G158" s="144"/>
      <c r="H158" s="88"/>
      <c r="I158" s="85" t="s">
        <v>915</v>
      </c>
      <c r="J158" s="85" t="s">
        <v>912</v>
      </c>
    </row>
    <row r="159" spans="1:10" ht="32.25" thickBot="1" x14ac:dyDescent="0.9">
      <c r="A159" s="86" t="s">
        <v>1310</v>
      </c>
      <c r="B159" s="108" t="s">
        <v>1311</v>
      </c>
      <c r="C159" s="147" t="str">
        <f t="shared" si="10"/>
        <v>A.2.6.1.1.7-Severity [Optional]</v>
      </c>
      <c r="D159" s="85" t="s">
        <v>1312</v>
      </c>
      <c r="E159" s="82">
        <f t="shared" si="8"/>
        <v>0</v>
      </c>
      <c r="F159" s="82" t="str">
        <f t="shared" si="9"/>
        <v>1</v>
      </c>
      <c r="G159" s="144"/>
      <c r="H159" s="99"/>
      <c r="I159" s="85" t="s">
        <v>915</v>
      </c>
      <c r="J159" s="85" t="s">
        <v>912</v>
      </c>
    </row>
    <row r="160" spans="1:10" ht="32.25" thickBot="1" x14ac:dyDescent="0.9">
      <c r="A160" s="86" t="s">
        <v>1313</v>
      </c>
      <c r="B160" s="90" t="s">
        <v>1314</v>
      </c>
      <c r="C160" s="147" t="str">
        <f t="shared" si="10"/>
        <v>A.2.6.1.1.8-Stage [Optional]</v>
      </c>
      <c r="D160" s="85" t="s">
        <v>1315</v>
      </c>
      <c r="E160" s="82">
        <f t="shared" si="8"/>
        <v>0</v>
      </c>
      <c r="F160" s="82" t="str">
        <f t="shared" si="9"/>
        <v>*</v>
      </c>
      <c r="G160" s="144"/>
      <c r="H160" s="85" t="s">
        <v>68</v>
      </c>
      <c r="I160" s="85" t="s">
        <v>904</v>
      </c>
      <c r="J160" s="85" t="s">
        <v>912</v>
      </c>
    </row>
    <row r="161" spans="1:10" ht="16.5" thickBot="1" x14ac:dyDescent="0.9">
      <c r="A161" s="109" t="s">
        <v>1316</v>
      </c>
      <c r="B161" s="132" t="s">
        <v>1317</v>
      </c>
      <c r="C161" s="147" t="str">
        <f t="shared" si="10"/>
        <v>A.2.6.1.2-Devices and Implants [Required]</v>
      </c>
      <c r="D161" s="85" t="s">
        <v>1317</v>
      </c>
      <c r="E161" s="82">
        <f t="shared" si="8"/>
        <v>1</v>
      </c>
      <c r="F161" s="82" t="str">
        <f t="shared" si="9"/>
        <v>*</v>
      </c>
      <c r="G161" s="144"/>
      <c r="H161" s="88"/>
      <c r="I161" s="85" t="s">
        <v>890</v>
      </c>
      <c r="J161" s="85" t="s">
        <v>59</v>
      </c>
    </row>
    <row r="162" spans="1:10" ht="63.75" customHeight="1" thickBot="1" x14ac:dyDescent="0.9">
      <c r="A162" s="93" t="s">
        <v>1318</v>
      </c>
      <c r="B162" s="133" t="s">
        <v>1319</v>
      </c>
      <c r="C162" s="147" t="str">
        <f t="shared" si="10"/>
        <v>A.2.6.1.2.1-Device and implant description [Mandatory]</v>
      </c>
      <c r="D162" s="93" t="s">
        <v>1320</v>
      </c>
      <c r="E162" s="82">
        <f t="shared" si="8"/>
        <v>1</v>
      </c>
      <c r="F162" s="82" t="str">
        <f t="shared" si="9"/>
        <v>1</v>
      </c>
      <c r="G162" s="153"/>
      <c r="H162" s="95" t="s">
        <v>1849</v>
      </c>
      <c r="I162" s="93" t="s">
        <v>883</v>
      </c>
      <c r="J162" s="93" t="s">
        <v>884</v>
      </c>
    </row>
    <row r="163" spans="1:10" ht="32.25" thickBot="1" x14ac:dyDescent="0.9">
      <c r="A163" s="86" t="s">
        <v>1324</v>
      </c>
      <c r="B163" s="108" t="s">
        <v>1325</v>
      </c>
      <c r="C163" s="147" t="str">
        <f t="shared" si="10"/>
        <v>A.2.6.1.2.2-Device ID [Optional]</v>
      </c>
      <c r="D163" s="85" t="s">
        <v>1326</v>
      </c>
      <c r="E163" s="82">
        <f t="shared" si="8"/>
        <v>0</v>
      </c>
      <c r="F163" s="82" t="str">
        <f t="shared" si="9"/>
        <v>1</v>
      </c>
      <c r="G163" s="144"/>
      <c r="H163" s="88"/>
      <c r="I163" s="85" t="s">
        <v>915</v>
      </c>
      <c r="J163" s="85" t="s">
        <v>912</v>
      </c>
    </row>
    <row r="164" spans="1:10" ht="16.5" thickBot="1" x14ac:dyDescent="0.9">
      <c r="A164" s="86" t="s">
        <v>1327</v>
      </c>
      <c r="B164" s="108" t="s">
        <v>1328</v>
      </c>
      <c r="C164" s="147" t="str">
        <f t="shared" si="10"/>
        <v>A.2.6.1.2.3-Implant date [Required]</v>
      </c>
      <c r="D164" s="85" t="s">
        <v>1329</v>
      </c>
      <c r="E164" s="82">
        <f t="shared" si="8"/>
        <v>1</v>
      </c>
      <c r="F164" s="82" t="str">
        <f t="shared" si="9"/>
        <v>1</v>
      </c>
      <c r="G164" s="144"/>
      <c r="H164" s="88"/>
      <c r="I164" s="85" t="s">
        <v>883</v>
      </c>
      <c r="J164" s="85" t="s">
        <v>59</v>
      </c>
    </row>
    <row r="165" spans="1:10" ht="48" thickBot="1" x14ac:dyDescent="0.9">
      <c r="A165" s="86" t="s">
        <v>1330</v>
      </c>
      <c r="B165" s="90" t="s">
        <v>1116</v>
      </c>
      <c r="C165" s="147" t="str">
        <f t="shared" si="10"/>
        <v>A.2.6.1.2.4-End date [Required]</v>
      </c>
      <c r="D165" s="85" t="s">
        <v>1331</v>
      </c>
      <c r="E165" s="82">
        <f t="shared" si="8"/>
        <v>0</v>
      </c>
      <c r="F165" s="82" t="str">
        <f t="shared" si="9"/>
        <v>1</v>
      </c>
      <c r="G165" s="144"/>
      <c r="H165" s="88"/>
      <c r="I165" s="85" t="s">
        <v>915</v>
      </c>
      <c r="J165" s="85" t="s">
        <v>59</v>
      </c>
    </row>
    <row r="166" spans="1:10" ht="48" thickBot="1" x14ac:dyDescent="0.9">
      <c r="A166" s="93" t="s">
        <v>1332</v>
      </c>
      <c r="B166" s="100" t="s">
        <v>1333</v>
      </c>
      <c r="C166" s="147" t="str">
        <f t="shared" si="10"/>
        <v>A.2.6.1.2.5-Reason [Optional]</v>
      </c>
      <c r="D166" s="93" t="s">
        <v>1334</v>
      </c>
      <c r="E166" s="82">
        <f t="shared" si="8"/>
        <v>0</v>
      </c>
      <c r="F166" s="82" t="str">
        <f t="shared" si="9"/>
        <v>1</v>
      </c>
      <c r="G166" s="153"/>
      <c r="H166" s="95" t="s">
        <v>1840</v>
      </c>
      <c r="I166" s="93" t="s">
        <v>915</v>
      </c>
      <c r="J166" s="93" t="s">
        <v>912</v>
      </c>
    </row>
    <row r="167" spans="1:10" ht="79.5" thickBot="1" x14ac:dyDescent="0.9">
      <c r="A167" s="134" t="s">
        <v>1336</v>
      </c>
      <c r="B167" s="134" t="s">
        <v>1337</v>
      </c>
      <c r="C167" s="147" t="str">
        <f t="shared" si="10"/>
        <v>A.2.6.1.3-History of procedures [Required]</v>
      </c>
      <c r="D167" s="95" t="s">
        <v>1850</v>
      </c>
      <c r="E167" s="82">
        <f t="shared" si="8"/>
        <v>0</v>
      </c>
      <c r="F167" s="82" t="str">
        <f t="shared" si="9"/>
        <v>*</v>
      </c>
      <c r="G167" s="122"/>
      <c r="H167" s="96"/>
      <c r="I167" s="93" t="s">
        <v>904</v>
      </c>
      <c r="J167" s="93" t="s">
        <v>59</v>
      </c>
    </row>
    <row r="168" spans="1:10" ht="32.25" thickBot="1" x14ac:dyDescent="0.9">
      <c r="A168" s="93" t="s">
        <v>1340</v>
      </c>
      <c r="B168" s="160" t="s">
        <v>1341</v>
      </c>
      <c r="C168" s="147" t="str">
        <f t="shared" si="10"/>
        <v>A.2.6.1.3.1-Procedure code [Optional]</v>
      </c>
      <c r="D168" s="93" t="s">
        <v>1341</v>
      </c>
      <c r="E168" s="82">
        <f t="shared" si="8"/>
        <v>0</v>
      </c>
      <c r="F168" s="82" t="str">
        <f t="shared" si="9"/>
        <v>1</v>
      </c>
      <c r="G168" s="153"/>
      <c r="H168" s="95" t="s">
        <v>1851</v>
      </c>
      <c r="I168" s="93" t="s">
        <v>915</v>
      </c>
      <c r="J168" s="93" t="s">
        <v>912</v>
      </c>
    </row>
    <row r="169" spans="1:10" ht="16.5" thickBot="1" x14ac:dyDescent="0.9">
      <c r="A169" s="86"/>
      <c r="B169" s="162"/>
      <c r="C169" s="147" t="str">
        <f t="shared" si="10"/>
        <v>- []</v>
      </c>
      <c r="D169" s="86"/>
      <c r="E169" s="82">
        <f t="shared" si="8"/>
        <v>0</v>
      </c>
      <c r="F169" s="82" t="str">
        <f t="shared" si="9"/>
        <v/>
      </c>
      <c r="G169" s="144"/>
      <c r="H169" s="85" t="s">
        <v>1342</v>
      </c>
      <c r="I169" s="86"/>
      <c r="J169" s="86"/>
    </row>
    <row r="170" spans="1:10" ht="16.5" thickBot="1" x14ac:dyDescent="0.9">
      <c r="A170" s="86" t="s">
        <v>1343</v>
      </c>
      <c r="B170" s="87" t="s">
        <v>1344</v>
      </c>
      <c r="C170" s="147" t="str">
        <f t="shared" si="10"/>
        <v>A.2.6.1.3.2-Procedure description [Mandatory]</v>
      </c>
      <c r="D170" s="85" t="s">
        <v>1345</v>
      </c>
      <c r="E170" s="82">
        <f t="shared" si="8"/>
        <v>1</v>
      </c>
      <c r="F170" s="82" t="str">
        <f t="shared" si="9"/>
        <v>1</v>
      </c>
      <c r="G170" s="144"/>
      <c r="H170" s="88"/>
      <c r="I170" s="85" t="s">
        <v>883</v>
      </c>
      <c r="J170" s="85" t="s">
        <v>884</v>
      </c>
    </row>
    <row r="171" spans="1:10" ht="48" thickBot="1" x14ac:dyDescent="0.9">
      <c r="A171" s="93" t="s">
        <v>1346</v>
      </c>
      <c r="B171" s="100" t="s">
        <v>1347</v>
      </c>
      <c r="C171" s="147" t="str">
        <f t="shared" si="10"/>
        <v>A.2.6.1.3.3-Body site [Optional]</v>
      </c>
      <c r="D171" s="93" t="s">
        <v>1348</v>
      </c>
      <c r="E171" s="82">
        <f t="shared" si="8"/>
        <v>0</v>
      </c>
      <c r="F171" s="82" t="str">
        <f t="shared" si="9"/>
        <v>1</v>
      </c>
      <c r="G171" s="153"/>
      <c r="H171" s="95" t="s">
        <v>1852</v>
      </c>
      <c r="I171" s="93" t="s">
        <v>915</v>
      </c>
      <c r="J171" s="93" t="s">
        <v>912</v>
      </c>
    </row>
    <row r="172" spans="1:10" ht="16.5" thickBot="1" x14ac:dyDescent="0.9">
      <c r="A172" s="86" t="s">
        <v>1350</v>
      </c>
      <c r="B172" s="90" t="s">
        <v>1351</v>
      </c>
      <c r="C172" s="147" t="str">
        <f t="shared" si="10"/>
        <v>A.2.6.1.3.4-Procedure date [Required]</v>
      </c>
      <c r="D172" s="85" t="s">
        <v>1352</v>
      </c>
      <c r="E172" s="82">
        <f t="shared" si="8"/>
        <v>0</v>
      </c>
      <c r="F172" s="82" t="str">
        <f t="shared" si="9"/>
        <v>1</v>
      </c>
      <c r="G172" s="144"/>
      <c r="H172" s="88"/>
      <c r="I172" s="85" t="s">
        <v>915</v>
      </c>
      <c r="J172" s="85" t="s">
        <v>59</v>
      </c>
    </row>
    <row r="173" spans="1:10" ht="48" thickBot="1" x14ac:dyDescent="0.9">
      <c r="A173" s="93" t="s">
        <v>1353</v>
      </c>
      <c r="B173" s="100" t="s">
        <v>1354</v>
      </c>
      <c r="C173" s="147" t="str">
        <f t="shared" si="10"/>
        <v>A.2.6.1.3.5-Procedure reason [Required]</v>
      </c>
      <c r="D173" s="93" t="s">
        <v>1355</v>
      </c>
      <c r="E173" s="82">
        <f t="shared" si="8"/>
        <v>0</v>
      </c>
      <c r="F173" s="82" t="str">
        <f t="shared" si="9"/>
        <v>1</v>
      </c>
      <c r="G173" s="153"/>
      <c r="H173" s="95" t="s">
        <v>1840</v>
      </c>
      <c r="I173" s="93" t="s">
        <v>915</v>
      </c>
      <c r="J173" s="93" t="s">
        <v>59</v>
      </c>
    </row>
    <row r="174" spans="1:10" ht="63.75" thickBot="1" x14ac:dyDescent="0.9">
      <c r="A174" s="93" t="s">
        <v>1356</v>
      </c>
      <c r="B174" s="100" t="s">
        <v>1357</v>
      </c>
      <c r="C174" s="147" t="str">
        <f t="shared" si="10"/>
        <v>A.2.6.1.3.6-Outcome [Optional]</v>
      </c>
      <c r="D174" s="93" t="s">
        <v>1358</v>
      </c>
      <c r="E174" s="82">
        <f t="shared" si="8"/>
        <v>0</v>
      </c>
      <c r="F174" s="82" t="str">
        <f t="shared" si="9"/>
        <v>1</v>
      </c>
      <c r="G174" s="153"/>
      <c r="H174" s="95" t="s">
        <v>1853</v>
      </c>
      <c r="I174" s="93" t="s">
        <v>915</v>
      </c>
      <c r="J174" s="93" t="s">
        <v>912</v>
      </c>
    </row>
    <row r="175" spans="1:10" ht="48" thickBot="1" x14ac:dyDescent="0.9">
      <c r="A175" s="86" t="s">
        <v>1362</v>
      </c>
      <c r="B175" s="90" t="s">
        <v>1363</v>
      </c>
      <c r="C175" s="147" t="str">
        <f t="shared" si="10"/>
        <v>A.2.6.1.3.7-Focal device [Optional]</v>
      </c>
      <c r="D175" s="85" t="s">
        <v>1364</v>
      </c>
      <c r="E175" s="82">
        <f t="shared" si="8"/>
        <v>0</v>
      </c>
      <c r="F175" s="82" t="str">
        <f t="shared" si="9"/>
        <v>*</v>
      </c>
      <c r="G175" s="144"/>
      <c r="H175" s="88"/>
      <c r="I175" s="85" t="s">
        <v>904</v>
      </c>
      <c r="J175" s="85" t="s">
        <v>912</v>
      </c>
    </row>
    <row r="176" spans="1:10" ht="16.5" thickBot="1" x14ac:dyDescent="0.9">
      <c r="A176" s="109" t="s">
        <v>1365</v>
      </c>
      <c r="B176" s="132" t="s">
        <v>1366</v>
      </c>
      <c r="C176" s="147" t="str">
        <f t="shared" si="10"/>
        <v>A.2.6.1.4-Vaccination [Required]</v>
      </c>
      <c r="D176" s="85" t="s">
        <v>1367</v>
      </c>
      <c r="E176" s="82">
        <f t="shared" si="8"/>
        <v>0</v>
      </c>
      <c r="F176" s="82" t="str">
        <f t="shared" si="9"/>
        <v>*</v>
      </c>
      <c r="G176" s="144"/>
      <c r="H176" s="88"/>
      <c r="I176" s="85" t="s">
        <v>904</v>
      </c>
      <c r="J176" s="85" t="s">
        <v>59</v>
      </c>
    </row>
    <row r="177" spans="1:10" ht="32.25" thickBot="1" x14ac:dyDescent="0.9">
      <c r="A177" s="93" t="s">
        <v>1368</v>
      </c>
      <c r="B177" s="106" t="s">
        <v>1369</v>
      </c>
      <c r="C177" s="147" t="str">
        <f t="shared" si="10"/>
        <v>A.2.6.1.4.1-Disease or agent targeted [Optional]</v>
      </c>
      <c r="D177" s="93" t="s">
        <v>1370</v>
      </c>
      <c r="E177" s="82">
        <f t="shared" si="8"/>
        <v>0</v>
      </c>
      <c r="F177" s="82" t="str">
        <f t="shared" si="9"/>
        <v>*</v>
      </c>
      <c r="G177" s="153"/>
      <c r="H177" s="95" t="s">
        <v>1854</v>
      </c>
      <c r="I177" s="93" t="s">
        <v>904</v>
      </c>
      <c r="J177" s="93" t="s">
        <v>912</v>
      </c>
    </row>
    <row r="178" spans="1:10" ht="32.25" thickBot="1" x14ac:dyDescent="0.9">
      <c r="A178" s="93" t="s">
        <v>1371</v>
      </c>
      <c r="B178" s="106" t="s">
        <v>1372</v>
      </c>
      <c r="C178" s="147" t="str">
        <f t="shared" si="10"/>
        <v>A.2.6.1.4.2-Vaccine/prophylaxis [Required]</v>
      </c>
      <c r="D178" s="93" t="s">
        <v>1373</v>
      </c>
      <c r="E178" s="82">
        <f t="shared" si="8"/>
        <v>1</v>
      </c>
      <c r="F178" s="82" t="str">
        <f t="shared" si="9"/>
        <v>1</v>
      </c>
      <c r="G178" s="153"/>
      <c r="H178" s="95" t="s">
        <v>1855</v>
      </c>
      <c r="I178" s="93" t="s">
        <v>883</v>
      </c>
      <c r="J178" s="93" t="s">
        <v>59</v>
      </c>
    </row>
    <row r="179" spans="1:10" ht="16.5" thickBot="1" x14ac:dyDescent="0.9">
      <c r="A179" s="86" t="s">
        <v>1375</v>
      </c>
      <c r="B179" s="105" t="s">
        <v>1376</v>
      </c>
      <c r="C179" s="147" t="str">
        <f t="shared" si="10"/>
        <v>A.2.6.1.4.4-Vaccine medicinal product [Optional]</v>
      </c>
      <c r="D179" s="85" t="s">
        <v>1377</v>
      </c>
      <c r="E179" s="82">
        <f t="shared" si="8"/>
        <v>0</v>
      </c>
      <c r="F179" s="82" t="str">
        <f t="shared" si="9"/>
        <v>1</v>
      </c>
      <c r="G179" s="144"/>
      <c r="H179" s="88"/>
      <c r="I179" s="85" t="s">
        <v>915</v>
      </c>
      <c r="J179" s="85" t="s">
        <v>912</v>
      </c>
    </row>
    <row r="180" spans="1:10" ht="32.25" thickBot="1" x14ac:dyDescent="0.9">
      <c r="A180" s="86" t="s">
        <v>1378</v>
      </c>
      <c r="B180" s="90" t="s">
        <v>1379</v>
      </c>
      <c r="C180" s="147" t="str">
        <f t="shared" si="10"/>
        <v>A.2.6.1.4.5-Marketing Autorisation Holder  [Optional]</v>
      </c>
      <c r="D180" s="85" t="s">
        <v>1380</v>
      </c>
      <c r="E180" s="82">
        <f t="shared" si="8"/>
        <v>0</v>
      </c>
      <c r="F180" s="82" t="str">
        <f t="shared" si="9"/>
        <v>1</v>
      </c>
      <c r="G180" s="144"/>
      <c r="H180" s="85" t="s">
        <v>1381</v>
      </c>
      <c r="I180" s="85" t="s">
        <v>915</v>
      </c>
      <c r="J180" s="85" t="s">
        <v>912</v>
      </c>
    </row>
    <row r="181" spans="1:10" ht="16.5" thickBot="1" x14ac:dyDescent="0.9">
      <c r="A181" s="86" t="s">
        <v>1382</v>
      </c>
      <c r="B181" s="92" t="s">
        <v>1383</v>
      </c>
      <c r="C181" s="147" t="str">
        <f t="shared" si="10"/>
        <v>A.2.6.1.4.6-Number in a series of vaccinations / doses [Required]</v>
      </c>
      <c r="D181" s="85" t="s">
        <v>1384</v>
      </c>
      <c r="E181" s="82">
        <f t="shared" si="8"/>
        <v>0</v>
      </c>
      <c r="F181" s="82" t="str">
        <f t="shared" si="9"/>
        <v>1</v>
      </c>
      <c r="G181" s="144"/>
      <c r="H181" s="88"/>
      <c r="I181" s="85" t="s">
        <v>915</v>
      </c>
      <c r="J181" s="85" t="s">
        <v>59</v>
      </c>
    </row>
    <row r="182" spans="1:10" ht="16.5" thickBot="1" x14ac:dyDescent="0.9">
      <c r="A182" s="86" t="s">
        <v>1385</v>
      </c>
      <c r="B182" s="105" t="s">
        <v>1386</v>
      </c>
      <c r="C182" s="147" t="str">
        <f t="shared" si="10"/>
        <v>A.2.6.1.4.7-Date of vaccination [Required]</v>
      </c>
      <c r="D182" s="85" t="s">
        <v>1387</v>
      </c>
      <c r="E182" s="82">
        <f t="shared" si="8"/>
        <v>1</v>
      </c>
      <c r="F182" s="82" t="str">
        <f t="shared" si="9"/>
        <v>1</v>
      </c>
      <c r="G182" s="144"/>
      <c r="H182" s="88"/>
      <c r="I182" s="85" t="s">
        <v>883</v>
      </c>
      <c r="J182" s="85" t="s">
        <v>59</v>
      </c>
    </row>
    <row r="183" spans="1:10" ht="32.25" thickBot="1" x14ac:dyDescent="0.9">
      <c r="A183" s="86" t="s">
        <v>1388</v>
      </c>
      <c r="B183" s="90" t="s">
        <v>1389</v>
      </c>
      <c r="C183" s="147" t="str">
        <f t="shared" si="10"/>
        <v>A.2.6.1.4.8-Next vaccination date [Required]</v>
      </c>
      <c r="D183" s="85" t="s">
        <v>1390</v>
      </c>
      <c r="E183" s="82">
        <f t="shared" si="8"/>
        <v>0</v>
      </c>
      <c r="F183" s="82" t="str">
        <f t="shared" si="9"/>
        <v>1</v>
      </c>
      <c r="G183" s="144"/>
      <c r="H183" s="88"/>
      <c r="I183" s="85" t="s">
        <v>915</v>
      </c>
      <c r="J183" s="85" t="s">
        <v>59</v>
      </c>
    </row>
    <row r="184" spans="1:10" ht="16.5" thickBot="1" x14ac:dyDescent="0.9">
      <c r="A184" s="109" t="s">
        <v>1391</v>
      </c>
      <c r="B184" s="132" t="s">
        <v>1392</v>
      </c>
      <c r="C184" s="147" t="str">
        <f t="shared" si="10"/>
        <v>A.2.6.1.5-Epidemiological history [Required]</v>
      </c>
      <c r="D184" s="85" t="s">
        <v>1393</v>
      </c>
      <c r="E184" s="82">
        <f t="shared" si="8"/>
        <v>0</v>
      </c>
      <c r="F184" s="82" t="str">
        <f t="shared" si="9"/>
        <v>1</v>
      </c>
      <c r="G184" s="144"/>
      <c r="H184" s="88"/>
      <c r="I184" s="85" t="s">
        <v>915</v>
      </c>
      <c r="J184" s="85" t="s">
        <v>59</v>
      </c>
    </row>
    <row r="185" spans="1:10" ht="16.5" thickBot="1" x14ac:dyDescent="0.9">
      <c r="A185" s="136" t="s">
        <v>1394</v>
      </c>
      <c r="B185" s="137" t="s">
        <v>1395</v>
      </c>
      <c r="C185" s="147" t="str">
        <f t="shared" si="10"/>
        <v>A.2.6.1.5.1-Infectious contacts [Required]</v>
      </c>
      <c r="D185" s="85" t="s">
        <v>1396</v>
      </c>
      <c r="E185" s="82">
        <f t="shared" si="8"/>
        <v>0</v>
      </c>
      <c r="F185" s="82" t="str">
        <f t="shared" si="9"/>
        <v>*</v>
      </c>
      <c r="G185" s="144"/>
      <c r="H185" s="88"/>
      <c r="I185" s="85" t="s">
        <v>904</v>
      </c>
      <c r="J185" s="85" t="s">
        <v>59</v>
      </c>
    </row>
    <row r="186" spans="1:10" ht="32.25" thickBot="1" x14ac:dyDescent="0.9">
      <c r="A186" s="86" t="s">
        <v>1397</v>
      </c>
      <c r="B186" s="90" t="s">
        <v>1398</v>
      </c>
      <c r="C186" s="147" t="str">
        <f t="shared" si="10"/>
        <v>A.2.6.1.5.1.1-Time period [Required]</v>
      </c>
      <c r="D186" s="85" t="s">
        <v>1399</v>
      </c>
      <c r="E186" s="82">
        <f t="shared" si="8"/>
        <v>0</v>
      </c>
      <c r="F186" s="82" t="str">
        <f t="shared" si="9"/>
        <v>1</v>
      </c>
      <c r="G186" s="144"/>
      <c r="H186" s="88"/>
      <c r="I186" s="85" t="s">
        <v>915</v>
      </c>
      <c r="J186" s="85" t="s">
        <v>59</v>
      </c>
    </row>
    <row r="187" spans="1:10" ht="32.25" thickBot="1" x14ac:dyDescent="0.9">
      <c r="A187" s="86" t="s">
        <v>1400</v>
      </c>
      <c r="B187" s="90" t="s">
        <v>1401</v>
      </c>
      <c r="C187" s="147" t="str">
        <f t="shared" si="10"/>
        <v>A.2.6.1.5.1.2-Infectious agent [Required]</v>
      </c>
      <c r="D187" s="85" t="s">
        <v>1402</v>
      </c>
      <c r="E187" s="82">
        <f t="shared" si="8"/>
        <v>0</v>
      </c>
      <c r="F187" s="82" t="str">
        <f t="shared" si="9"/>
        <v>*</v>
      </c>
      <c r="G187" s="144"/>
      <c r="H187" s="85" t="s">
        <v>1403</v>
      </c>
      <c r="I187" s="85" t="s">
        <v>904</v>
      </c>
      <c r="J187" s="85" t="s">
        <v>59</v>
      </c>
    </row>
    <row r="188" spans="1:10" ht="16.5" customHeight="1" thickBot="1" x14ac:dyDescent="0.9">
      <c r="A188" s="93" t="s">
        <v>1404</v>
      </c>
      <c r="B188" s="160" t="s">
        <v>1405</v>
      </c>
      <c r="C188" s="147" t="str">
        <f t="shared" si="10"/>
        <v>A.2.6.1.5.1.3-Proximity [Required]</v>
      </c>
      <c r="D188" s="93" t="s">
        <v>1406</v>
      </c>
      <c r="E188" s="82">
        <f t="shared" si="8"/>
        <v>0</v>
      </c>
      <c r="F188" s="82" t="str">
        <f t="shared" si="9"/>
        <v>1</v>
      </c>
      <c r="G188" s="153"/>
      <c r="H188" s="95" t="s">
        <v>1099</v>
      </c>
      <c r="I188" s="93" t="s">
        <v>915</v>
      </c>
      <c r="J188" s="93" t="s">
        <v>59</v>
      </c>
    </row>
    <row r="189" spans="1:10" ht="16.5" thickBot="1" x14ac:dyDescent="0.9">
      <c r="A189" s="97"/>
      <c r="B189" s="161"/>
      <c r="C189" s="147" t="str">
        <f t="shared" si="10"/>
        <v>- []</v>
      </c>
      <c r="D189" s="97"/>
      <c r="E189" s="82">
        <f t="shared" si="8"/>
        <v>0</v>
      </c>
      <c r="F189" s="82" t="str">
        <f t="shared" si="9"/>
        <v/>
      </c>
      <c r="G189" s="153"/>
      <c r="H189" s="95" t="s">
        <v>1407</v>
      </c>
      <c r="I189" s="97"/>
      <c r="J189" s="97"/>
    </row>
    <row r="190" spans="1:10" ht="16.5" thickBot="1" x14ac:dyDescent="0.9">
      <c r="A190" s="86"/>
      <c r="B190" s="162"/>
      <c r="C190" s="147" t="str">
        <f t="shared" si="10"/>
        <v>- []</v>
      </c>
      <c r="D190" s="86"/>
      <c r="E190" s="82">
        <f t="shared" si="8"/>
        <v>0</v>
      </c>
      <c r="F190" s="82" t="str">
        <f t="shared" si="9"/>
        <v/>
      </c>
      <c r="G190" s="144"/>
      <c r="H190" s="85" t="s">
        <v>1408</v>
      </c>
      <c r="I190" s="86"/>
      <c r="J190" s="86"/>
    </row>
    <row r="191" spans="1:10" ht="32.25" thickBot="1" x14ac:dyDescent="0.9">
      <c r="A191" s="86" t="s">
        <v>1409</v>
      </c>
      <c r="B191" s="90" t="s">
        <v>1410</v>
      </c>
      <c r="C191" s="147" t="str">
        <f t="shared" si="10"/>
        <v>A.2.6.1.5.1.4-Country [Required]</v>
      </c>
      <c r="D191" s="85" t="s">
        <v>1411</v>
      </c>
      <c r="E191" s="82">
        <f t="shared" si="8"/>
        <v>0</v>
      </c>
      <c r="F191" s="82" t="str">
        <f t="shared" si="9"/>
        <v>1</v>
      </c>
      <c r="G191" s="144"/>
      <c r="H191" s="85" t="s">
        <v>1412</v>
      </c>
      <c r="I191" s="85" t="s">
        <v>915</v>
      </c>
      <c r="J191" s="85" t="s">
        <v>59</v>
      </c>
    </row>
    <row r="192" spans="1:10" ht="16.5" thickBot="1" x14ac:dyDescent="0.9">
      <c r="A192" s="86" t="s">
        <v>1413</v>
      </c>
      <c r="B192" s="90" t="s">
        <v>1414</v>
      </c>
      <c r="C192" s="147" t="str">
        <f t="shared" si="10"/>
        <v>A.2.6.1.5.1.5-Additional information [Required]</v>
      </c>
      <c r="D192" s="85" t="s">
        <v>1415</v>
      </c>
      <c r="E192" s="82">
        <f t="shared" si="8"/>
        <v>0</v>
      </c>
      <c r="F192" s="82" t="str">
        <f t="shared" si="9"/>
        <v>1</v>
      </c>
      <c r="G192" s="144"/>
      <c r="H192" s="88"/>
      <c r="I192" s="85" t="s">
        <v>915</v>
      </c>
      <c r="J192" s="85" t="s">
        <v>59</v>
      </c>
    </row>
    <row r="193" spans="1:10" ht="16.5" thickBot="1" x14ac:dyDescent="0.9">
      <c r="A193" s="136" t="s">
        <v>1416</v>
      </c>
      <c r="B193" s="137" t="s">
        <v>1417</v>
      </c>
      <c r="C193" s="147" t="str">
        <f t="shared" si="10"/>
        <v>A.2.6.1.5.2-Travel history [Optional]</v>
      </c>
      <c r="D193" s="85" t="s">
        <v>1418</v>
      </c>
      <c r="E193" s="82">
        <f t="shared" si="8"/>
        <v>0</v>
      </c>
      <c r="F193" s="82" t="str">
        <f t="shared" si="9"/>
        <v>*</v>
      </c>
      <c r="G193" s="144"/>
      <c r="H193" s="88"/>
      <c r="I193" s="85" t="s">
        <v>904</v>
      </c>
      <c r="J193" s="85" t="s">
        <v>912</v>
      </c>
    </row>
    <row r="194" spans="1:10" ht="32.25" thickBot="1" x14ac:dyDescent="0.9">
      <c r="A194" s="86" t="s">
        <v>1419</v>
      </c>
      <c r="B194" s="90" t="s">
        <v>1398</v>
      </c>
      <c r="C194" s="147" t="str">
        <f t="shared" si="10"/>
        <v>A.2.6.1.5.2.1-Time period [Required]</v>
      </c>
      <c r="D194" s="85" t="s">
        <v>1420</v>
      </c>
      <c r="E194" s="82">
        <f t="shared" si="8"/>
        <v>0</v>
      </c>
      <c r="F194" s="82" t="str">
        <f t="shared" si="9"/>
        <v>1</v>
      </c>
      <c r="G194" s="144"/>
      <c r="H194" s="88"/>
      <c r="I194" s="85" t="s">
        <v>915</v>
      </c>
      <c r="J194" s="85" t="s">
        <v>59</v>
      </c>
    </row>
    <row r="195" spans="1:10" ht="16.5" thickBot="1" x14ac:dyDescent="0.9">
      <c r="A195" s="86" t="s">
        <v>1421</v>
      </c>
      <c r="B195" s="90" t="s">
        <v>1422</v>
      </c>
      <c r="C195" s="147" t="str">
        <f t="shared" si="10"/>
        <v>A.2.6.1.5.2.2-Country visited [Mandatory]</v>
      </c>
      <c r="D195" s="85" t="s">
        <v>1423</v>
      </c>
      <c r="E195" s="82">
        <f t="shared" ref="E195:E258" si="11">_xlfn.NUMBERVALUE(MID(I195,1,1))</f>
        <v>1</v>
      </c>
      <c r="F195" s="82" t="str">
        <f t="shared" ref="F195:F258" si="12">MID(I195,4,1)</f>
        <v>1</v>
      </c>
      <c r="G195" s="144"/>
      <c r="H195" s="85" t="s">
        <v>1412</v>
      </c>
      <c r="I195" s="85" t="s">
        <v>883</v>
      </c>
      <c r="J195" s="85" t="s">
        <v>884</v>
      </c>
    </row>
    <row r="196" spans="1:10" ht="16.5" thickBot="1" x14ac:dyDescent="0.9">
      <c r="A196" s="86" t="s">
        <v>1424</v>
      </c>
      <c r="B196" s="90" t="s">
        <v>169</v>
      </c>
      <c r="C196" s="147" t="str">
        <f t="shared" si="10"/>
        <v>A.2.6.1.5.2.3-Comment [Required]</v>
      </c>
      <c r="D196" s="85" t="s">
        <v>1425</v>
      </c>
      <c r="E196" s="82">
        <f t="shared" si="11"/>
        <v>0</v>
      </c>
      <c r="F196" s="82" t="str">
        <f t="shared" si="12"/>
        <v>1</v>
      </c>
      <c r="G196" s="144"/>
      <c r="H196" s="88"/>
      <c r="I196" s="85" t="s">
        <v>915</v>
      </c>
      <c r="J196" s="85" t="s">
        <v>59</v>
      </c>
    </row>
    <row r="197" spans="1:10" ht="48" thickBot="1" x14ac:dyDescent="0.9">
      <c r="A197" s="109" t="s">
        <v>1426</v>
      </c>
      <c r="B197" s="132" t="s">
        <v>1427</v>
      </c>
      <c r="C197" s="147" t="str">
        <f t="shared" si="10"/>
        <v>A.2.6.2-Family history [Optional]</v>
      </c>
      <c r="D197" s="85" t="s">
        <v>1428</v>
      </c>
      <c r="E197" s="82">
        <f t="shared" si="11"/>
        <v>0</v>
      </c>
      <c r="F197" s="82" t="str">
        <f t="shared" si="12"/>
        <v>*</v>
      </c>
      <c r="G197" s="144"/>
      <c r="H197" s="88"/>
      <c r="I197" s="85" t="s">
        <v>904</v>
      </c>
      <c r="J197" s="85" t="s">
        <v>912</v>
      </c>
    </row>
    <row r="198" spans="1:10" ht="30.25" thickBot="1" x14ac:dyDescent="0.9">
      <c r="A198" s="86" t="s">
        <v>1429</v>
      </c>
      <c r="B198" s="90" t="s">
        <v>1430</v>
      </c>
      <c r="C198" s="147" t="str">
        <f t="shared" ref="C198:C261" si="13">CONCATENATE(A198,"-",B198," [",J198,"]")</f>
        <v>A.2.6.2.1-Patient relationship [Required]</v>
      </c>
      <c r="D198" s="85" t="s">
        <v>1431</v>
      </c>
      <c r="E198" s="82">
        <f t="shared" si="11"/>
        <v>0</v>
      </c>
      <c r="F198" s="82" t="str">
        <f t="shared" si="12"/>
        <v>1</v>
      </c>
      <c r="G198" s="144"/>
      <c r="H198" s="89" t="s">
        <v>1432</v>
      </c>
      <c r="I198" s="85" t="s">
        <v>915</v>
      </c>
      <c r="J198" s="85" t="s">
        <v>59</v>
      </c>
    </row>
    <row r="199" spans="1:10" ht="16.5" thickBot="1" x14ac:dyDescent="0.9">
      <c r="A199" s="86" t="s">
        <v>1433</v>
      </c>
      <c r="B199" s="90" t="s">
        <v>24</v>
      </c>
      <c r="C199" s="147" t="str">
        <f t="shared" si="13"/>
        <v>A.2.6.2.2-Date of birth [Optional]</v>
      </c>
      <c r="D199" s="85" t="s">
        <v>1434</v>
      </c>
      <c r="E199" s="82">
        <f t="shared" si="11"/>
        <v>0</v>
      </c>
      <c r="F199" s="82" t="str">
        <f t="shared" si="12"/>
        <v>1</v>
      </c>
      <c r="G199" s="144"/>
      <c r="H199" s="88"/>
      <c r="I199" s="85" t="s">
        <v>915</v>
      </c>
      <c r="J199" s="85" t="s">
        <v>912</v>
      </c>
    </row>
    <row r="200" spans="1:10" ht="16.5" thickBot="1" x14ac:dyDescent="0.9">
      <c r="A200" s="86" t="s">
        <v>1435</v>
      </c>
      <c r="B200" s="90" t="s">
        <v>1436</v>
      </c>
      <c r="C200" s="147" t="str">
        <f t="shared" si="13"/>
        <v>A.2.6.2.3-Age or date of death [Optional]</v>
      </c>
      <c r="D200" s="85" t="s">
        <v>1437</v>
      </c>
      <c r="E200" s="82">
        <f t="shared" si="11"/>
        <v>0</v>
      </c>
      <c r="F200" s="82" t="str">
        <f t="shared" si="12"/>
        <v>1</v>
      </c>
      <c r="G200" s="144"/>
      <c r="H200" s="88"/>
      <c r="I200" s="85" t="s">
        <v>915</v>
      </c>
      <c r="J200" s="85" t="s">
        <v>912</v>
      </c>
    </row>
    <row r="201" spans="1:10" ht="32.25" thickBot="1" x14ac:dyDescent="0.9">
      <c r="A201" s="86" t="s">
        <v>1438</v>
      </c>
      <c r="B201" s="90" t="s">
        <v>1439</v>
      </c>
      <c r="C201" s="147" t="str">
        <f t="shared" si="13"/>
        <v>A.2.6.2.4-Education [Optional]</v>
      </c>
      <c r="D201" s="85" t="s">
        <v>1440</v>
      </c>
      <c r="E201" s="82">
        <f t="shared" si="11"/>
        <v>0</v>
      </c>
      <c r="F201" s="82" t="str">
        <f t="shared" si="12"/>
        <v/>
      </c>
      <c r="G201" s="144"/>
      <c r="H201" s="89" t="s">
        <v>1441</v>
      </c>
      <c r="I201" s="85" t="s">
        <v>1442</v>
      </c>
      <c r="J201" s="85" t="s">
        <v>912</v>
      </c>
    </row>
    <row r="202" spans="1:10" ht="48" thickBot="1" x14ac:dyDescent="0.9">
      <c r="A202" s="93" t="s">
        <v>1443</v>
      </c>
      <c r="B202" s="100" t="s">
        <v>1134</v>
      </c>
      <c r="C202" s="147" t="str">
        <f t="shared" si="13"/>
        <v>A.2.6.2.5-Condition [Required]</v>
      </c>
      <c r="D202" s="93" t="s">
        <v>1444</v>
      </c>
      <c r="E202" s="82">
        <f t="shared" si="11"/>
        <v>0</v>
      </c>
      <c r="F202" s="82" t="str">
        <f t="shared" si="12"/>
        <v>*</v>
      </c>
      <c r="G202" s="153"/>
      <c r="H202" s="95" t="s">
        <v>1840</v>
      </c>
      <c r="I202" s="93" t="s">
        <v>904</v>
      </c>
      <c r="J202" s="93" t="s">
        <v>59</v>
      </c>
    </row>
    <row r="203" spans="1:10" ht="48" thickBot="1" x14ac:dyDescent="0.9">
      <c r="A203" s="93" t="s">
        <v>1445</v>
      </c>
      <c r="B203" s="100" t="s">
        <v>62</v>
      </c>
      <c r="C203" s="147" t="str">
        <f t="shared" si="13"/>
        <v>A.2.6.2.6-Cause of death [Optional]</v>
      </c>
      <c r="D203" s="93" t="s">
        <v>1446</v>
      </c>
      <c r="E203" s="82">
        <f t="shared" si="11"/>
        <v>0</v>
      </c>
      <c r="F203" s="82" t="str">
        <f t="shared" si="12"/>
        <v>1</v>
      </c>
      <c r="G203" s="153"/>
      <c r="H203" s="95" t="s">
        <v>1840</v>
      </c>
      <c r="I203" s="93" t="s">
        <v>915</v>
      </c>
      <c r="J203" s="93" t="s">
        <v>912</v>
      </c>
    </row>
    <row r="204" spans="1:10" ht="16.5" thickBot="1" x14ac:dyDescent="0.9">
      <c r="A204" s="109" t="s">
        <v>1447</v>
      </c>
      <c r="B204" s="132" t="s">
        <v>1448</v>
      </c>
      <c r="C204" s="147" t="str">
        <f t="shared" si="13"/>
        <v>A.2.6.3-Social history [Optional]</v>
      </c>
      <c r="D204" s="88"/>
      <c r="E204" s="82">
        <f t="shared" si="11"/>
        <v>0</v>
      </c>
      <c r="F204" s="82" t="str">
        <f t="shared" si="12"/>
        <v>1</v>
      </c>
      <c r="G204" s="144"/>
      <c r="H204" s="88"/>
      <c r="I204" s="85" t="s">
        <v>915</v>
      </c>
      <c r="J204" s="85" t="s">
        <v>912</v>
      </c>
    </row>
    <row r="205" spans="1:10" ht="16.5" thickBot="1" x14ac:dyDescent="0.9">
      <c r="A205" s="86" t="s">
        <v>1449</v>
      </c>
      <c r="B205" s="90" t="s">
        <v>1450</v>
      </c>
      <c r="C205" s="147" t="str">
        <f t="shared" si="13"/>
        <v>A.2.6.3.1-Participation in society [Optional]</v>
      </c>
      <c r="D205" s="85" t="s">
        <v>1451</v>
      </c>
      <c r="E205" s="82">
        <f t="shared" si="11"/>
        <v>0</v>
      </c>
      <c r="F205" s="82" t="str">
        <f t="shared" si="12"/>
        <v>1</v>
      </c>
      <c r="G205" s="144"/>
      <c r="H205" s="88"/>
      <c r="I205" s="85" t="s">
        <v>915</v>
      </c>
      <c r="J205" s="85" t="s">
        <v>912</v>
      </c>
    </row>
    <row r="206" spans="1:10" ht="79.5" thickBot="1" x14ac:dyDescent="0.9">
      <c r="A206" s="86" t="s">
        <v>1452</v>
      </c>
      <c r="B206" s="90" t="s">
        <v>1453</v>
      </c>
      <c r="C206" s="147" t="str">
        <f t="shared" si="13"/>
        <v>A.2.6.3.1.1-Work situation [Required]</v>
      </c>
      <c r="D206" s="85" t="s">
        <v>1454</v>
      </c>
      <c r="E206" s="82">
        <f t="shared" si="11"/>
        <v>0</v>
      </c>
      <c r="F206" s="82" t="str">
        <f t="shared" si="12"/>
        <v>1</v>
      </c>
      <c r="G206" s="144"/>
      <c r="H206" s="88"/>
      <c r="I206" s="85" t="s">
        <v>915</v>
      </c>
      <c r="J206" s="85" t="s">
        <v>59</v>
      </c>
    </row>
    <row r="207" spans="1:10" ht="16.5" thickBot="1" x14ac:dyDescent="0.9">
      <c r="A207" s="86" t="s">
        <v>1455</v>
      </c>
      <c r="B207" s="90" t="s">
        <v>1456</v>
      </c>
      <c r="C207" s="147" t="str">
        <f t="shared" si="13"/>
        <v>A.2.6.3.1.2-Hobby [Required]</v>
      </c>
      <c r="D207" s="85" t="s">
        <v>1457</v>
      </c>
      <c r="E207" s="82">
        <f t="shared" si="11"/>
        <v>0</v>
      </c>
      <c r="F207" s="82" t="str">
        <f t="shared" si="12"/>
        <v>1</v>
      </c>
      <c r="G207" s="144"/>
      <c r="H207" s="88"/>
      <c r="I207" s="85" t="s">
        <v>915</v>
      </c>
      <c r="J207" s="85" t="s">
        <v>59</v>
      </c>
    </row>
    <row r="208" spans="1:10" ht="32.25" thickBot="1" x14ac:dyDescent="0.9">
      <c r="A208" s="86" t="s">
        <v>1458</v>
      </c>
      <c r="B208" s="90" t="s">
        <v>1459</v>
      </c>
      <c r="C208" s="147" t="str">
        <f t="shared" si="13"/>
        <v>A.2.6.3.1.3-Social network [Required]</v>
      </c>
      <c r="D208" s="85" t="s">
        <v>1460</v>
      </c>
      <c r="E208" s="82">
        <f t="shared" si="11"/>
        <v>0</v>
      </c>
      <c r="F208" s="82" t="str">
        <f t="shared" si="12"/>
        <v>1</v>
      </c>
      <c r="G208" s="144"/>
      <c r="H208" s="88"/>
      <c r="I208" s="85" t="s">
        <v>915</v>
      </c>
      <c r="J208" s="85" t="s">
        <v>59</v>
      </c>
    </row>
    <row r="209" spans="1:10" ht="16.5" thickBot="1" x14ac:dyDescent="0.9">
      <c r="A209" s="86" t="s">
        <v>1461</v>
      </c>
      <c r="B209" s="85" t="s">
        <v>1439</v>
      </c>
      <c r="C209" s="147" t="str">
        <f t="shared" si="13"/>
        <v>A.2.6.3.2-Education [Optional]</v>
      </c>
      <c r="D209" s="88"/>
      <c r="E209" s="82">
        <f t="shared" si="11"/>
        <v>0</v>
      </c>
      <c r="F209" s="82" t="str">
        <f t="shared" si="12"/>
        <v>1</v>
      </c>
      <c r="G209" s="144"/>
      <c r="H209" s="88"/>
      <c r="I209" s="85" t="s">
        <v>915</v>
      </c>
      <c r="J209" s="85" t="s">
        <v>912</v>
      </c>
    </row>
    <row r="210" spans="1:10" ht="16.5" thickBot="1" x14ac:dyDescent="0.9">
      <c r="A210" s="86" t="s">
        <v>1462</v>
      </c>
      <c r="B210" s="90" t="s">
        <v>1463</v>
      </c>
      <c r="C210" s="147" t="str">
        <f t="shared" si="13"/>
        <v>A.2.6.3.2.1-Education level [Required]</v>
      </c>
      <c r="D210" s="85" t="s">
        <v>1464</v>
      </c>
      <c r="E210" s="82">
        <f t="shared" si="11"/>
        <v>0</v>
      </c>
      <c r="F210" s="82" t="str">
        <f t="shared" si="12"/>
        <v>1</v>
      </c>
      <c r="G210" s="144"/>
      <c r="H210" s="89" t="s">
        <v>1465</v>
      </c>
      <c r="I210" s="85" t="s">
        <v>915</v>
      </c>
      <c r="J210" s="85" t="s">
        <v>59</v>
      </c>
    </row>
    <row r="211" spans="1:10" ht="48" thickBot="1" x14ac:dyDescent="0.9">
      <c r="A211" s="86" t="s">
        <v>1466</v>
      </c>
      <c r="B211" s="90" t="s">
        <v>169</v>
      </c>
      <c r="C211" s="147" t="str">
        <f t="shared" si="13"/>
        <v>A.2.6.3.2.2-Comment [Required]</v>
      </c>
      <c r="D211" s="85" t="s">
        <v>1467</v>
      </c>
      <c r="E211" s="82">
        <f t="shared" si="11"/>
        <v>0</v>
      </c>
      <c r="F211" s="82" t="str">
        <f t="shared" si="12"/>
        <v>1</v>
      </c>
      <c r="G211" s="144"/>
      <c r="H211" s="88"/>
      <c r="I211" s="85" t="s">
        <v>915</v>
      </c>
      <c r="J211" s="85" t="s">
        <v>59</v>
      </c>
    </row>
    <row r="212" spans="1:10" ht="16.5" thickBot="1" x14ac:dyDescent="0.9">
      <c r="A212" s="86" t="s">
        <v>1468</v>
      </c>
      <c r="B212" s="90" t="s">
        <v>1469</v>
      </c>
      <c r="C212" s="147" t="str">
        <f t="shared" si="13"/>
        <v>A.2.6.3.3-Living situation [Optional]</v>
      </c>
      <c r="D212" s="85" t="s">
        <v>1470</v>
      </c>
      <c r="E212" s="82">
        <f t="shared" si="11"/>
        <v>0</v>
      </c>
      <c r="F212" s="82" t="str">
        <f t="shared" si="12"/>
        <v>1</v>
      </c>
      <c r="G212" s="144"/>
      <c r="H212" s="88"/>
      <c r="I212" s="85" t="s">
        <v>915</v>
      </c>
      <c r="J212" s="85" t="s">
        <v>912</v>
      </c>
    </row>
    <row r="213" spans="1:10" ht="48" thickBot="1" x14ac:dyDescent="0.9">
      <c r="A213" s="93" t="s">
        <v>1471</v>
      </c>
      <c r="B213" s="100" t="s">
        <v>1472</v>
      </c>
      <c r="C213" s="147" t="str">
        <f t="shared" si="13"/>
        <v>A.2.6.3.3.1-House type [Required]</v>
      </c>
      <c r="D213" s="93" t="s">
        <v>1473</v>
      </c>
      <c r="E213" s="82">
        <f t="shared" si="11"/>
        <v>0</v>
      </c>
      <c r="F213" s="82" t="str">
        <f t="shared" si="12"/>
        <v>1</v>
      </c>
      <c r="G213" s="153"/>
      <c r="H213" s="95" t="s">
        <v>1856</v>
      </c>
      <c r="I213" s="93" t="s">
        <v>915</v>
      </c>
      <c r="J213" s="93" t="s">
        <v>59</v>
      </c>
    </row>
    <row r="214" spans="1:10" ht="16.5" customHeight="1" thickBot="1" x14ac:dyDescent="0.9">
      <c r="A214" s="93" t="s">
        <v>1475</v>
      </c>
      <c r="B214" s="160" t="s">
        <v>1476</v>
      </c>
      <c r="C214" s="147" t="str">
        <f t="shared" si="13"/>
        <v>A.2.6.3.3.2-Home adaption [Required]</v>
      </c>
      <c r="D214" s="93" t="s">
        <v>1477</v>
      </c>
      <c r="E214" s="82">
        <f t="shared" si="11"/>
        <v>0</v>
      </c>
      <c r="F214" s="82" t="str">
        <f t="shared" si="12"/>
        <v>*</v>
      </c>
      <c r="G214" s="153"/>
      <c r="H214" s="95" t="s">
        <v>1099</v>
      </c>
      <c r="I214" s="93" t="s">
        <v>904</v>
      </c>
      <c r="J214" s="93" t="s">
        <v>59</v>
      </c>
    </row>
    <row r="215" spans="1:10" ht="16.5" thickBot="1" x14ac:dyDescent="0.9">
      <c r="A215" s="97"/>
      <c r="B215" s="161"/>
      <c r="C215" s="147" t="str">
        <f t="shared" si="13"/>
        <v>- []</v>
      </c>
      <c r="D215" s="97"/>
      <c r="E215" s="82">
        <f t="shared" si="11"/>
        <v>0</v>
      </c>
      <c r="F215" s="82" t="str">
        <f t="shared" si="12"/>
        <v/>
      </c>
      <c r="G215" s="153"/>
      <c r="H215" s="95" t="s">
        <v>1478</v>
      </c>
      <c r="I215" s="97"/>
      <c r="J215" s="97"/>
    </row>
    <row r="216" spans="1:10" ht="16.5" thickBot="1" x14ac:dyDescent="0.9">
      <c r="A216" s="97"/>
      <c r="B216" s="161"/>
      <c r="C216" s="147" t="str">
        <f t="shared" si="13"/>
        <v>- []</v>
      </c>
      <c r="D216" s="97"/>
      <c r="E216" s="82">
        <f t="shared" si="11"/>
        <v>0</v>
      </c>
      <c r="F216" s="82" t="str">
        <f t="shared" si="12"/>
        <v/>
      </c>
      <c r="G216" s="153"/>
      <c r="H216" s="95" t="s">
        <v>1479</v>
      </c>
      <c r="I216" s="97"/>
      <c r="J216" s="97"/>
    </row>
    <row r="217" spans="1:10" ht="16.5" thickBot="1" x14ac:dyDescent="0.9">
      <c r="A217" s="97"/>
      <c r="B217" s="161"/>
      <c r="C217" s="147" t="str">
        <f t="shared" si="13"/>
        <v>- []</v>
      </c>
      <c r="D217" s="97"/>
      <c r="E217" s="82">
        <f t="shared" si="11"/>
        <v>0</v>
      </c>
      <c r="F217" s="82" t="str">
        <f t="shared" si="12"/>
        <v/>
      </c>
      <c r="G217" s="153"/>
      <c r="H217" s="95" t="s">
        <v>1480</v>
      </c>
      <c r="I217" s="97"/>
      <c r="J217" s="97"/>
    </row>
    <row r="218" spans="1:10" ht="16.5" thickBot="1" x14ac:dyDescent="0.9">
      <c r="A218" s="97"/>
      <c r="B218" s="161"/>
      <c r="C218" s="147" t="str">
        <f t="shared" si="13"/>
        <v>- []</v>
      </c>
      <c r="D218" s="97"/>
      <c r="E218" s="82">
        <f t="shared" si="11"/>
        <v>0</v>
      </c>
      <c r="F218" s="82" t="str">
        <f t="shared" si="12"/>
        <v/>
      </c>
      <c r="G218" s="153"/>
      <c r="H218" s="95" t="s">
        <v>1481</v>
      </c>
      <c r="I218" s="97"/>
      <c r="J218" s="97"/>
    </row>
    <row r="219" spans="1:10" ht="32.25" thickBot="1" x14ac:dyDescent="0.9">
      <c r="A219" s="97"/>
      <c r="B219" s="161"/>
      <c r="C219" s="147" t="str">
        <f t="shared" si="13"/>
        <v>- []</v>
      </c>
      <c r="D219" s="97"/>
      <c r="E219" s="82">
        <f t="shared" si="11"/>
        <v>0</v>
      </c>
      <c r="F219" s="82" t="str">
        <f t="shared" si="12"/>
        <v/>
      </c>
      <c r="G219" s="153"/>
      <c r="H219" s="95" t="s">
        <v>1482</v>
      </c>
      <c r="I219" s="97"/>
      <c r="J219" s="97"/>
    </row>
    <row r="220" spans="1:10" ht="16.5" thickBot="1" x14ac:dyDescent="0.9">
      <c r="A220" s="86"/>
      <c r="B220" s="162"/>
      <c r="C220" s="147" t="str">
        <f t="shared" si="13"/>
        <v>- []</v>
      </c>
      <c r="D220" s="86"/>
      <c r="E220" s="82">
        <f t="shared" si="11"/>
        <v>0</v>
      </c>
      <c r="F220" s="82" t="str">
        <f t="shared" si="12"/>
        <v/>
      </c>
      <c r="G220" s="144"/>
      <c r="H220" s="85" t="s">
        <v>1483</v>
      </c>
      <c r="I220" s="86"/>
      <c r="J220" s="86"/>
    </row>
    <row r="221" spans="1:10" ht="16.5" customHeight="1" thickBot="1" x14ac:dyDescent="0.9">
      <c r="A221" s="93" t="s">
        <v>1484</v>
      </c>
      <c r="B221" s="160" t="s">
        <v>1485</v>
      </c>
      <c r="C221" s="147" t="str">
        <f t="shared" si="13"/>
        <v>A.2.6.3.3.3-Living conditions [Required]</v>
      </c>
      <c r="D221" s="93" t="s">
        <v>1486</v>
      </c>
      <c r="E221" s="82">
        <f t="shared" si="11"/>
        <v>0</v>
      </c>
      <c r="F221" s="82" t="str">
        <f t="shared" si="12"/>
        <v>*</v>
      </c>
      <c r="G221" s="153"/>
      <c r="H221" s="95" t="s">
        <v>1099</v>
      </c>
      <c r="I221" s="93" t="s">
        <v>904</v>
      </c>
      <c r="J221" s="93" t="s">
        <v>59</v>
      </c>
    </row>
    <row r="222" spans="1:10" ht="16.5" thickBot="1" x14ac:dyDescent="0.9">
      <c r="A222" s="97"/>
      <c r="B222" s="161"/>
      <c r="C222" s="147" t="str">
        <f t="shared" si="13"/>
        <v>- []</v>
      </c>
      <c r="D222" s="97"/>
      <c r="E222" s="82">
        <f t="shared" si="11"/>
        <v>0</v>
      </c>
      <c r="F222" s="82" t="str">
        <f t="shared" si="12"/>
        <v/>
      </c>
      <c r="G222" s="153"/>
      <c r="H222" s="95" t="s">
        <v>1487</v>
      </c>
      <c r="I222" s="97"/>
      <c r="J222" s="97"/>
    </row>
    <row r="223" spans="1:10" ht="32.25" thickBot="1" x14ac:dyDescent="0.9">
      <c r="A223" s="97"/>
      <c r="B223" s="161"/>
      <c r="C223" s="147" t="str">
        <f t="shared" si="13"/>
        <v>- []</v>
      </c>
      <c r="D223" s="97"/>
      <c r="E223" s="82">
        <f t="shared" si="11"/>
        <v>0</v>
      </c>
      <c r="F223" s="82" t="str">
        <f t="shared" si="12"/>
        <v/>
      </c>
      <c r="G223" s="153"/>
      <c r="H223" s="95" t="s">
        <v>1488</v>
      </c>
      <c r="I223" s="97"/>
      <c r="J223" s="97"/>
    </row>
    <row r="224" spans="1:10" ht="16.5" thickBot="1" x14ac:dyDescent="0.9">
      <c r="A224" s="97"/>
      <c r="B224" s="161"/>
      <c r="C224" s="147" t="str">
        <f t="shared" si="13"/>
        <v>- []</v>
      </c>
      <c r="D224" s="97"/>
      <c r="E224" s="82">
        <f t="shared" si="11"/>
        <v>0</v>
      </c>
      <c r="F224" s="82" t="str">
        <f t="shared" si="12"/>
        <v/>
      </c>
      <c r="G224" s="153"/>
      <c r="H224" s="95" t="s">
        <v>1489</v>
      </c>
      <c r="I224" s="97"/>
      <c r="J224" s="97"/>
    </row>
    <row r="225" spans="1:10" ht="32.25" thickBot="1" x14ac:dyDescent="0.9">
      <c r="A225" s="97"/>
      <c r="B225" s="161"/>
      <c r="C225" s="147" t="str">
        <f t="shared" si="13"/>
        <v>- []</v>
      </c>
      <c r="D225" s="97"/>
      <c r="E225" s="82">
        <f t="shared" si="11"/>
        <v>0</v>
      </c>
      <c r="F225" s="82" t="str">
        <f t="shared" si="12"/>
        <v/>
      </c>
      <c r="G225" s="153"/>
      <c r="H225" s="95" t="s">
        <v>1490</v>
      </c>
      <c r="I225" s="97"/>
      <c r="J225" s="97"/>
    </row>
    <row r="226" spans="1:10" ht="32.25" thickBot="1" x14ac:dyDescent="0.9">
      <c r="A226" s="97"/>
      <c r="B226" s="161"/>
      <c r="C226" s="147" t="str">
        <f t="shared" si="13"/>
        <v>- []</v>
      </c>
      <c r="D226" s="97"/>
      <c r="E226" s="82">
        <f t="shared" si="11"/>
        <v>0</v>
      </c>
      <c r="F226" s="82" t="str">
        <f t="shared" si="12"/>
        <v/>
      </c>
      <c r="G226" s="153"/>
      <c r="H226" s="95" t="s">
        <v>1491</v>
      </c>
      <c r="I226" s="97"/>
      <c r="J226" s="97"/>
    </row>
    <row r="227" spans="1:10" ht="16.5" thickBot="1" x14ac:dyDescent="0.9">
      <c r="A227" s="97"/>
      <c r="B227" s="161"/>
      <c r="C227" s="147" t="str">
        <f t="shared" si="13"/>
        <v>- []</v>
      </c>
      <c r="D227" s="97"/>
      <c r="E227" s="82">
        <f t="shared" si="11"/>
        <v>0</v>
      </c>
      <c r="F227" s="82" t="str">
        <f t="shared" si="12"/>
        <v/>
      </c>
      <c r="G227" s="153"/>
      <c r="H227" s="95" t="s">
        <v>1492</v>
      </c>
      <c r="I227" s="97"/>
      <c r="J227" s="97"/>
    </row>
    <row r="228" spans="1:10" ht="16.5" thickBot="1" x14ac:dyDescent="0.9">
      <c r="A228" s="97"/>
      <c r="B228" s="161"/>
      <c r="C228" s="147" t="str">
        <f t="shared" si="13"/>
        <v>- []</v>
      </c>
      <c r="D228" s="97"/>
      <c r="E228" s="82">
        <f t="shared" si="11"/>
        <v>0</v>
      </c>
      <c r="F228" s="82" t="str">
        <f t="shared" si="12"/>
        <v/>
      </c>
      <c r="G228" s="153"/>
      <c r="H228" s="95" t="s">
        <v>1493</v>
      </c>
      <c r="I228" s="97"/>
      <c r="J228" s="97"/>
    </row>
    <row r="229" spans="1:10" ht="16.5" thickBot="1" x14ac:dyDescent="0.9">
      <c r="A229" s="97"/>
      <c r="B229" s="161"/>
      <c r="C229" s="147" t="str">
        <f t="shared" si="13"/>
        <v>- []</v>
      </c>
      <c r="D229" s="97"/>
      <c r="E229" s="82">
        <f t="shared" si="11"/>
        <v>0</v>
      </c>
      <c r="F229" s="82" t="str">
        <f t="shared" si="12"/>
        <v/>
      </c>
      <c r="G229" s="153"/>
      <c r="H229" s="95" t="s">
        <v>1494</v>
      </c>
      <c r="I229" s="97"/>
      <c r="J229" s="97"/>
    </row>
    <row r="230" spans="1:10" ht="16.5" thickBot="1" x14ac:dyDescent="0.9">
      <c r="A230" s="86"/>
      <c r="B230" s="162"/>
      <c r="C230" s="147" t="str">
        <f t="shared" si="13"/>
        <v>- []</v>
      </c>
      <c r="D230" s="86"/>
      <c r="E230" s="82">
        <f t="shared" si="11"/>
        <v>0</v>
      </c>
      <c r="F230" s="82" t="str">
        <f t="shared" si="12"/>
        <v/>
      </c>
      <c r="G230" s="144"/>
      <c r="H230" s="85" t="s">
        <v>1495</v>
      </c>
      <c r="I230" s="86"/>
      <c r="J230" s="86"/>
    </row>
    <row r="231" spans="1:10" ht="16.5" thickBot="1" x14ac:dyDescent="0.9">
      <c r="A231" s="86" t="s">
        <v>1496</v>
      </c>
      <c r="B231" s="85" t="s">
        <v>1497</v>
      </c>
      <c r="C231" s="147" t="str">
        <f t="shared" si="13"/>
        <v>A.2.6.3.4-Family situation [Optional]</v>
      </c>
      <c r="D231" s="85" t="s">
        <v>1498</v>
      </c>
      <c r="E231" s="82">
        <f t="shared" si="11"/>
        <v>0</v>
      </c>
      <c r="F231" s="82" t="str">
        <f t="shared" si="12"/>
        <v>1</v>
      </c>
      <c r="G231" s="144"/>
      <c r="H231" s="88"/>
      <c r="I231" s="85" t="s">
        <v>915</v>
      </c>
      <c r="J231" s="85" t="s">
        <v>912</v>
      </c>
    </row>
    <row r="232" spans="1:10" ht="16.5" thickBot="1" x14ac:dyDescent="0.9">
      <c r="A232" s="86" t="s">
        <v>1499</v>
      </c>
      <c r="B232" s="85" t="s">
        <v>169</v>
      </c>
      <c r="C232" s="147" t="str">
        <f t="shared" si="13"/>
        <v>A.2.6.3.4.1-Comment [Required]</v>
      </c>
      <c r="D232" s="85" t="s">
        <v>1500</v>
      </c>
      <c r="E232" s="82">
        <f t="shared" si="11"/>
        <v>0</v>
      </c>
      <c r="F232" s="82" t="str">
        <f t="shared" si="12"/>
        <v>1</v>
      </c>
      <c r="G232" s="144"/>
      <c r="H232" s="88"/>
      <c r="I232" s="85" t="s">
        <v>915</v>
      </c>
      <c r="J232" s="85" t="s">
        <v>59</v>
      </c>
    </row>
    <row r="233" spans="1:10" ht="32.25" thickBot="1" x14ac:dyDescent="0.9">
      <c r="A233" s="93" t="s">
        <v>1501</v>
      </c>
      <c r="B233" s="160" t="s">
        <v>1502</v>
      </c>
      <c r="C233" s="147" t="str">
        <f t="shared" si="13"/>
        <v>A.2.6.3.4.2-Family composition [Required]</v>
      </c>
      <c r="D233" s="95" t="s">
        <v>1503</v>
      </c>
      <c r="E233" s="82">
        <f t="shared" si="11"/>
        <v>0</v>
      </c>
      <c r="F233" s="82" t="str">
        <f t="shared" si="12"/>
        <v>1</v>
      </c>
      <c r="G233" s="153"/>
      <c r="H233" s="95" t="s">
        <v>1099</v>
      </c>
      <c r="I233" s="93" t="s">
        <v>915</v>
      </c>
      <c r="J233" s="93" t="s">
        <v>59</v>
      </c>
    </row>
    <row r="234" spans="1:10" ht="32.25" thickBot="1" x14ac:dyDescent="0.9">
      <c r="A234" s="86"/>
      <c r="B234" s="162"/>
      <c r="C234" s="147" t="str">
        <f t="shared" si="13"/>
        <v>- []</v>
      </c>
      <c r="D234" s="85" t="s">
        <v>1504</v>
      </c>
      <c r="E234" s="82">
        <f t="shared" si="11"/>
        <v>0</v>
      </c>
      <c r="F234" s="82" t="str">
        <f t="shared" si="12"/>
        <v/>
      </c>
      <c r="G234" s="144"/>
      <c r="H234" s="85" t="s">
        <v>1505</v>
      </c>
      <c r="I234" s="86"/>
      <c r="J234" s="86"/>
    </row>
    <row r="235" spans="1:10" ht="32.25" thickBot="1" x14ac:dyDescent="0.9">
      <c r="A235" s="86" t="s">
        <v>1506</v>
      </c>
      <c r="B235" s="90" t="s">
        <v>29</v>
      </c>
      <c r="C235" s="147" t="str">
        <f t="shared" si="13"/>
        <v>A.2.6.3.4.3-Marital status [Required]</v>
      </c>
      <c r="D235" s="85" t="s">
        <v>1507</v>
      </c>
      <c r="E235" s="82">
        <f t="shared" si="11"/>
        <v>0</v>
      </c>
      <c r="F235" s="82" t="str">
        <f t="shared" si="12"/>
        <v>1</v>
      </c>
      <c r="G235" s="144"/>
      <c r="H235" s="89" t="s">
        <v>1508</v>
      </c>
      <c r="I235" s="85" t="s">
        <v>915</v>
      </c>
      <c r="J235" s="85" t="s">
        <v>59</v>
      </c>
    </row>
    <row r="236" spans="1:10" ht="48" thickBot="1" x14ac:dyDescent="0.9">
      <c r="A236" s="86" t="s">
        <v>1509</v>
      </c>
      <c r="B236" s="90" t="s">
        <v>1510</v>
      </c>
      <c r="C236" s="147" t="str">
        <f t="shared" si="13"/>
        <v>A.2.6.3.4.4-Number of children [Required]</v>
      </c>
      <c r="D236" s="85" t="s">
        <v>1511</v>
      </c>
      <c r="E236" s="82">
        <f t="shared" si="11"/>
        <v>0</v>
      </c>
      <c r="F236" s="82" t="str">
        <f t="shared" si="12"/>
        <v>1</v>
      </c>
      <c r="G236" s="144"/>
      <c r="H236" s="88"/>
      <c r="I236" s="85" t="s">
        <v>915</v>
      </c>
      <c r="J236" s="85" t="s">
        <v>59</v>
      </c>
    </row>
    <row r="237" spans="1:10" ht="16.5" thickBot="1" x14ac:dyDescent="0.9">
      <c r="A237" s="86" t="s">
        <v>1512</v>
      </c>
      <c r="B237" s="90" t="s">
        <v>1513</v>
      </c>
      <c r="C237" s="147" t="str">
        <f t="shared" si="13"/>
        <v>A.2.6.3.4.5-Number of children at home [Required]</v>
      </c>
      <c r="D237" s="85" t="s">
        <v>1514</v>
      </c>
      <c r="E237" s="82">
        <f t="shared" si="11"/>
        <v>0</v>
      </c>
      <c r="F237" s="82" t="str">
        <f t="shared" si="12"/>
        <v/>
      </c>
      <c r="G237" s="144"/>
      <c r="H237" s="88"/>
      <c r="I237" s="88"/>
      <c r="J237" s="85" t="s">
        <v>59</v>
      </c>
    </row>
    <row r="238" spans="1:10" ht="16.5" thickBot="1" x14ac:dyDescent="0.9">
      <c r="A238" s="86" t="s">
        <v>1515</v>
      </c>
      <c r="B238" s="90" t="s">
        <v>1516</v>
      </c>
      <c r="C238" s="147" t="str">
        <f t="shared" si="13"/>
        <v>A.2.6.3.4.6-Child details [Optional]</v>
      </c>
      <c r="D238" s="85" t="s">
        <v>1517</v>
      </c>
      <c r="E238" s="82">
        <f t="shared" si="11"/>
        <v>0</v>
      </c>
      <c r="F238" s="82" t="str">
        <f t="shared" si="12"/>
        <v>*</v>
      </c>
      <c r="G238" s="144"/>
      <c r="H238" s="88"/>
      <c r="I238" s="85" t="s">
        <v>904</v>
      </c>
      <c r="J238" s="85" t="s">
        <v>912</v>
      </c>
    </row>
    <row r="239" spans="1:10" ht="32.25" thickBot="1" x14ac:dyDescent="0.9">
      <c r="A239" s="86" t="s">
        <v>1518</v>
      </c>
      <c r="B239" s="90" t="s">
        <v>1519</v>
      </c>
      <c r="C239" s="147" t="str">
        <f t="shared" si="13"/>
        <v>A.2.6.3.4.7-Care responsibility [Required]</v>
      </c>
      <c r="D239" s="85" t="s">
        <v>1520</v>
      </c>
      <c r="E239" s="82">
        <f t="shared" si="11"/>
        <v>0</v>
      </c>
      <c r="F239" s="82" t="str">
        <f t="shared" si="12"/>
        <v>*</v>
      </c>
      <c r="G239" s="144"/>
      <c r="H239" s="88"/>
      <c r="I239" s="85" t="s">
        <v>904</v>
      </c>
      <c r="J239" s="85" t="s">
        <v>59</v>
      </c>
    </row>
    <row r="240" spans="1:10" ht="16.5" thickBot="1" x14ac:dyDescent="0.9">
      <c r="A240" s="109" t="s">
        <v>1521</v>
      </c>
      <c r="B240" s="132" t="s">
        <v>1522</v>
      </c>
      <c r="C240" s="147" t="str">
        <f t="shared" si="13"/>
        <v>A.2.6.4-Abuse [Optional]</v>
      </c>
      <c r="D240" s="88"/>
      <c r="E240" s="82">
        <f t="shared" si="11"/>
        <v>0</v>
      </c>
      <c r="F240" s="82" t="str">
        <f t="shared" si="12"/>
        <v>1</v>
      </c>
      <c r="G240" s="144"/>
      <c r="H240" s="88"/>
      <c r="I240" s="85" t="s">
        <v>915</v>
      </c>
      <c r="J240" s="85" t="s">
        <v>912</v>
      </c>
    </row>
    <row r="241" spans="1:10" ht="16.5" thickBot="1" x14ac:dyDescent="0.9">
      <c r="A241" s="136" t="s">
        <v>1523</v>
      </c>
      <c r="B241" s="138" t="s">
        <v>1524</v>
      </c>
      <c r="C241" s="147" t="str">
        <f t="shared" si="13"/>
        <v>A.2.6.4.1-Alcohol use [Optional]</v>
      </c>
      <c r="D241" s="85" t="s">
        <v>1525</v>
      </c>
      <c r="E241" s="82">
        <f t="shared" si="11"/>
        <v>0</v>
      </c>
      <c r="F241" s="82" t="str">
        <f t="shared" si="12"/>
        <v>*</v>
      </c>
      <c r="G241" s="144"/>
      <c r="H241" s="88"/>
      <c r="I241" s="85" t="s">
        <v>904</v>
      </c>
      <c r="J241" s="85" t="s">
        <v>912</v>
      </c>
    </row>
    <row r="242" spans="1:10" ht="16.5" thickBot="1" x14ac:dyDescent="0.9">
      <c r="A242" s="93" t="s">
        <v>1526</v>
      </c>
      <c r="B242" s="158" t="s">
        <v>72</v>
      </c>
      <c r="C242" s="147" t="str">
        <f t="shared" si="13"/>
        <v>A.2.6.4.1.1-Status [Required]</v>
      </c>
      <c r="D242" s="93" t="s">
        <v>1527</v>
      </c>
      <c r="E242" s="82">
        <f t="shared" si="11"/>
        <v>0</v>
      </c>
      <c r="F242" s="82" t="str">
        <f t="shared" si="12"/>
        <v>1</v>
      </c>
      <c r="G242" s="153"/>
      <c r="H242" s="95" t="s">
        <v>1099</v>
      </c>
      <c r="I242" s="93" t="s">
        <v>915</v>
      </c>
      <c r="J242" s="93" t="s">
        <v>59</v>
      </c>
    </row>
    <row r="243" spans="1:10" ht="16.5" thickBot="1" x14ac:dyDescent="0.9">
      <c r="A243" s="97"/>
      <c r="B243" s="171"/>
      <c r="C243" s="147" t="str">
        <f t="shared" si="13"/>
        <v>- []</v>
      </c>
      <c r="D243" s="97"/>
      <c r="E243" s="82">
        <f t="shared" si="11"/>
        <v>0</v>
      </c>
      <c r="F243" s="82" t="str">
        <f t="shared" si="12"/>
        <v/>
      </c>
      <c r="G243" s="153"/>
      <c r="H243" s="95" t="s">
        <v>1528</v>
      </c>
      <c r="I243" s="97"/>
      <c r="J243" s="97"/>
    </row>
    <row r="244" spans="1:10" ht="32.25" thickBot="1" x14ac:dyDescent="0.9">
      <c r="A244" s="97"/>
      <c r="B244" s="171"/>
      <c r="C244" s="147" t="str">
        <f t="shared" si="13"/>
        <v>- []</v>
      </c>
      <c r="D244" s="97"/>
      <c r="E244" s="82">
        <f t="shared" si="11"/>
        <v>0</v>
      </c>
      <c r="F244" s="82" t="str">
        <f t="shared" si="12"/>
        <v/>
      </c>
      <c r="G244" s="153"/>
      <c r="H244" s="95" t="s">
        <v>1529</v>
      </c>
      <c r="I244" s="97"/>
      <c r="J244" s="97"/>
    </row>
    <row r="245" spans="1:10" ht="16.5" thickBot="1" x14ac:dyDescent="0.9">
      <c r="A245" s="97"/>
      <c r="B245" s="171"/>
      <c r="C245" s="147" t="str">
        <f t="shared" si="13"/>
        <v>- []</v>
      </c>
      <c r="D245" s="97"/>
      <c r="E245" s="82">
        <f t="shared" si="11"/>
        <v>0</v>
      </c>
      <c r="F245" s="82" t="str">
        <f t="shared" si="12"/>
        <v/>
      </c>
      <c r="G245" s="153"/>
      <c r="H245" s="95" t="s">
        <v>1530</v>
      </c>
      <c r="I245" s="97"/>
      <c r="J245" s="97"/>
    </row>
    <row r="246" spans="1:10" ht="32.25" thickBot="1" x14ac:dyDescent="0.9">
      <c r="A246" s="86"/>
      <c r="B246" s="159"/>
      <c r="C246" s="147" t="str">
        <f t="shared" si="13"/>
        <v>- []</v>
      </c>
      <c r="D246" s="86"/>
      <c r="E246" s="82">
        <f t="shared" si="11"/>
        <v>0</v>
      </c>
      <c r="F246" s="82" t="str">
        <f t="shared" si="12"/>
        <v/>
      </c>
      <c r="G246" s="144"/>
      <c r="H246" s="85" t="s">
        <v>1531</v>
      </c>
      <c r="I246" s="86"/>
      <c r="J246" s="86"/>
    </row>
    <row r="247" spans="1:10" ht="32.25" thickBot="1" x14ac:dyDescent="0.9">
      <c r="A247" s="86" t="s">
        <v>1532</v>
      </c>
      <c r="B247" s="92" t="s">
        <v>1533</v>
      </c>
      <c r="C247" s="147" t="str">
        <f t="shared" si="13"/>
        <v>A.2.6.4.1.2-Period and quantity [Required]</v>
      </c>
      <c r="D247" s="85" t="s">
        <v>1534</v>
      </c>
      <c r="E247" s="82">
        <f t="shared" si="11"/>
        <v>0</v>
      </c>
      <c r="F247" s="82" t="str">
        <f t="shared" si="12"/>
        <v>*</v>
      </c>
      <c r="G247" s="144"/>
      <c r="H247" s="88"/>
      <c r="I247" s="85" t="s">
        <v>904</v>
      </c>
      <c r="J247" s="85" t="s">
        <v>59</v>
      </c>
    </row>
    <row r="248" spans="1:10" ht="16.5" thickBot="1" x14ac:dyDescent="0.9">
      <c r="A248" s="86" t="s">
        <v>1535</v>
      </c>
      <c r="B248" s="92" t="s">
        <v>169</v>
      </c>
      <c r="C248" s="147" t="str">
        <f t="shared" si="13"/>
        <v>A.2.6.4.1.3-Comment [Required]</v>
      </c>
      <c r="D248" s="85" t="s">
        <v>1536</v>
      </c>
      <c r="E248" s="82">
        <f t="shared" si="11"/>
        <v>0</v>
      </c>
      <c r="F248" s="82" t="str">
        <f t="shared" si="12"/>
        <v>1</v>
      </c>
      <c r="G248" s="144"/>
      <c r="H248" s="88"/>
      <c r="I248" s="85" t="s">
        <v>915</v>
      </c>
      <c r="J248" s="85" t="s">
        <v>59</v>
      </c>
    </row>
    <row r="249" spans="1:10" ht="16.5" thickBot="1" x14ac:dyDescent="0.9">
      <c r="A249" s="136" t="s">
        <v>1537</v>
      </c>
      <c r="B249" s="139" t="s">
        <v>1538</v>
      </c>
      <c r="C249" s="147" t="str">
        <f t="shared" si="13"/>
        <v>A.2.6.4.2-Tobacco use [Optional]</v>
      </c>
      <c r="D249" s="85" t="s">
        <v>1539</v>
      </c>
      <c r="E249" s="82">
        <f t="shared" si="11"/>
        <v>0</v>
      </c>
      <c r="F249" s="82" t="str">
        <f t="shared" si="12"/>
        <v>*</v>
      </c>
      <c r="G249" s="144"/>
      <c r="H249" s="88"/>
      <c r="I249" s="85" t="s">
        <v>904</v>
      </c>
      <c r="J249" s="85" t="s">
        <v>912</v>
      </c>
    </row>
    <row r="250" spans="1:10" ht="16.5" thickBot="1" x14ac:dyDescent="0.9">
      <c r="A250" s="93" t="s">
        <v>1540</v>
      </c>
      <c r="B250" s="158" t="s">
        <v>72</v>
      </c>
      <c r="C250" s="147" t="str">
        <f t="shared" si="13"/>
        <v>A.2.6.4.2.1-Status [Required]</v>
      </c>
      <c r="D250" s="93" t="s">
        <v>1541</v>
      </c>
      <c r="E250" s="82">
        <f t="shared" si="11"/>
        <v>0</v>
      </c>
      <c r="F250" s="82" t="str">
        <f t="shared" si="12"/>
        <v>1</v>
      </c>
      <c r="G250" s="153"/>
      <c r="H250" s="95" t="s">
        <v>1099</v>
      </c>
      <c r="I250" s="93" t="s">
        <v>915</v>
      </c>
      <c r="J250" s="93" t="s">
        <v>59</v>
      </c>
    </row>
    <row r="251" spans="1:10" ht="16.5" thickBot="1" x14ac:dyDescent="0.9">
      <c r="A251" s="97"/>
      <c r="B251" s="171"/>
      <c r="C251" s="147" t="str">
        <f t="shared" si="13"/>
        <v>- []</v>
      </c>
      <c r="D251" s="97"/>
      <c r="E251" s="82">
        <f t="shared" si="11"/>
        <v>0</v>
      </c>
      <c r="F251" s="82" t="str">
        <f t="shared" si="12"/>
        <v/>
      </c>
      <c r="G251" s="153"/>
      <c r="H251" s="95" t="s">
        <v>1542</v>
      </c>
      <c r="I251" s="97"/>
      <c r="J251" s="97"/>
    </row>
    <row r="252" spans="1:10" ht="32.25" thickBot="1" x14ac:dyDescent="0.9">
      <c r="A252" s="97"/>
      <c r="B252" s="171"/>
      <c r="C252" s="147" t="str">
        <f t="shared" si="13"/>
        <v>- []</v>
      </c>
      <c r="D252" s="97"/>
      <c r="E252" s="82">
        <f t="shared" si="11"/>
        <v>0</v>
      </c>
      <c r="F252" s="82" t="str">
        <f t="shared" si="12"/>
        <v/>
      </c>
      <c r="G252" s="153"/>
      <c r="H252" s="95" t="s">
        <v>1543</v>
      </c>
      <c r="I252" s="97"/>
      <c r="J252" s="97"/>
    </row>
    <row r="253" spans="1:10" ht="16.5" thickBot="1" x14ac:dyDescent="0.9">
      <c r="A253" s="97"/>
      <c r="B253" s="171"/>
      <c r="C253" s="147" t="str">
        <f t="shared" si="13"/>
        <v>- []</v>
      </c>
      <c r="D253" s="97"/>
      <c r="E253" s="82">
        <f t="shared" si="11"/>
        <v>0</v>
      </c>
      <c r="F253" s="82" t="str">
        <f t="shared" si="12"/>
        <v/>
      </c>
      <c r="G253" s="153"/>
      <c r="H253" s="95" t="s">
        <v>1544</v>
      </c>
      <c r="I253" s="97"/>
      <c r="J253" s="97"/>
    </row>
    <row r="254" spans="1:10" ht="16.5" thickBot="1" x14ac:dyDescent="0.9">
      <c r="A254" s="97"/>
      <c r="B254" s="171"/>
      <c r="C254" s="147" t="str">
        <f t="shared" si="13"/>
        <v>- []</v>
      </c>
      <c r="D254" s="97"/>
      <c r="E254" s="82">
        <f t="shared" si="11"/>
        <v>0</v>
      </c>
      <c r="F254" s="82" t="str">
        <f t="shared" si="12"/>
        <v/>
      </c>
      <c r="G254" s="153"/>
      <c r="H254" s="95" t="s">
        <v>1545</v>
      </c>
      <c r="I254" s="97"/>
      <c r="J254" s="97"/>
    </row>
    <row r="255" spans="1:10" ht="63.75" thickBot="1" x14ac:dyDescent="0.9">
      <c r="A255" s="86"/>
      <c r="B255" s="159"/>
      <c r="C255" s="147" t="str">
        <f t="shared" si="13"/>
        <v>- []</v>
      </c>
      <c r="D255" s="86"/>
      <c r="E255" s="82">
        <f t="shared" si="11"/>
        <v>0</v>
      </c>
      <c r="F255" s="82" t="str">
        <f t="shared" si="12"/>
        <v/>
      </c>
      <c r="G255" s="144"/>
      <c r="H255" s="85" t="s">
        <v>1546</v>
      </c>
      <c r="I255" s="86"/>
      <c r="J255" s="86"/>
    </row>
    <row r="256" spans="1:10" ht="32.25" thickBot="1" x14ac:dyDescent="0.9">
      <c r="A256" s="86" t="s">
        <v>1547</v>
      </c>
      <c r="B256" s="92" t="s">
        <v>1533</v>
      </c>
      <c r="C256" s="147" t="str">
        <f t="shared" si="13"/>
        <v>A.2.6.4.2.2-Period and quantity [Required]</v>
      </c>
      <c r="D256" s="85" t="s">
        <v>1548</v>
      </c>
      <c r="E256" s="82">
        <f t="shared" si="11"/>
        <v>0</v>
      </c>
      <c r="F256" s="82" t="str">
        <f t="shared" si="12"/>
        <v>*</v>
      </c>
      <c r="G256" s="144"/>
      <c r="H256" s="88"/>
      <c r="I256" s="85" t="s">
        <v>904</v>
      </c>
      <c r="J256" s="85" t="s">
        <v>59</v>
      </c>
    </row>
    <row r="257" spans="1:10" ht="16.5" thickBot="1" x14ac:dyDescent="0.9">
      <c r="A257" s="86" t="s">
        <v>1549</v>
      </c>
      <c r="B257" s="92" t="s">
        <v>169</v>
      </c>
      <c r="C257" s="147" t="str">
        <f t="shared" si="13"/>
        <v>A.2.6.4.2.3-Comment [Required]</v>
      </c>
      <c r="D257" s="85" t="s">
        <v>1536</v>
      </c>
      <c r="E257" s="82">
        <f t="shared" si="11"/>
        <v>0</v>
      </c>
      <c r="F257" s="82" t="str">
        <f t="shared" si="12"/>
        <v>1</v>
      </c>
      <c r="G257" s="144"/>
      <c r="H257" s="88"/>
      <c r="I257" s="85" t="s">
        <v>915</v>
      </c>
      <c r="J257" s="85" t="s">
        <v>59</v>
      </c>
    </row>
    <row r="258" spans="1:10" ht="16.5" thickBot="1" x14ac:dyDescent="0.9">
      <c r="A258" s="136" t="s">
        <v>1550</v>
      </c>
      <c r="B258" s="139" t="s">
        <v>1551</v>
      </c>
      <c r="C258" s="147" t="str">
        <f t="shared" si="13"/>
        <v>A.2.6.4.3-Drug abuse [Optional]</v>
      </c>
      <c r="D258" s="85" t="s">
        <v>1552</v>
      </c>
      <c r="E258" s="82">
        <f t="shared" si="11"/>
        <v>0</v>
      </c>
      <c r="F258" s="82" t="str">
        <f t="shared" si="12"/>
        <v>*</v>
      </c>
      <c r="G258" s="144"/>
      <c r="H258" s="88"/>
      <c r="I258" s="85" t="s">
        <v>904</v>
      </c>
      <c r="J258" s="85" t="s">
        <v>912</v>
      </c>
    </row>
    <row r="259" spans="1:10" ht="16.5" thickBot="1" x14ac:dyDescent="0.9">
      <c r="A259" s="93" t="s">
        <v>1553</v>
      </c>
      <c r="B259" s="158" t="s">
        <v>72</v>
      </c>
      <c r="C259" s="147" t="str">
        <f t="shared" si="13"/>
        <v>A.2.6.4.3.1-Status [Required]</v>
      </c>
      <c r="D259" s="93" t="s">
        <v>1554</v>
      </c>
      <c r="E259" s="82">
        <f t="shared" ref="E259:E322" si="14">_xlfn.NUMBERVALUE(MID(I259,1,1))</f>
        <v>0</v>
      </c>
      <c r="F259" s="82" t="str">
        <f t="shared" ref="F259:F322" si="15">MID(I259,4,1)</f>
        <v>1</v>
      </c>
      <c r="G259" s="153"/>
      <c r="H259" s="95" t="s">
        <v>1099</v>
      </c>
      <c r="I259" s="93" t="s">
        <v>915</v>
      </c>
      <c r="J259" s="93" t="s">
        <v>59</v>
      </c>
    </row>
    <row r="260" spans="1:10" ht="16.5" thickBot="1" x14ac:dyDescent="0.9">
      <c r="A260" s="97"/>
      <c r="B260" s="171"/>
      <c r="C260" s="147" t="str">
        <f t="shared" si="13"/>
        <v>- []</v>
      </c>
      <c r="D260" s="97"/>
      <c r="E260" s="82">
        <f t="shared" si="14"/>
        <v>0</v>
      </c>
      <c r="F260" s="82" t="str">
        <f t="shared" si="15"/>
        <v/>
      </c>
      <c r="G260" s="153"/>
      <c r="H260" s="95" t="s">
        <v>1555</v>
      </c>
      <c r="I260" s="97"/>
      <c r="J260" s="97"/>
    </row>
    <row r="261" spans="1:10" ht="32.25" thickBot="1" x14ac:dyDescent="0.9">
      <c r="A261" s="97"/>
      <c r="B261" s="171"/>
      <c r="C261" s="147" t="str">
        <f t="shared" si="13"/>
        <v>- []</v>
      </c>
      <c r="D261" s="97"/>
      <c r="E261" s="82">
        <f t="shared" si="14"/>
        <v>0</v>
      </c>
      <c r="F261" s="82" t="str">
        <f t="shared" si="15"/>
        <v/>
      </c>
      <c r="G261" s="153"/>
      <c r="H261" s="95" t="s">
        <v>1556</v>
      </c>
      <c r="I261" s="97"/>
      <c r="J261" s="97"/>
    </row>
    <row r="262" spans="1:10" ht="32.25" thickBot="1" x14ac:dyDescent="0.9">
      <c r="A262" s="97"/>
      <c r="B262" s="171"/>
      <c r="C262" s="147" t="str">
        <f t="shared" ref="C262:C325" si="16">CONCATENATE(A262,"-",B262," [",J262,"]")</f>
        <v>- []</v>
      </c>
      <c r="D262" s="97"/>
      <c r="E262" s="82">
        <f t="shared" si="14"/>
        <v>0</v>
      </c>
      <c r="F262" s="82" t="str">
        <f t="shared" si="15"/>
        <v/>
      </c>
      <c r="G262" s="153"/>
      <c r="H262" s="95" t="s">
        <v>1557</v>
      </c>
      <c r="I262" s="97"/>
      <c r="J262" s="97"/>
    </row>
    <row r="263" spans="1:10" ht="32.25" thickBot="1" x14ac:dyDescent="0.9">
      <c r="A263" s="86"/>
      <c r="B263" s="159"/>
      <c r="C263" s="147" t="str">
        <f t="shared" si="16"/>
        <v>- []</v>
      </c>
      <c r="D263" s="86"/>
      <c r="E263" s="82">
        <f t="shared" si="14"/>
        <v>0</v>
      </c>
      <c r="F263" s="82" t="str">
        <f t="shared" si="15"/>
        <v/>
      </c>
      <c r="G263" s="144"/>
      <c r="H263" s="85" t="s">
        <v>1558</v>
      </c>
      <c r="I263" s="86"/>
      <c r="J263" s="86"/>
    </row>
    <row r="264" spans="1:10" ht="16.5" thickBot="1" x14ac:dyDescent="0.9">
      <c r="A264" s="86" t="s">
        <v>1559</v>
      </c>
      <c r="B264" s="92" t="s">
        <v>1533</v>
      </c>
      <c r="C264" s="147" t="str">
        <f t="shared" si="16"/>
        <v>A.2.6.4.3.2-Period and quantity [Required]</v>
      </c>
      <c r="D264" s="85" t="s">
        <v>1560</v>
      </c>
      <c r="E264" s="82">
        <f t="shared" si="14"/>
        <v>0</v>
      </c>
      <c r="F264" s="82" t="str">
        <f t="shared" si="15"/>
        <v>1</v>
      </c>
      <c r="G264" s="144"/>
      <c r="H264" s="88"/>
      <c r="I264" s="85" t="s">
        <v>915</v>
      </c>
      <c r="J264" s="85" t="s">
        <v>59</v>
      </c>
    </row>
    <row r="265" spans="1:10" ht="16.5" thickBot="1" x14ac:dyDescent="0.9">
      <c r="A265" s="93" t="s">
        <v>1561</v>
      </c>
      <c r="B265" s="158" t="s">
        <v>1562</v>
      </c>
      <c r="C265" s="147" t="str">
        <f t="shared" si="16"/>
        <v>A.2.6.4.3.3-Drug or medication type [Required]</v>
      </c>
      <c r="D265" s="93" t="s">
        <v>1563</v>
      </c>
      <c r="E265" s="82">
        <f t="shared" si="14"/>
        <v>0</v>
      </c>
      <c r="F265" s="82" t="str">
        <f t="shared" si="15"/>
        <v>1</v>
      </c>
      <c r="G265" s="153"/>
      <c r="H265" s="95" t="s">
        <v>1099</v>
      </c>
      <c r="I265" s="93" t="s">
        <v>915</v>
      </c>
      <c r="J265" s="93" t="s">
        <v>59</v>
      </c>
    </row>
    <row r="266" spans="1:10" ht="16.5" thickBot="1" x14ac:dyDescent="0.9">
      <c r="A266" s="97"/>
      <c r="B266" s="171"/>
      <c r="C266" s="147" t="str">
        <f t="shared" si="16"/>
        <v>- []</v>
      </c>
      <c r="D266" s="97"/>
      <c r="E266" s="82">
        <f t="shared" si="14"/>
        <v>0</v>
      </c>
      <c r="F266" s="82" t="str">
        <f t="shared" si="15"/>
        <v/>
      </c>
      <c r="G266" s="153"/>
      <c r="H266" s="95" t="s">
        <v>1564</v>
      </c>
      <c r="I266" s="97"/>
      <c r="J266" s="97"/>
    </row>
    <row r="267" spans="1:10" ht="16.5" thickBot="1" x14ac:dyDescent="0.9">
      <c r="A267" s="97"/>
      <c r="B267" s="171"/>
      <c r="C267" s="147" t="str">
        <f t="shared" si="16"/>
        <v>- []</v>
      </c>
      <c r="D267" s="97"/>
      <c r="E267" s="82">
        <f t="shared" si="14"/>
        <v>0</v>
      </c>
      <c r="F267" s="82" t="str">
        <f t="shared" si="15"/>
        <v/>
      </c>
      <c r="G267" s="153"/>
      <c r="H267" s="95" t="s">
        <v>1565</v>
      </c>
      <c r="I267" s="97"/>
      <c r="J267" s="97"/>
    </row>
    <row r="268" spans="1:10" ht="16.5" thickBot="1" x14ac:dyDescent="0.9">
      <c r="A268" s="97"/>
      <c r="B268" s="171"/>
      <c r="C268" s="147" t="str">
        <f t="shared" si="16"/>
        <v>- []</v>
      </c>
      <c r="D268" s="97"/>
      <c r="E268" s="82">
        <f t="shared" si="14"/>
        <v>0</v>
      </c>
      <c r="F268" s="82" t="str">
        <f t="shared" si="15"/>
        <v/>
      </c>
      <c r="G268" s="153"/>
      <c r="H268" s="95" t="s">
        <v>1566</v>
      </c>
      <c r="I268" s="97"/>
      <c r="J268" s="97"/>
    </row>
    <row r="269" spans="1:10" ht="32.25" thickBot="1" x14ac:dyDescent="0.9">
      <c r="A269" s="97"/>
      <c r="B269" s="171"/>
      <c r="C269" s="147" t="str">
        <f t="shared" si="16"/>
        <v>- []</v>
      </c>
      <c r="D269" s="97"/>
      <c r="E269" s="82">
        <f t="shared" si="14"/>
        <v>0</v>
      </c>
      <c r="F269" s="82" t="str">
        <f t="shared" si="15"/>
        <v/>
      </c>
      <c r="G269" s="153"/>
      <c r="H269" s="95" t="s">
        <v>1567</v>
      </c>
      <c r="I269" s="97"/>
      <c r="J269" s="97"/>
    </row>
    <row r="270" spans="1:10" ht="16.5" thickBot="1" x14ac:dyDescent="0.9">
      <c r="A270" s="97"/>
      <c r="B270" s="171"/>
      <c r="C270" s="147" t="str">
        <f t="shared" si="16"/>
        <v>- []</v>
      </c>
      <c r="D270" s="97"/>
      <c r="E270" s="82">
        <f t="shared" si="14"/>
        <v>0</v>
      </c>
      <c r="F270" s="82" t="str">
        <f t="shared" si="15"/>
        <v/>
      </c>
      <c r="G270" s="153"/>
      <c r="H270" s="95" t="s">
        <v>1568</v>
      </c>
      <c r="I270" s="97"/>
      <c r="J270" s="97"/>
    </row>
    <row r="271" spans="1:10" ht="16.5" thickBot="1" x14ac:dyDescent="0.9">
      <c r="A271" s="97"/>
      <c r="B271" s="171"/>
      <c r="C271" s="147" t="str">
        <f t="shared" si="16"/>
        <v>- []</v>
      </c>
      <c r="D271" s="97"/>
      <c r="E271" s="82">
        <f t="shared" si="14"/>
        <v>0</v>
      </c>
      <c r="F271" s="82" t="str">
        <f t="shared" si="15"/>
        <v/>
      </c>
      <c r="G271" s="153"/>
      <c r="H271" s="95" t="s">
        <v>1569</v>
      </c>
      <c r="I271" s="97"/>
      <c r="J271" s="97"/>
    </row>
    <row r="272" spans="1:10" ht="32.25" thickBot="1" x14ac:dyDescent="0.9">
      <c r="A272" s="97"/>
      <c r="B272" s="171"/>
      <c r="C272" s="147" t="str">
        <f t="shared" si="16"/>
        <v>- []</v>
      </c>
      <c r="D272" s="97"/>
      <c r="E272" s="82">
        <f t="shared" si="14"/>
        <v>0</v>
      </c>
      <c r="F272" s="82" t="str">
        <f t="shared" si="15"/>
        <v/>
      </c>
      <c r="G272" s="153"/>
      <c r="H272" s="95" t="s">
        <v>1570</v>
      </c>
      <c r="I272" s="97"/>
      <c r="J272" s="97"/>
    </row>
    <row r="273" spans="1:10" ht="16.5" thickBot="1" x14ac:dyDescent="0.9">
      <c r="A273" s="97"/>
      <c r="B273" s="171"/>
      <c r="C273" s="147" t="str">
        <f t="shared" si="16"/>
        <v>- []</v>
      </c>
      <c r="D273" s="97"/>
      <c r="E273" s="82">
        <f t="shared" si="14"/>
        <v>0</v>
      </c>
      <c r="F273" s="82" t="str">
        <f t="shared" si="15"/>
        <v/>
      </c>
      <c r="G273" s="153"/>
      <c r="H273" s="95" t="s">
        <v>1571</v>
      </c>
      <c r="I273" s="97"/>
      <c r="J273" s="97"/>
    </row>
    <row r="274" spans="1:10" ht="16.5" thickBot="1" x14ac:dyDescent="0.9">
      <c r="A274" s="97"/>
      <c r="B274" s="171"/>
      <c r="C274" s="147" t="str">
        <f t="shared" si="16"/>
        <v>- []</v>
      </c>
      <c r="D274" s="97"/>
      <c r="E274" s="82">
        <f t="shared" si="14"/>
        <v>0</v>
      </c>
      <c r="F274" s="82" t="str">
        <f t="shared" si="15"/>
        <v/>
      </c>
      <c r="G274" s="153"/>
      <c r="H274" s="95" t="s">
        <v>1572</v>
      </c>
      <c r="I274" s="97"/>
      <c r="J274" s="97"/>
    </row>
    <row r="275" spans="1:10" ht="32.25" thickBot="1" x14ac:dyDescent="0.9">
      <c r="A275" s="97"/>
      <c r="B275" s="171"/>
      <c r="C275" s="147" t="str">
        <f t="shared" si="16"/>
        <v>- []</v>
      </c>
      <c r="D275" s="97"/>
      <c r="E275" s="82">
        <f t="shared" si="14"/>
        <v>0</v>
      </c>
      <c r="F275" s="82" t="str">
        <f t="shared" si="15"/>
        <v/>
      </c>
      <c r="G275" s="153"/>
      <c r="H275" s="95" t="s">
        <v>1573</v>
      </c>
      <c r="I275" s="97"/>
      <c r="J275" s="97"/>
    </row>
    <row r="276" spans="1:10" ht="32.25" thickBot="1" x14ac:dyDescent="0.9">
      <c r="A276" s="97"/>
      <c r="B276" s="171"/>
      <c r="C276" s="147" t="str">
        <f t="shared" si="16"/>
        <v>- []</v>
      </c>
      <c r="D276" s="97"/>
      <c r="E276" s="82">
        <f t="shared" si="14"/>
        <v>0</v>
      </c>
      <c r="F276" s="82" t="str">
        <f t="shared" si="15"/>
        <v/>
      </c>
      <c r="G276" s="153"/>
      <c r="H276" s="95" t="s">
        <v>1574</v>
      </c>
      <c r="I276" s="97"/>
      <c r="J276" s="97"/>
    </row>
    <row r="277" spans="1:10" ht="16.5" thickBot="1" x14ac:dyDescent="0.9">
      <c r="A277" s="97"/>
      <c r="B277" s="171"/>
      <c r="C277" s="147" t="str">
        <f t="shared" si="16"/>
        <v>- []</v>
      </c>
      <c r="D277" s="97"/>
      <c r="E277" s="82">
        <f t="shared" si="14"/>
        <v>0</v>
      </c>
      <c r="F277" s="82" t="str">
        <f t="shared" si="15"/>
        <v/>
      </c>
      <c r="G277" s="153"/>
      <c r="H277" s="95" t="s">
        <v>1575</v>
      </c>
      <c r="I277" s="97"/>
      <c r="J277" s="97"/>
    </row>
    <row r="278" spans="1:10" ht="16.5" thickBot="1" x14ac:dyDescent="0.9">
      <c r="A278" s="97"/>
      <c r="B278" s="171"/>
      <c r="C278" s="147" t="str">
        <f t="shared" si="16"/>
        <v>- []</v>
      </c>
      <c r="D278" s="97"/>
      <c r="E278" s="82">
        <f t="shared" si="14"/>
        <v>0</v>
      </c>
      <c r="F278" s="82" t="str">
        <f t="shared" si="15"/>
        <v/>
      </c>
      <c r="G278" s="153"/>
      <c r="H278" s="95" t="s">
        <v>1576</v>
      </c>
      <c r="I278" s="97"/>
      <c r="J278" s="97"/>
    </row>
    <row r="279" spans="1:10" ht="32.25" thickBot="1" x14ac:dyDescent="0.9">
      <c r="A279" s="97"/>
      <c r="B279" s="171"/>
      <c r="C279" s="147" t="str">
        <f t="shared" si="16"/>
        <v>- []</v>
      </c>
      <c r="D279" s="97"/>
      <c r="E279" s="82">
        <f t="shared" si="14"/>
        <v>0</v>
      </c>
      <c r="F279" s="82" t="str">
        <f t="shared" si="15"/>
        <v/>
      </c>
      <c r="G279" s="153"/>
      <c r="H279" s="95" t="s">
        <v>1577</v>
      </c>
      <c r="I279" s="97"/>
      <c r="J279" s="97"/>
    </row>
    <row r="280" spans="1:10" ht="16.5" thickBot="1" x14ac:dyDescent="0.9">
      <c r="A280" s="97"/>
      <c r="B280" s="171"/>
      <c r="C280" s="147" t="str">
        <f t="shared" si="16"/>
        <v>- []</v>
      </c>
      <c r="D280" s="97"/>
      <c r="E280" s="82">
        <f t="shared" si="14"/>
        <v>0</v>
      </c>
      <c r="F280" s="82" t="str">
        <f t="shared" si="15"/>
        <v/>
      </c>
      <c r="G280" s="153"/>
      <c r="H280" s="95" t="s">
        <v>1578</v>
      </c>
      <c r="I280" s="97"/>
      <c r="J280" s="97"/>
    </row>
    <row r="281" spans="1:10" ht="16.5" thickBot="1" x14ac:dyDescent="0.9">
      <c r="A281" s="97"/>
      <c r="B281" s="171"/>
      <c r="C281" s="147" t="str">
        <f t="shared" si="16"/>
        <v>- []</v>
      </c>
      <c r="D281" s="97"/>
      <c r="E281" s="82">
        <f t="shared" si="14"/>
        <v>0</v>
      </c>
      <c r="F281" s="82" t="str">
        <f t="shared" si="15"/>
        <v/>
      </c>
      <c r="G281" s="153"/>
      <c r="H281" s="95" t="s">
        <v>1579</v>
      </c>
      <c r="I281" s="97"/>
      <c r="J281" s="97"/>
    </row>
    <row r="282" spans="1:10" ht="16.5" thickBot="1" x14ac:dyDescent="0.9">
      <c r="A282" s="97"/>
      <c r="B282" s="171"/>
      <c r="C282" s="147" t="str">
        <f t="shared" si="16"/>
        <v>- []</v>
      </c>
      <c r="D282" s="97"/>
      <c r="E282" s="82">
        <f t="shared" si="14"/>
        <v>0</v>
      </c>
      <c r="F282" s="82" t="str">
        <f t="shared" si="15"/>
        <v/>
      </c>
      <c r="G282" s="153"/>
      <c r="H282" s="95" t="s">
        <v>1580</v>
      </c>
      <c r="I282" s="97"/>
      <c r="J282" s="97"/>
    </row>
    <row r="283" spans="1:10" ht="16.5" thickBot="1" x14ac:dyDescent="0.9">
      <c r="A283" s="97"/>
      <c r="B283" s="171"/>
      <c r="C283" s="147" t="str">
        <f t="shared" si="16"/>
        <v>- []</v>
      </c>
      <c r="D283" s="97"/>
      <c r="E283" s="82">
        <f t="shared" si="14"/>
        <v>0</v>
      </c>
      <c r="F283" s="82" t="str">
        <f t="shared" si="15"/>
        <v/>
      </c>
      <c r="G283" s="153"/>
      <c r="H283" s="95" t="s">
        <v>1581</v>
      </c>
      <c r="I283" s="97"/>
      <c r="J283" s="97"/>
    </row>
    <row r="284" spans="1:10" ht="16.5" thickBot="1" x14ac:dyDescent="0.9">
      <c r="A284" s="86"/>
      <c r="B284" s="159"/>
      <c r="C284" s="147" t="str">
        <f t="shared" si="16"/>
        <v>- []</v>
      </c>
      <c r="D284" s="86"/>
      <c r="E284" s="82">
        <f t="shared" si="14"/>
        <v>0</v>
      </c>
      <c r="F284" s="82" t="str">
        <f t="shared" si="15"/>
        <v/>
      </c>
      <c r="G284" s="144"/>
      <c r="H284" s="85" t="s">
        <v>1582</v>
      </c>
      <c r="I284" s="86"/>
      <c r="J284" s="86"/>
    </row>
    <row r="285" spans="1:10" ht="16.5" thickBot="1" x14ac:dyDescent="0.9">
      <c r="A285" s="86" t="s">
        <v>1583</v>
      </c>
      <c r="B285" s="92" t="s">
        <v>1584</v>
      </c>
      <c r="C285" s="147" t="str">
        <f t="shared" si="16"/>
        <v>A.2.6.4.3.4-Route of administration [Required]</v>
      </c>
      <c r="D285" s="85" t="s">
        <v>1584</v>
      </c>
      <c r="E285" s="82">
        <f t="shared" si="14"/>
        <v>0</v>
      </c>
      <c r="F285" s="82" t="str">
        <f t="shared" si="15"/>
        <v>*</v>
      </c>
      <c r="G285" s="144"/>
      <c r="H285" s="85" t="s">
        <v>1585</v>
      </c>
      <c r="I285" s="85" t="s">
        <v>904</v>
      </c>
      <c r="J285" s="85" t="s">
        <v>59</v>
      </c>
    </row>
    <row r="286" spans="1:10" ht="16.5" thickBot="1" x14ac:dyDescent="0.9">
      <c r="A286" s="86" t="s">
        <v>1586</v>
      </c>
      <c r="B286" s="92" t="s">
        <v>169</v>
      </c>
      <c r="C286" s="147" t="str">
        <f t="shared" si="16"/>
        <v>A.2.6.4.3.5-Comment [Required]</v>
      </c>
      <c r="D286" s="85" t="s">
        <v>1587</v>
      </c>
      <c r="E286" s="82">
        <f t="shared" si="14"/>
        <v>0</v>
      </c>
      <c r="F286" s="82" t="str">
        <f t="shared" si="15"/>
        <v>1</v>
      </c>
      <c r="G286" s="144"/>
      <c r="H286" s="88"/>
      <c r="I286" s="85" t="s">
        <v>915</v>
      </c>
      <c r="J286" s="85" t="s">
        <v>59</v>
      </c>
    </row>
    <row r="287" spans="1:10" ht="16.5" thickBot="1" x14ac:dyDescent="0.9">
      <c r="A287" s="140" t="s">
        <v>1588</v>
      </c>
      <c r="B287" s="172" t="s">
        <v>1589</v>
      </c>
      <c r="C287" s="147" t="str">
        <f t="shared" si="16"/>
        <v>A.2.6.4.4-Addiction [Optional]</v>
      </c>
      <c r="D287" s="93" t="s">
        <v>1590</v>
      </c>
      <c r="E287" s="82">
        <f t="shared" si="14"/>
        <v>0</v>
      </c>
      <c r="F287" s="82" t="str">
        <f t="shared" si="15"/>
        <v>*</v>
      </c>
      <c r="G287" s="153"/>
      <c r="H287" s="95" t="s">
        <v>1082</v>
      </c>
      <c r="I287" s="93" t="s">
        <v>904</v>
      </c>
      <c r="J287" s="93" t="s">
        <v>912</v>
      </c>
    </row>
    <row r="288" spans="1:10" ht="16.5" thickBot="1" x14ac:dyDescent="0.9">
      <c r="A288" s="136"/>
      <c r="B288" s="173"/>
      <c r="C288" s="147" t="str">
        <f t="shared" si="16"/>
        <v>- []</v>
      </c>
      <c r="D288" s="86"/>
      <c r="E288" s="82">
        <f t="shared" si="14"/>
        <v>0</v>
      </c>
      <c r="F288" s="82" t="str">
        <f t="shared" si="15"/>
        <v/>
      </c>
      <c r="G288" s="144"/>
      <c r="H288" s="85" t="s">
        <v>1099</v>
      </c>
      <c r="I288" s="86"/>
      <c r="J288" s="86"/>
    </row>
    <row r="289" spans="1:10" ht="16.5" thickBot="1" x14ac:dyDescent="0.9">
      <c r="A289" s="80" t="s">
        <v>1591</v>
      </c>
      <c r="B289" s="81" t="s">
        <v>1592</v>
      </c>
      <c r="C289" s="147" t="str">
        <f t="shared" si="16"/>
        <v>A.2.7-Hospital stay [Mandatory]</v>
      </c>
      <c r="D289" s="82"/>
      <c r="E289" s="82">
        <f t="shared" si="14"/>
        <v>1</v>
      </c>
      <c r="F289" s="82" t="str">
        <f t="shared" si="15"/>
        <v>1</v>
      </c>
      <c r="G289" s="82"/>
      <c r="H289" s="83"/>
      <c r="I289" s="85" t="s">
        <v>883</v>
      </c>
      <c r="J289" s="85" t="s">
        <v>884</v>
      </c>
    </row>
    <row r="290" spans="1:10" ht="16.5" customHeight="1" thickBot="1" x14ac:dyDescent="0.9">
      <c r="A290" s="80" t="s">
        <v>1593</v>
      </c>
      <c r="B290" s="141" t="s">
        <v>1594</v>
      </c>
      <c r="C290" s="147" t="str">
        <f t="shared" si="16"/>
        <v>A.2.7.1-Diagnostic summary [Required]</v>
      </c>
      <c r="D290" s="129" t="s">
        <v>1595</v>
      </c>
      <c r="E290" s="82">
        <f t="shared" si="14"/>
        <v>1</v>
      </c>
      <c r="F290" s="82" t="str">
        <f t="shared" si="15"/>
        <v>*</v>
      </c>
      <c r="G290" s="82"/>
      <c r="H290" s="130"/>
      <c r="I290" s="85" t="s">
        <v>890</v>
      </c>
      <c r="J290" s="85" t="s">
        <v>59</v>
      </c>
    </row>
    <row r="291" spans="1:10" ht="16.5" thickBot="1" x14ac:dyDescent="0.9">
      <c r="A291" s="86" t="s">
        <v>1596</v>
      </c>
      <c r="B291" s="85" t="s">
        <v>1292</v>
      </c>
      <c r="C291" s="147" t="str">
        <f t="shared" si="16"/>
        <v>A.2.7.1.1-Problem description [Mandatory]</v>
      </c>
      <c r="D291" s="85" t="s">
        <v>1597</v>
      </c>
      <c r="E291" s="82">
        <f t="shared" si="14"/>
        <v>1</v>
      </c>
      <c r="F291" s="82" t="str">
        <f t="shared" si="15"/>
        <v>1</v>
      </c>
      <c r="G291" s="144"/>
      <c r="H291" s="88"/>
      <c r="I291" s="85" t="s">
        <v>883</v>
      </c>
      <c r="J291" s="85" t="s">
        <v>884</v>
      </c>
    </row>
    <row r="292" spans="1:10" ht="16.5" thickBot="1" x14ac:dyDescent="0.9">
      <c r="A292" s="93" t="s">
        <v>1598</v>
      </c>
      <c r="B292" s="158" t="s">
        <v>64</v>
      </c>
      <c r="C292" s="147" t="str">
        <f t="shared" si="16"/>
        <v>A.2.7.1.2-Code [Required]</v>
      </c>
      <c r="D292" s="93" t="s">
        <v>1295</v>
      </c>
      <c r="E292" s="82">
        <f t="shared" si="14"/>
        <v>0</v>
      </c>
      <c r="F292" s="82" t="str">
        <f t="shared" si="15"/>
        <v>*</v>
      </c>
      <c r="G292" s="153"/>
      <c r="H292" s="95" t="s">
        <v>1082</v>
      </c>
      <c r="I292" s="93" t="s">
        <v>904</v>
      </c>
      <c r="J292" s="93" t="s">
        <v>59</v>
      </c>
    </row>
    <row r="293" spans="1:10" ht="16.5" thickBot="1" x14ac:dyDescent="0.9">
      <c r="A293" s="97"/>
      <c r="B293" s="171"/>
      <c r="C293" s="147" t="str">
        <f t="shared" si="16"/>
        <v>- []</v>
      </c>
      <c r="D293" s="97"/>
      <c r="E293" s="82">
        <f t="shared" si="14"/>
        <v>0</v>
      </c>
      <c r="F293" s="82" t="str">
        <f t="shared" si="15"/>
        <v/>
      </c>
      <c r="G293" s="153"/>
      <c r="H293" s="95" t="s">
        <v>1099</v>
      </c>
      <c r="I293" s="97"/>
      <c r="J293" s="97"/>
    </row>
    <row r="294" spans="1:10" ht="16.5" thickBot="1" x14ac:dyDescent="0.9">
      <c r="A294" s="97"/>
      <c r="B294" s="171"/>
      <c r="C294" s="147" t="str">
        <f t="shared" si="16"/>
        <v>- []</v>
      </c>
      <c r="D294" s="97"/>
      <c r="E294" s="82">
        <f t="shared" si="14"/>
        <v>0</v>
      </c>
      <c r="F294" s="82" t="str">
        <f t="shared" si="15"/>
        <v/>
      </c>
      <c r="G294" s="153"/>
      <c r="H294" s="95" t="s">
        <v>164</v>
      </c>
      <c r="I294" s="97"/>
      <c r="J294" s="97"/>
    </row>
    <row r="295" spans="1:10" ht="16.5" thickBot="1" x14ac:dyDescent="0.9">
      <c r="A295" s="86"/>
      <c r="B295" s="159"/>
      <c r="C295" s="147" t="str">
        <f t="shared" si="16"/>
        <v>- []</v>
      </c>
      <c r="D295" s="86"/>
      <c r="E295" s="82">
        <f t="shared" si="14"/>
        <v>0</v>
      </c>
      <c r="F295" s="82" t="str">
        <f t="shared" si="15"/>
        <v/>
      </c>
      <c r="G295" s="144"/>
      <c r="H295" s="85" t="s">
        <v>1137</v>
      </c>
      <c r="I295" s="86"/>
      <c r="J295" s="86"/>
    </row>
    <row r="296" spans="1:10" ht="16.5" thickBot="1" x14ac:dyDescent="0.9">
      <c r="A296" s="86" t="s">
        <v>1599</v>
      </c>
      <c r="B296" s="108" t="s">
        <v>1112</v>
      </c>
      <c r="C296" s="147" t="str">
        <f t="shared" si="16"/>
        <v>A.2.7.1.3-Onset date [Required]</v>
      </c>
      <c r="D296" s="85" t="s">
        <v>1600</v>
      </c>
      <c r="E296" s="82">
        <f t="shared" si="14"/>
        <v>1</v>
      </c>
      <c r="F296" s="82" t="str">
        <f t="shared" si="15"/>
        <v>1</v>
      </c>
      <c r="G296" s="144"/>
      <c r="H296" s="88"/>
      <c r="I296" s="85" t="s">
        <v>883</v>
      </c>
      <c r="J296" s="85" t="s">
        <v>59</v>
      </c>
    </row>
    <row r="297" spans="1:10" ht="32.25" thickBot="1" x14ac:dyDescent="0.9">
      <c r="A297" s="86" t="s">
        <v>1601</v>
      </c>
      <c r="B297" s="90" t="s">
        <v>1602</v>
      </c>
      <c r="C297" s="147" t="str">
        <f t="shared" si="16"/>
        <v>A.2.7.1.4-Abatement date [Required]</v>
      </c>
      <c r="D297" s="85" t="s">
        <v>1302</v>
      </c>
      <c r="E297" s="82">
        <f t="shared" si="14"/>
        <v>0</v>
      </c>
      <c r="F297" s="82" t="str">
        <f t="shared" si="15"/>
        <v>1</v>
      </c>
      <c r="G297" s="144"/>
      <c r="H297" s="88"/>
      <c r="I297" s="85" t="s">
        <v>915</v>
      </c>
      <c r="J297" s="85" t="s">
        <v>59</v>
      </c>
    </row>
    <row r="298" spans="1:10" ht="16.5" customHeight="1" thickBot="1" x14ac:dyDescent="0.9">
      <c r="A298" s="93" t="s">
        <v>1603</v>
      </c>
      <c r="B298" s="160" t="s">
        <v>1604</v>
      </c>
      <c r="C298" s="147" t="str">
        <f t="shared" si="16"/>
        <v>A.2.7.1.5-Category [Required]</v>
      </c>
      <c r="D298" s="93" t="s">
        <v>1605</v>
      </c>
      <c r="E298" s="82">
        <f t="shared" si="14"/>
        <v>0</v>
      </c>
      <c r="F298" s="82" t="str">
        <f t="shared" si="15"/>
        <v>1</v>
      </c>
      <c r="G298" s="153"/>
      <c r="H298" s="95" t="s">
        <v>1606</v>
      </c>
      <c r="I298" s="93" t="s">
        <v>915</v>
      </c>
      <c r="J298" s="93" t="s">
        <v>59</v>
      </c>
    </row>
    <row r="299" spans="1:10" ht="16.5" thickBot="1" x14ac:dyDescent="0.9">
      <c r="A299" s="97"/>
      <c r="B299" s="161"/>
      <c r="C299" s="147" t="str">
        <f t="shared" si="16"/>
        <v>- []</v>
      </c>
      <c r="D299" s="97"/>
      <c r="E299" s="82">
        <f t="shared" si="14"/>
        <v>0</v>
      </c>
      <c r="F299" s="82" t="str">
        <f t="shared" si="15"/>
        <v/>
      </c>
      <c r="G299" s="153"/>
      <c r="H299" s="95" t="s">
        <v>1607</v>
      </c>
      <c r="I299" s="97"/>
      <c r="J299" s="97"/>
    </row>
    <row r="300" spans="1:10" ht="16.5" thickBot="1" x14ac:dyDescent="0.9">
      <c r="A300" s="97"/>
      <c r="B300" s="161"/>
      <c r="C300" s="147" t="str">
        <f t="shared" si="16"/>
        <v>- []</v>
      </c>
      <c r="D300" s="97"/>
      <c r="E300" s="82">
        <f t="shared" si="14"/>
        <v>0</v>
      </c>
      <c r="F300" s="82" t="str">
        <f t="shared" si="15"/>
        <v/>
      </c>
      <c r="G300" s="153"/>
      <c r="H300" s="101"/>
      <c r="I300" s="97"/>
      <c r="J300" s="97"/>
    </row>
    <row r="301" spans="1:10" ht="16.5" thickBot="1" x14ac:dyDescent="0.9">
      <c r="A301" s="86"/>
      <c r="B301" s="162"/>
      <c r="C301" s="147" t="str">
        <f t="shared" si="16"/>
        <v>- []</v>
      </c>
      <c r="D301" s="86"/>
      <c r="E301" s="82">
        <f t="shared" si="14"/>
        <v>0</v>
      </c>
      <c r="F301" s="82" t="str">
        <f t="shared" si="15"/>
        <v/>
      </c>
      <c r="G301" s="144"/>
      <c r="H301" s="85" t="s">
        <v>1608</v>
      </c>
      <c r="I301" s="86"/>
      <c r="J301" s="86"/>
    </row>
    <row r="302" spans="1:10" ht="95.25" thickBot="1" x14ac:dyDescent="0.9">
      <c r="A302" s="86" t="s">
        <v>1609</v>
      </c>
      <c r="B302" s="142" t="s">
        <v>1610</v>
      </c>
      <c r="C302" s="147" t="str">
        <f t="shared" si="16"/>
        <v>A.2.7.1.6-Treatment class []</v>
      </c>
      <c r="D302" s="85" t="s">
        <v>1611</v>
      </c>
      <c r="E302" s="82">
        <f t="shared" si="14"/>
        <v>0</v>
      </c>
      <c r="F302" s="82" t="str">
        <f t="shared" si="15"/>
        <v/>
      </c>
      <c r="G302" s="144"/>
      <c r="H302" s="85" t="s">
        <v>1612</v>
      </c>
      <c r="I302" s="88"/>
      <c r="J302" s="88"/>
    </row>
    <row r="303" spans="1:10" ht="111" thickBot="1" x14ac:dyDescent="0.9">
      <c r="A303" s="86" t="s">
        <v>1613</v>
      </c>
      <c r="B303" s="92" t="s">
        <v>1308</v>
      </c>
      <c r="C303" s="147" t="str">
        <f t="shared" si="16"/>
        <v>A.2.7.1.7-Resolution circumstances [Optional]</v>
      </c>
      <c r="D303" s="85" t="s">
        <v>1309</v>
      </c>
      <c r="E303" s="82">
        <f t="shared" si="14"/>
        <v>0</v>
      </c>
      <c r="F303" s="82" t="str">
        <f t="shared" si="15"/>
        <v>1</v>
      </c>
      <c r="G303" s="144"/>
      <c r="H303" s="88"/>
      <c r="I303" s="85" t="s">
        <v>915</v>
      </c>
      <c r="J303" s="85" t="s">
        <v>912</v>
      </c>
    </row>
    <row r="304" spans="1:10" ht="32.25" thickBot="1" x14ac:dyDescent="0.9">
      <c r="A304" s="86" t="s">
        <v>1614</v>
      </c>
      <c r="B304" s="92" t="s">
        <v>1311</v>
      </c>
      <c r="C304" s="147" t="str">
        <f t="shared" si="16"/>
        <v>A.2.7.1.8-Severity [Optional]</v>
      </c>
      <c r="D304" s="85" t="s">
        <v>1312</v>
      </c>
      <c r="E304" s="82">
        <f t="shared" si="14"/>
        <v>0</v>
      </c>
      <c r="F304" s="82" t="str">
        <f t="shared" si="15"/>
        <v>1</v>
      </c>
      <c r="G304" s="144"/>
      <c r="H304" s="89" t="s">
        <v>1615</v>
      </c>
      <c r="I304" s="85" t="s">
        <v>915</v>
      </c>
      <c r="J304" s="85" t="s">
        <v>912</v>
      </c>
    </row>
    <row r="305" spans="1:10" ht="16.5" customHeight="1" thickBot="1" x14ac:dyDescent="0.9">
      <c r="A305" s="93" t="s">
        <v>1616</v>
      </c>
      <c r="B305" s="160" t="s">
        <v>1314</v>
      </c>
      <c r="C305" s="147" t="str">
        <f t="shared" si="16"/>
        <v>A.2.7.1.9-Stage [Optional]</v>
      </c>
      <c r="D305" s="93" t="s">
        <v>1617</v>
      </c>
      <c r="E305" s="82">
        <f t="shared" si="14"/>
        <v>0</v>
      </c>
      <c r="F305" s="82" t="str">
        <f t="shared" si="15"/>
        <v>*</v>
      </c>
      <c r="G305" s="153"/>
      <c r="H305" s="95" t="s">
        <v>68</v>
      </c>
      <c r="I305" s="93" t="s">
        <v>904</v>
      </c>
      <c r="J305" s="93" t="s">
        <v>912</v>
      </c>
    </row>
    <row r="306" spans="1:10" ht="16.5" thickBot="1" x14ac:dyDescent="0.9">
      <c r="A306" s="86"/>
      <c r="B306" s="162"/>
      <c r="C306" s="147" t="str">
        <f t="shared" si="16"/>
        <v>- []</v>
      </c>
      <c r="D306" s="86"/>
      <c r="E306" s="82">
        <f t="shared" si="14"/>
        <v>0</v>
      </c>
      <c r="F306" s="82" t="str">
        <f t="shared" si="15"/>
        <v/>
      </c>
      <c r="G306" s="144"/>
      <c r="H306" s="85" t="s">
        <v>164</v>
      </c>
      <c r="I306" s="86"/>
      <c r="J306" s="86"/>
    </row>
    <row r="307" spans="1:10" ht="16.5" customHeight="1" thickBot="1" x14ac:dyDescent="0.9">
      <c r="A307" s="113" t="s">
        <v>1618</v>
      </c>
      <c r="B307" s="163" t="s">
        <v>1619</v>
      </c>
      <c r="C307" s="147" t="str">
        <f t="shared" si="16"/>
        <v>A.2.7.2-Major procedures [Required]</v>
      </c>
      <c r="D307" s="115" t="s">
        <v>1620</v>
      </c>
      <c r="E307" s="82">
        <f t="shared" si="14"/>
        <v>1</v>
      </c>
      <c r="F307" s="82" t="str">
        <f t="shared" si="15"/>
        <v>*</v>
      </c>
      <c r="G307" s="122"/>
      <c r="H307" s="116"/>
      <c r="I307" s="93" t="s">
        <v>890</v>
      </c>
      <c r="J307" s="93" t="s">
        <v>59</v>
      </c>
    </row>
    <row r="308" spans="1:10" ht="16.5" customHeight="1" thickBot="1" x14ac:dyDescent="0.9">
      <c r="A308" s="80"/>
      <c r="B308" s="165"/>
      <c r="C308" s="147" t="str">
        <f t="shared" si="16"/>
        <v>- []</v>
      </c>
      <c r="D308" s="117" t="s">
        <v>1621</v>
      </c>
      <c r="E308" s="82">
        <f t="shared" si="14"/>
        <v>0</v>
      </c>
      <c r="F308" s="82" t="str">
        <f t="shared" si="15"/>
        <v/>
      </c>
      <c r="G308" s="144"/>
      <c r="H308" s="85"/>
      <c r="I308" s="86"/>
      <c r="J308" s="86"/>
    </row>
    <row r="309" spans="1:10" ht="16.5" thickBot="1" x14ac:dyDescent="0.9">
      <c r="A309" s="86" t="s">
        <v>1622</v>
      </c>
      <c r="B309" s="90" t="s">
        <v>1341</v>
      </c>
      <c r="C309" s="147" t="str">
        <f t="shared" si="16"/>
        <v>A.2.7.2.1-Procedure code [Optional]</v>
      </c>
      <c r="D309" s="85" t="s">
        <v>1623</v>
      </c>
      <c r="E309" s="82">
        <f t="shared" si="14"/>
        <v>0</v>
      </c>
      <c r="F309" s="82" t="str">
        <f t="shared" si="15"/>
        <v>*</v>
      </c>
      <c r="G309" s="144"/>
      <c r="H309" s="85" t="s">
        <v>1099</v>
      </c>
      <c r="I309" s="85" t="s">
        <v>904</v>
      </c>
      <c r="J309" s="85" t="s">
        <v>912</v>
      </c>
    </row>
    <row r="310" spans="1:10" ht="16.5" thickBot="1" x14ac:dyDescent="0.9">
      <c r="A310" s="86" t="s">
        <v>1624</v>
      </c>
      <c r="B310" s="87" t="s">
        <v>1344</v>
      </c>
      <c r="C310" s="147" t="str">
        <f t="shared" si="16"/>
        <v>A.2.7.2.2-Procedure description [Mandatory]</v>
      </c>
      <c r="D310" s="85" t="s">
        <v>1345</v>
      </c>
      <c r="E310" s="82">
        <f t="shared" si="14"/>
        <v>1</v>
      </c>
      <c r="F310" s="82" t="str">
        <f t="shared" si="15"/>
        <v>1</v>
      </c>
      <c r="G310" s="144"/>
      <c r="H310" s="88"/>
      <c r="I310" s="85" t="s">
        <v>883</v>
      </c>
      <c r="J310" s="85" t="s">
        <v>884</v>
      </c>
    </row>
    <row r="311" spans="1:10" ht="16.5" thickBot="1" x14ac:dyDescent="0.9">
      <c r="A311" s="93" t="s">
        <v>1625</v>
      </c>
      <c r="B311" s="160" t="s">
        <v>1347</v>
      </c>
      <c r="C311" s="147" t="str">
        <f t="shared" si="16"/>
        <v>A.2.7.2.3-Body site [Required]</v>
      </c>
      <c r="D311" s="93" t="s">
        <v>1348</v>
      </c>
      <c r="E311" s="82">
        <f t="shared" si="14"/>
        <v>0</v>
      </c>
      <c r="F311" s="82" t="str">
        <f t="shared" si="15"/>
        <v>1</v>
      </c>
      <c r="G311" s="153"/>
      <c r="H311" s="95" t="s">
        <v>1099</v>
      </c>
      <c r="I311" s="93" t="s">
        <v>915</v>
      </c>
      <c r="J311" s="93" t="s">
        <v>59</v>
      </c>
    </row>
    <row r="312" spans="1:10" ht="32.25" thickBot="1" x14ac:dyDescent="0.9">
      <c r="A312" s="86"/>
      <c r="B312" s="162"/>
      <c r="C312" s="147" t="str">
        <f t="shared" si="16"/>
        <v>- []</v>
      </c>
      <c r="D312" s="86"/>
      <c r="E312" s="82">
        <f t="shared" si="14"/>
        <v>0</v>
      </c>
      <c r="F312" s="82" t="str">
        <f t="shared" si="15"/>
        <v/>
      </c>
      <c r="G312" s="144"/>
      <c r="H312" s="85" t="s">
        <v>1349</v>
      </c>
      <c r="I312" s="86"/>
      <c r="J312" s="86"/>
    </row>
    <row r="313" spans="1:10" ht="16.5" thickBot="1" x14ac:dyDescent="0.9">
      <c r="A313" s="86" t="s">
        <v>1626</v>
      </c>
      <c r="B313" s="90" t="s">
        <v>1351</v>
      </c>
      <c r="C313" s="147" t="str">
        <f t="shared" si="16"/>
        <v>A.2.7.2.4-Procedure date [Required]</v>
      </c>
      <c r="D313" s="85" t="s">
        <v>1352</v>
      </c>
      <c r="E313" s="82">
        <f t="shared" si="14"/>
        <v>1</v>
      </c>
      <c r="F313" s="82" t="str">
        <f t="shared" si="15"/>
        <v>1</v>
      </c>
      <c r="G313" s="144"/>
      <c r="H313" s="88"/>
      <c r="I313" s="85" t="s">
        <v>883</v>
      </c>
      <c r="J313" s="85" t="s">
        <v>59</v>
      </c>
    </row>
    <row r="314" spans="1:10" ht="16.5" customHeight="1" thickBot="1" x14ac:dyDescent="0.9">
      <c r="A314" s="93" t="s">
        <v>1627</v>
      </c>
      <c r="B314" s="160" t="s">
        <v>1354</v>
      </c>
      <c r="C314" s="147" t="str">
        <f t="shared" si="16"/>
        <v>A.2.7.2.5-Procedure reason [Required]</v>
      </c>
      <c r="D314" s="93" t="s">
        <v>1355</v>
      </c>
      <c r="E314" s="82">
        <f t="shared" si="14"/>
        <v>0</v>
      </c>
      <c r="F314" s="82" t="str">
        <f t="shared" si="15"/>
        <v>1</v>
      </c>
      <c r="G314" s="153"/>
      <c r="H314" s="95" t="s">
        <v>1082</v>
      </c>
      <c r="I314" s="93" t="s">
        <v>915</v>
      </c>
      <c r="J314" s="93" t="s">
        <v>59</v>
      </c>
    </row>
    <row r="315" spans="1:10" ht="16.5" thickBot="1" x14ac:dyDescent="0.9">
      <c r="A315" s="97"/>
      <c r="B315" s="161"/>
      <c r="C315" s="147" t="str">
        <f t="shared" si="16"/>
        <v>- []</v>
      </c>
      <c r="D315" s="97"/>
      <c r="E315" s="82">
        <f t="shared" si="14"/>
        <v>0</v>
      </c>
      <c r="F315" s="82" t="str">
        <f t="shared" si="15"/>
        <v/>
      </c>
      <c r="G315" s="153"/>
      <c r="H315" s="95" t="s">
        <v>1099</v>
      </c>
      <c r="I315" s="97"/>
      <c r="J315" s="97"/>
    </row>
    <row r="316" spans="1:10" ht="16.5" thickBot="1" x14ac:dyDescent="0.9">
      <c r="A316" s="86"/>
      <c r="B316" s="162"/>
      <c r="C316" s="147" t="str">
        <f t="shared" si="16"/>
        <v>- []</v>
      </c>
      <c r="D316" s="86"/>
      <c r="E316" s="82">
        <f t="shared" si="14"/>
        <v>0</v>
      </c>
      <c r="F316" s="82" t="str">
        <f t="shared" si="15"/>
        <v/>
      </c>
      <c r="G316" s="144"/>
      <c r="H316" s="85" t="s">
        <v>1137</v>
      </c>
      <c r="I316" s="86"/>
      <c r="J316" s="86"/>
    </row>
    <row r="317" spans="1:10" ht="16.5" customHeight="1" thickBot="1" x14ac:dyDescent="0.9">
      <c r="A317" s="93" t="s">
        <v>1628</v>
      </c>
      <c r="B317" s="160" t="s">
        <v>1357</v>
      </c>
      <c r="C317" s="147" t="str">
        <f t="shared" si="16"/>
        <v>A.2.7.2.6-Outcome [Optional]</v>
      </c>
      <c r="D317" s="93" t="s">
        <v>1629</v>
      </c>
      <c r="E317" s="82">
        <f t="shared" si="14"/>
        <v>0</v>
      </c>
      <c r="F317" s="82" t="str">
        <f t="shared" si="15"/>
        <v>1</v>
      </c>
      <c r="G317" s="153"/>
      <c r="H317" s="95" t="s">
        <v>1099</v>
      </c>
      <c r="I317" s="93" t="s">
        <v>915</v>
      </c>
      <c r="J317" s="93" t="s">
        <v>912</v>
      </c>
    </row>
    <row r="318" spans="1:10" ht="16.5" thickBot="1" x14ac:dyDescent="0.9">
      <c r="A318" s="97"/>
      <c r="B318" s="161"/>
      <c r="C318" s="147" t="str">
        <f t="shared" si="16"/>
        <v>- []</v>
      </c>
      <c r="D318" s="97"/>
      <c r="E318" s="82">
        <f t="shared" si="14"/>
        <v>0</v>
      </c>
      <c r="F318" s="82" t="str">
        <f t="shared" si="15"/>
        <v/>
      </c>
      <c r="G318" s="153"/>
      <c r="H318" s="95" t="s">
        <v>1359</v>
      </c>
      <c r="I318" s="97"/>
      <c r="J318" s="97"/>
    </row>
    <row r="319" spans="1:10" ht="16.5" thickBot="1" x14ac:dyDescent="0.9">
      <c r="A319" s="97"/>
      <c r="B319" s="161"/>
      <c r="C319" s="147" t="str">
        <f t="shared" si="16"/>
        <v>- []</v>
      </c>
      <c r="D319" s="97"/>
      <c r="E319" s="82">
        <f t="shared" si="14"/>
        <v>0</v>
      </c>
      <c r="F319" s="82" t="str">
        <f t="shared" si="15"/>
        <v/>
      </c>
      <c r="G319" s="153"/>
      <c r="H319" s="95" t="s">
        <v>1360</v>
      </c>
      <c r="I319" s="97"/>
      <c r="J319" s="97"/>
    </row>
    <row r="320" spans="1:10" ht="16.5" thickBot="1" x14ac:dyDescent="0.9">
      <c r="A320" s="86"/>
      <c r="B320" s="162"/>
      <c r="C320" s="147" t="str">
        <f t="shared" si="16"/>
        <v>- []</v>
      </c>
      <c r="D320" s="86"/>
      <c r="E320" s="82">
        <f t="shared" si="14"/>
        <v>0</v>
      </c>
      <c r="F320" s="82" t="str">
        <f t="shared" si="15"/>
        <v/>
      </c>
      <c r="G320" s="144"/>
      <c r="H320" s="85" t="s">
        <v>1361</v>
      </c>
      <c r="I320" s="86"/>
      <c r="J320" s="86"/>
    </row>
    <row r="321" spans="1:10" ht="16.5" customHeight="1" thickBot="1" x14ac:dyDescent="0.9">
      <c r="A321" s="93" t="s">
        <v>1630</v>
      </c>
      <c r="B321" s="160" t="s">
        <v>1631</v>
      </c>
      <c r="C321" s="147" t="str">
        <f t="shared" si="16"/>
        <v>A.2.7.2.7-Complication [Required]</v>
      </c>
      <c r="D321" s="93" t="s">
        <v>1632</v>
      </c>
      <c r="E321" s="82">
        <f t="shared" si="14"/>
        <v>0</v>
      </c>
      <c r="F321" s="82" t="str">
        <f t="shared" si="15"/>
        <v>*</v>
      </c>
      <c r="G321" s="153"/>
      <c r="H321" s="95" t="s">
        <v>1082</v>
      </c>
      <c r="I321" s="93" t="s">
        <v>904</v>
      </c>
      <c r="J321" s="93" t="s">
        <v>59</v>
      </c>
    </row>
    <row r="322" spans="1:10" ht="16.5" thickBot="1" x14ac:dyDescent="0.9">
      <c r="A322" s="97"/>
      <c r="B322" s="161"/>
      <c r="C322" s="147" t="str">
        <f t="shared" si="16"/>
        <v>- []</v>
      </c>
      <c r="D322" s="97"/>
      <c r="E322" s="82">
        <f t="shared" si="14"/>
        <v>0</v>
      </c>
      <c r="F322" s="82" t="str">
        <f t="shared" si="15"/>
        <v/>
      </c>
      <c r="G322" s="153"/>
      <c r="H322" s="95" t="s">
        <v>1099</v>
      </c>
      <c r="I322" s="97"/>
      <c r="J322" s="97"/>
    </row>
    <row r="323" spans="1:10" ht="16.5" thickBot="1" x14ac:dyDescent="0.9">
      <c r="A323" s="86"/>
      <c r="B323" s="162"/>
      <c r="C323" s="147" t="str">
        <f t="shared" si="16"/>
        <v>- []</v>
      </c>
      <c r="D323" s="86"/>
      <c r="E323" s="82">
        <f t="shared" ref="E323:E386" si="17">_xlfn.NUMBERVALUE(MID(I323,1,1))</f>
        <v>0</v>
      </c>
      <c r="F323" s="82" t="str">
        <f t="shared" ref="F323:F386" si="18">MID(I323,4,1)</f>
        <v/>
      </c>
      <c r="G323" s="144"/>
      <c r="H323" s="85" t="s">
        <v>1137</v>
      </c>
      <c r="I323" s="86"/>
      <c r="J323" s="86"/>
    </row>
    <row r="324" spans="1:10" ht="48" thickBot="1" x14ac:dyDescent="0.9">
      <c r="A324" s="86" t="s">
        <v>1633</v>
      </c>
      <c r="B324" s="90" t="s">
        <v>1363</v>
      </c>
      <c r="C324" s="147" t="str">
        <f t="shared" si="16"/>
        <v>A.2.7.2.8-Focal device [Required]</v>
      </c>
      <c r="D324" s="85" t="s">
        <v>1634</v>
      </c>
      <c r="E324" s="82">
        <f t="shared" si="17"/>
        <v>0</v>
      </c>
      <c r="F324" s="82" t="str">
        <f t="shared" si="18"/>
        <v>*</v>
      </c>
      <c r="G324" s="144"/>
      <c r="H324" s="88"/>
      <c r="I324" s="85" t="s">
        <v>904</v>
      </c>
      <c r="J324" s="85" t="s">
        <v>59</v>
      </c>
    </row>
    <row r="325" spans="1:10" ht="79.5" thickBot="1" x14ac:dyDescent="0.9">
      <c r="A325" s="80" t="s">
        <v>1635</v>
      </c>
      <c r="B325" s="84" t="s">
        <v>1636</v>
      </c>
      <c r="C325" s="147" t="str">
        <f t="shared" si="16"/>
        <v>A.2.7.3-Medical devices and implants [Required]</v>
      </c>
      <c r="D325" s="85" t="s">
        <v>1637</v>
      </c>
      <c r="E325" s="82">
        <f t="shared" si="17"/>
        <v>1</v>
      </c>
      <c r="F325" s="82" t="str">
        <f t="shared" si="18"/>
        <v>*</v>
      </c>
      <c r="G325" s="144"/>
      <c r="H325" s="88"/>
      <c r="I325" s="85" t="s">
        <v>890</v>
      </c>
      <c r="J325" s="85" t="s">
        <v>59</v>
      </c>
    </row>
    <row r="326" spans="1:10" ht="16.5" customHeight="1" thickBot="1" x14ac:dyDescent="0.9">
      <c r="A326" s="93" t="s">
        <v>1638</v>
      </c>
      <c r="B326" s="166" t="s">
        <v>1319</v>
      </c>
      <c r="C326" s="147" t="str">
        <f t="shared" ref="C326:C389" si="19">CONCATENATE(A326,"-",B326," [",J326,"]")</f>
        <v>A.2.7.3.1-Device and implant description [Mandatory]</v>
      </c>
      <c r="D326" s="93" t="s">
        <v>1320</v>
      </c>
      <c r="E326" s="82">
        <f t="shared" si="17"/>
        <v>1</v>
      </c>
      <c r="F326" s="82" t="str">
        <f t="shared" si="18"/>
        <v>1</v>
      </c>
      <c r="G326" s="153"/>
      <c r="H326" s="120" t="s">
        <v>1099</v>
      </c>
      <c r="I326" s="93" t="s">
        <v>883</v>
      </c>
      <c r="J326" s="93" t="s">
        <v>884</v>
      </c>
    </row>
    <row r="327" spans="1:10" ht="16.5" thickBot="1" x14ac:dyDescent="0.9">
      <c r="A327" s="86"/>
      <c r="B327" s="167"/>
      <c r="C327" s="147" t="str">
        <f t="shared" si="19"/>
        <v>- []</v>
      </c>
      <c r="D327" s="86"/>
      <c r="E327" s="82">
        <f t="shared" si="17"/>
        <v>0</v>
      </c>
      <c r="F327" s="82" t="str">
        <f t="shared" si="18"/>
        <v/>
      </c>
      <c r="G327" s="144"/>
      <c r="H327" s="89" t="s">
        <v>1323</v>
      </c>
      <c r="I327" s="86"/>
      <c r="J327" s="86"/>
    </row>
    <row r="328" spans="1:10" ht="32.25" thickBot="1" x14ac:dyDescent="0.9">
      <c r="A328" s="86" t="s">
        <v>1639</v>
      </c>
      <c r="B328" s="90" t="s">
        <v>1325</v>
      </c>
      <c r="C328" s="147" t="str">
        <f t="shared" si="19"/>
        <v>A.2.7.3.2-Device ID [Optional]</v>
      </c>
      <c r="D328" s="85" t="s">
        <v>1326</v>
      </c>
      <c r="E328" s="82">
        <f t="shared" si="17"/>
        <v>0</v>
      </c>
      <c r="F328" s="82" t="str">
        <f t="shared" si="18"/>
        <v>1</v>
      </c>
      <c r="G328" s="144"/>
      <c r="H328" s="88"/>
      <c r="I328" s="85" t="s">
        <v>915</v>
      </c>
      <c r="J328" s="85" t="s">
        <v>912</v>
      </c>
    </row>
    <row r="329" spans="1:10" ht="16.5" thickBot="1" x14ac:dyDescent="0.9">
      <c r="A329" s="86" t="s">
        <v>1640</v>
      </c>
      <c r="B329" s="90" t="s">
        <v>1328</v>
      </c>
      <c r="C329" s="147" t="str">
        <f t="shared" si="19"/>
        <v>A.2.7.3.3-Implant date [Required]</v>
      </c>
      <c r="D329" s="85" t="s">
        <v>1329</v>
      </c>
      <c r="E329" s="82">
        <f t="shared" si="17"/>
        <v>1</v>
      </c>
      <c r="F329" s="82" t="str">
        <f t="shared" si="18"/>
        <v>1</v>
      </c>
      <c r="G329" s="144"/>
      <c r="H329" s="88"/>
      <c r="I329" s="85" t="s">
        <v>883</v>
      </c>
      <c r="J329" s="85" t="s">
        <v>59</v>
      </c>
    </row>
    <row r="330" spans="1:10" ht="48" thickBot="1" x14ac:dyDescent="0.9">
      <c r="A330" s="86" t="s">
        <v>1641</v>
      </c>
      <c r="B330" s="90" t="s">
        <v>1116</v>
      </c>
      <c r="C330" s="147" t="str">
        <f t="shared" si="19"/>
        <v>A.2.7.3.4-End date [Required]</v>
      </c>
      <c r="D330" s="85" t="s">
        <v>1331</v>
      </c>
      <c r="E330" s="82">
        <f t="shared" si="17"/>
        <v>0</v>
      </c>
      <c r="F330" s="82" t="str">
        <f t="shared" si="18"/>
        <v>1</v>
      </c>
      <c r="G330" s="144"/>
      <c r="H330" s="88"/>
      <c r="I330" s="85" t="s">
        <v>915</v>
      </c>
      <c r="J330" s="85" t="s">
        <v>59</v>
      </c>
    </row>
    <row r="331" spans="1:10" ht="16.5" thickBot="1" x14ac:dyDescent="0.9">
      <c r="A331" s="93" t="s">
        <v>1642</v>
      </c>
      <c r="B331" s="160" t="s">
        <v>1333</v>
      </c>
      <c r="C331" s="147" t="str">
        <f t="shared" si="19"/>
        <v>A.2.7.3.5-Reason [Optional]</v>
      </c>
      <c r="D331" s="93" t="s">
        <v>1334</v>
      </c>
      <c r="E331" s="82">
        <f t="shared" si="17"/>
        <v>0</v>
      </c>
      <c r="F331" s="82" t="str">
        <f t="shared" si="18"/>
        <v>1</v>
      </c>
      <c r="G331" s="153"/>
      <c r="H331" s="95" t="s">
        <v>1082</v>
      </c>
      <c r="I331" s="93" t="s">
        <v>915</v>
      </c>
      <c r="J331" s="93" t="s">
        <v>912</v>
      </c>
    </row>
    <row r="332" spans="1:10" ht="16.5" thickBot="1" x14ac:dyDescent="0.9">
      <c r="A332" s="97"/>
      <c r="B332" s="161"/>
      <c r="C332" s="147" t="str">
        <f t="shared" si="19"/>
        <v>- []</v>
      </c>
      <c r="D332" s="97"/>
      <c r="E332" s="82">
        <f t="shared" si="17"/>
        <v>0</v>
      </c>
      <c r="F332" s="82" t="str">
        <f t="shared" si="18"/>
        <v/>
      </c>
      <c r="G332" s="153"/>
      <c r="H332" s="95" t="s">
        <v>1099</v>
      </c>
      <c r="I332" s="97"/>
      <c r="J332" s="97"/>
    </row>
    <row r="333" spans="1:10" ht="16.5" thickBot="1" x14ac:dyDescent="0.9">
      <c r="A333" s="86"/>
      <c r="B333" s="162"/>
      <c r="C333" s="147" t="str">
        <f t="shared" si="19"/>
        <v>- []</v>
      </c>
      <c r="D333" s="86"/>
      <c r="E333" s="82">
        <f t="shared" si="17"/>
        <v>0</v>
      </c>
      <c r="F333" s="82" t="str">
        <f t="shared" si="18"/>
        <v/>
      </c>
      <c r="G333" s="144"/>
      <c r="H333" s="85" t="s">
        <v>1137</v>
      </c>
      <c r="I333" s="86"/>
      <c r="J333" s="86"/>
    </row>
    <row r="334" spans="1:10" ht="16.5" customHeight="1" thickBot="1" x14ac:dyDescent="0.9">
      <c r="A334" s="80" t="s">
        <v>1643</v>
      </c>
      <c r="B334" s="84" t="s">
        <v>1644</v>
      </c>
      <c r="C334" s="147" t="str">
        <f t="shared" si="19"/>
        <v>A.2.7.4-Another significant treatment [Optional]</v>
      </c>
      <c r="D334" s="129" t="s">
        <v>1645</v>
      </c>
      <c r="E334" s="82">
        <f t="shared" si="17"/>
        <v>0</v>
      </c>
      <c r="F334" s="82" t="str">
        <f t="shared" si="18"/>
        <v>*</v>
      </c>
      <c r="G334" s="82"/>
      <c r="H334" s="130"/>
      <c r="I334" s="85" t="s">
        <v>904</v>
      </c>
      <c r="J334" s="85" t="s">
        <v>912</v>
      </c>
    </row>
    <row r="335" spans="1:10" ht="16.5" thickBot="1" x14ac:dyDescent="0.9">
      <c r="A335" s="86" t="s">
        <v>1646</v>
      </c>
      <c r="B335" s="90" t="s">
        <v>1647</v>
      </c>
      <c r="C335" s="147" t="str">
        <f t="shared" si="19"/>
        <v>A.2.7.4.1-Pocedure code [Optional]</v>
      </c>
      <c r="D335" s="85" t="s">
        <v>1623</v>
      </c>
      <c r="E335" s="82">
        <f t="shared" si="17"/>
        <v>0</v>
      </c>
      <c r="F335" s="82" t="str">
        <f t="shared" si="18"/>
        <v>*</v>
      </c>
      <c r="G335" s="144"/>
      <c r="H335" s="85" t="s">
        <v>1099</v>
      </c>
      <c r="I335" s="85" t="s">
        <v>904</v>
      </c>
      <c r="J335" s="85" t="s">
        <v>912</v>
      </c>
    </row>
    <row r="336" spans="1:10" ht="16.5" thickBot="1" x14ac:dyDescent="0.9">
      <c r="A336" s="86" t="s">
        <v>1648</v>
      </c>
      <c r="B336" s="90" t="s">
        <v>1344</v>
      </c>
      <c r="C336" s="147" t="str">
        <f t="shared" si="19"/>
        <v>A.2.7.4.2-Procedure description [Mandatory]</v>
      </c>
      <c r="D336" s="85" t="s">
        <v>1345</v>
      </c>
      <c r="E336" s="82">
        <f t="shared" si="17"/>
        <v>1</v>
      </c>
      <c r="F336" s="82" t="str">
        <f t="shared" si="18"/>
        <v>1</v>
      </c>
      <c r="G336" s="144"/>
      <c r="H336" s="88"/>
      <c r="I336" s="85" t="s">
        <v>883</v>
      </c>
      <c r="J336" s="85" t="s">
        <v>884</v>
      </c>
    </row>
    <row r="337" spans="1:10" ht="16.5" thickBot="1" x14ac:dyDescent="0.9">
      <c r="A337" s="93" t="s">
        <v>1649</v>
      </c>
      <c r="B337" s="160" t="s">
        <v>1347</v>
      </c>
      <c r="C337" s="147" t="str">
        <f t="shared" si="19"/>
        <v>A.2.7.4.3-Body site [Required]</v>
      </c>
      <c r="D337" s="93" t="s">
        <v>1348</v>
      </c>
      <c r="E337" s="82">
        <f t="shared" si="17"/>
        <v>0</v>
      </c>
      <c r="F337" s="82" t="str">
        <f t="shared" si="18"/>
        <v/>
      </c>
      <c r="G337" s="153"/>
      <c r="H337" s="95" t="s">
        <v>1099</v>
      </c>
      <c r="I337" s="93" t="s">
        <v>1442</v>
      </c>
      <c r="J337" s="93" t="s">
        <v>59</v>
      </c>
    </row>
    <row r="338" spans="1:10" ht="32.25" thickBot="1" x14ac:dyDescent="0.9">
      <c r="A338" s="86"/>
      <c r="B338" s="162"/>
      <c r="C338" s="147" t="str">
        <f t="shared" si="19"/>
        <v>- []</v>
      </c>
      <c r="D338" s="86"/>
      <c r="E338" s="82">
        <f t="shared" si="17"/>
        <v>0</v>
      </c>
      <c r="F338" s="82" t="str">
        <f t="shared" si="18"/>
        <v/>
      </c>
      <c r="G338" s="144"/>
      <c r="H338" s="85" t="s">
        <v>1349</v>
      </c>
      <c r="I338" s="86"/>
      <c r="J338" s="86"/>
    </row>
    <row r="339" spans="1:10" ht="16.5" thickBot="1" x14ac:dyDescent="0.9">
      <c r="A339" s="86" t="s">
        <v>1650</v>
      </c>
      <c r="B339" s="90" t="s">
        <v>1351</v>
      </c>
      <c r="C339" s="147" t="str">
        <f t="shared" si="19"/>
        <v>A.2.7.4.4-Procedure date [Required]</v>
      </c>
      <c r="D339" s="85" t="s">
        <v>1352</v>
      </c>
      <c r="E339" s="82">
        <f t="shared" si="17"/>
        <v>1</v>
      </c>
      <c r="F339" s="82" t="str">
        <f t="shared" si="18"/>
        <v>1</v>
      </c>
      <c r="G339" s="144"/>
      <c r="H339" s="88"/>
      <c r="I339" s="85" t="s">
        <v>883</v>
      </c>
      <c r="J339" s="85" t="s">
        <v>59</v>
      </c>
    </row>
    <row r="340" spans="1:10" ht="16.5" customHeight="1" thickBot="1" x14ac:dyDescent="0.9">
      <c r="A340" s="93" t="s">
        <v>1651</v>
      </c>
      <c r="B340" s="160" t="s">
        <v>1354</v>
      </c>
      <c r="C340" s="147" t="str">
        <f t="shared" si="19"/>
        <v>A.2.7.4.5-Procedure reason [Required]</v>
      </c>
      <c r="D340" s="93" t="s">
        <v>1355</v>
      </c>
      <c r="E340" s="82">
        <f t="shared" si="17"/>
        <v>0</v>
      </c>
      <c r="F340" s="82" t="str">
        <f t="shared" si="18"/>
        <v>1</v>
      </c>
      <c r="G340" s="153"/>
      <c r="H340" s="95" t="s">
        <v>1082</v>
      </c>
      <c r="I340" s="93" t="s">
        <v>915</v>
      </c>
      <c r="J340" s="93" t="s">
        <v>59</v>
      </c>
    </row>
    <row r="341" spans="1:10" ht="16.5" thickBot="1" x14ac:dyDescent="0.9">
      <c r="A341" s="97"/>
      <c r="B341" s="161"/>
      <c r="C341" s="147" t="str">
        <f t="shared" si="19"/>
        <v>- []</v>
      </c>
      <c r="D341" s="97"/>
      <c r="E341" s="82">
        <f t="shared" si="17"/>
        <v>0</v>
      </c>
      <c r="F341" s="82" t="str">
        <f t="shared" si="18"/>
        <v/>
      </c>
      <c r="G341" s="153"/>
      <c r="H341" s="95" t="s">
        <v>1099</v>
      </c>
      <c r="I341" s="97"/>
      <c r="J341" s="97"/>
    </row>
    <row r="342" spans="1:10" ht="16.5" thickBot="1" x14ac:dyDescent="0.9">
      <c r="A342" s="86"/>
      <c r="B342" s="162"/>
      <c r="C342" s="147" t="str">
        <f t="shared" si="19"/>
        <v>- []</v>
      </c>
      <c r="D342" s="86"/>
      <c r="E342" s="82">
        <f t="shared" si="17"/>
        <v>0</v>
      </c>
      <c r="F342" s="82" t="str">
        <f t="shared" si="18"/>
        <v/>
      </c>
      <c r="G342" s="144"/>
      <c r="H342" s="85" t="s">
        <v>1137</v>
      </c>
      <c r="I342" s="86"/>
      <c r="J342" s="86"/>
    </row>
    <row r="343" spans="1:10" ht="16.5" customHeight="1" thickBot="1" x14ac:dyDescent="0.9">
      <c r="A343" s="113" t="s">
        <v>1652</v>
      </c>
      <c r="B343" s="163" t="s">
        <v>1653</v>
      </c>
      <c r="C343" s="147" t="str">
        <f t="shared" si="19"/>
        <v>A.2.7.5-Pharmacotherapy [Required]</v>
      </c>
      <c r="D343" s="115" t="s">
        <v>1654</v>
      </c>
      <c r="E343" s="82">
        <f t="shared" si="17"/>
        <v>0</v>
      </c>
      <c r="F343" s="82" t="str">
        <f t="shared" si="18"/>
        <v>*</v>
      </c>
      <c r="G343" s="122"/>
      <c r="H343" s="116"/>
      <c r="I343" s="93" t="s">
        <v>904</v>
      </c>
      <c r="J343" s="93" t="s">
        <v>59</v>
      </c>
    </row>
    <row r="344" spans="1:10" ht="16.5" customHeight="1" thickBot="1" x14ac:dyDescent="0.9">
      <c r="A344" s="80"/>
      <c r="B344" s="165"/>
      <c r="C344" s="147" t="str">
        <f t="shared" si="19"/>
        <v>- []</v>
      </c>
      <c r="D344" s="117" t="s">
        <v>1655</v>
      </c>
      <c r="E344" s="82">
        <f t="shared" si="17"/>
        <v>0</v>
      </c>
      <c r="F344" s="82" t="str">
        <f t="shared" si="18"/>
        <v/>
      </c>
      <c r="G344" s="144"/>
      <c r="H344" s="85"/>
      <c r="I344" s="86"/>
      <c r="J344" s="86"/>
    </row>
    <row r="345" spans="1:10" ht="16.5" customHeight="1" thickBot="1" x14ac:dyDescent="0.9">
      <c r="A345" s="93" t="s">
        <v>1656</v>
      </c>
      <c r="B345" s="168" t="s">
        <v>1657</v>
      </c>
      <c r="C345" s="147" t="str">
        <f t="shared" si="19"/>
        <v>A.2.7.5.1-Medication reason [Required]</v>
      </c>
      <c r="D345" s="93" t="s">
        <v>1658</v>
      </c>
      <c r="E345" s="82">
        <f t="shared" si="17"/>
        <v>0</v>
      </c>
      <c r="F345" s="82" t="str">
        <f t="shared" si="18"/>
        <v>1</v>
      </c>
      <c r="G345" s="153"/>
      <c r="H345" s="95" t="s">
        <v>1082</v>
      </c>
      <c r="I345" s="93" t="s">
        <v>915</v>
      </c>
      <c r="J345" s="93" t="s">
        <v>59</v>
      </c>
    </row>
    <row r="346" spans="1:10" ht="16.5" thickBot="1" x14ac:dyDescent="0.9">
      <c r="A346" s="97"/>
      <c r="B346" s="169"/>
      <c r="C346" s="147" t="str">
        <f t="shared" si="19"/>
        <v>- []</v>
      </c>
      <c r="D346" s="97"/>
      <c r="E346" s="82">
        <f t="shared" si="17"/>
        <v>0</v>
      </c>
      <c r="F346" s="82" t="str">
        <f t="shared" si="18"/>
        <v/>
      </c>
      <c r="G346" s="153"/>
      <c r="H346" s="95" t="s">
        <v>1099</v>
      </c>
      <c r="I346" s="97"/>
      <c r="J346" s="97"/>
    </row>
    <row r="347" spans="1:10" ht="16.5" thickBot="1" x14ac:dyDescent="0.9">
      <c r="A347" s="86"/>
      <c r="B347" s="170"/>
      <c r="C347" s="147" t="str">
        <f t="shared" si="19"/>
        <v>- []</v>
      </c>
      <c r="D347" s="86"/>
      <c r="E347" s="82">
        <f t="shared" si="17"/>
        <v>0</v>
      </c>
      <c r="F347" s="82" t="str">
        <f t="shared" si="18"/>
        <v/>
      </c>
      <c r="G347" s="144"/>
      <c r="H347" s="85" t="s">
        <v>1137</v>
      </c>
      <c r="I347" s="86"/>
      <c r="J347" s="86"/>
    </row>
    <row r="348" spans="1:10" ht="32.25" thickBot="1" x14ac:dyDescent="0.9">
      <c r="A348" s="86" t="s">
        <v>1659</v>
      </c>
      <c r="B348" s="90" t="s">
        <v>1660</v>
      </c>
      <c r="C348" s="147" t="str">
        <f t="shared" si="19"/>
        <v>A.2.7.5.2-Intended use [Required]</v>
      </c>
      <c r="D348" s="85" t="s">
        <v>1661</v>
      </c>
      <c r="E348" s="82">
        <f t="shared" si="17"/>
        <v>0</v>
      </c>
      <c r="F348" s="82" t="str">
        <f t="shared" si="18"/>
        <v>*</v>
      </c>
      <c r="G348" s="144"/>
      <c r="H348" s="88"/>
      <c r="I348" s="85" t="s">
        <v>904</v>
      </c>
      <c r="J348" s="85" t="s">
        <v>59</v>
      </c>
    </row>
    <row r="349" spans="1:10" ht="32.25" thickBot="1" x14ac:dyDescent="0.9">
      <c r="A349" s="86" t="s">
        <v>1662</v>
      </c>
      <c r="B349" s="90" t="s">
        <v>1663</v>
      </c>
      <c r="C349" s="147" t="str">
        <f t="shared" si="19"/>
        <v>A.2.7.5.3-Brand name [Required]</v>
      </c>
      <c r="D349" s="85" t="s">
        <v>1664</v>
      </c>
      <c r="E349" s="82">
        <f t="shared" si="17"/>
        <v>1</v>
      </c>
      <c r="F349" s="82" t="str">
        <f t="shared" si="18"/>
        <v>1</v>
      </c>
      <c r="G349" s="144"/>
      <c r="H349" s="88"/>
      <c r="I349" s="85" t="s">
        <v>883</v>
      </c>
      <c r="J349" s="85" t="s">
        <v>59</v>
      </c>
    </row>
    <row r="350" spans="1:10" ht="48" thickBot="1" x14ac:dyDescent="0.9">
      <c r="A350" s="86" t="s">
        <v>1665</v>
      </c>
      <c r="B350" s="108" t="s">
        <v>1666</v>
      </c>
      <c r="C350" s="147" t="str">
        <f t="shared" si="19"/>
        <v>A.2.7.5.4-Active ingredient list [Optional]</v>
      </c>
      <c r="D350" s="85" t="s">
        <v>1667</v>
      </c>
      <c r="E350" s="82">
        <f t="shared" si="17"/>
        <v>0</v>
      </c>
      <c r="F350" s="82" t="str">
        <f t="shared" si="18"/>
        <v>*</v>
      </c>
      <c r="G350" s="144"/>
      <c r="H350" s="85" t="s">
        <v>1374</v>
      </c>
      <c r="I350" s="85" t="s">
        <v>904</v>
      </c>
      <c r="J350" s="85" t="s">
        <v>912</v>
      </c>
    </row>
    <row r="351" spans="1:10" ht="16.5" customHeight="1" thickBot="1" x14ac:dyDescent="0.9">
      <c r="A351" s="93" t="s">
        <v>1668</v>
      </c>
      <c r="B351" s="168" t="s">
        <v>1669</v>
      </c>
      <c r="C351" s="147" t="str">
        <f t="shared" si="19"/>
        <v>A.2.7.5.5-Strength [Optional]</v>
      </c>
      <c r="D351" s="93" t="s">
        <v>1670</v>
      </c>
      <c r="E351" s="82">
        <f t="shared" si="17"/>
        <v>0</v>
      </c>
      <c r="F351" s="82" t="str">
        <f t="shared" si="18"/>
        <v>*</v>
      </c>
      <c r="G351" s="153"/>
      <c r="H351" s="95" t="s">
        <v>1671</v>
      </c>
      <c r="I351" s="93" t="s">
        <v>904</v>
      </c>
      <c r="J351" s="93" t="s">
        <v>912</v>
      </c>
    </row>
    <row r="352" spans="1:10" ht="16.5" thickBot="1" x14ac:dyDescent="0.9">
      <c r="A352" s="86"/>
      <c r="B352" s="170"/>
      <c r="C352" s="147" t="str">
        <f t="shared" si="19"/>
        <v>- []</v>
      </c>
      <c r="D352" s="86"/>
      <c r="E352" s="82">
        <f t="shared" si="17"/>
        <v>0</v>
      </c>
      <c r="F352" s="82" t="str">
        <f t="shared" si="18"/>
        <v/>
      </c>
      <c r="G352" s="144"/>
      <c r="H352" s="85" t="s">
        <v>1672</v>
      </c>
      <c r="I352" s="86"/>
      <c r="J352" s="86"/>
    </row>
    <row r="353" spans="1:10" ht="32.25" thickBot="1" x14ac:dyDescent="0.9">
      <c r="A353" s="86" t="s">
        <v>1673</v>
      </c>
      <c r="B353" s="108" t="s">
        <v>1674</v>
      </c>
      <c r="C353" s="147" t="str">
        <f t="shared" si="19"/>
        <v>A.2.7.5.6-Pharmaceutical dose form [Optional]</v>
      </c>
      <c r="D353" s="85" t="s">
        <v>1675</v>
      </c>
      <c r="E353" s="82">
        <f t="shared" si="17"/>
        <v>0</v>
      </c>
      <c r="F353" s="82" t="str">
        <f t="shared" si="18"/>
        <v>1</v>
      </c>
      <c r="G353" s="144"/>
      <c r="H353" s="85" t="s">
        <v>1585</v>
      </c>
      <c r="I353" s="85" t="s">
        <v>915</v>
      </c>
      <c r="J353" s="85" t="s">
        <v>912</v>
      </c>
    </row>
    <row r="354" spans="1:10" ht="32.25" thickBot="1" x14ac:dyDescent="0.9">
      <c r="A354" s="86" t="s">
        <v>1676</v>
      </c>
      <c r="B354" s="92" t="s">
        <v>1677</v>
      </c>
      <c r="C354" s="147" t="str">
        <f t="shared" si="19"/>
        <v>A.2.7.5.7-Dosage Regimen [Optional]</v>
      </c>
      <c r="D354" s="85" t="s">
        <v>1678</v>
      </c>
      <c r="E354" s="82">
        <f t="shared" si="17"/>
        <v>0</v>
      </c>
      <c r="F354" s="82" t="str">
        <f t="shared" si="18"/>
        <v>*</v>
      </c>
      <c r="G354" s="144"/>
      <c r="H354" s="88"/>
      <c r="I354" s="85" t="s">
        <v>904</v>
      </c>
      <c r="J354" s="85" t="s">
        <v>912</v>
      </c>
    </row>
    <row r="355" spans="1:10" ht="32.25" thickBot="1" x14ac:dyDescent="0.9">
      <c r="A355" s="86" t="s">
        <v>1679</v>
      </c>
      <c r="B355" s="92" t="s">
        <v>1584</v>
      </c>
      <c r="C355" s="147" t="str">
        <f t="shared" si="19"/>
        <v>A.2.7.5.8-Route of administration [Optional]</v>
      </c>
      <c r="D355" s="85" t="s">
        <v>1680</v>
      </c>
      <c r="E355" s="82">
        <f t="shared" si="17"/>
        <v>0</v>
      </c>
      <c r="F355" s="82" t="str">
        <f t="shared" si="18"/>
        <v>1</v>
      </c>
      <c r="G355" s="144"/>
      <c r="H355" s="85" t="s">
        <v>1585</v>
      </c>
      <c r="I355" s="85" t="s">
        <v>915</v>
      </c>
      <c r="J355" s="85" t="s">
        <v>912</v>
      </c>
    </row>
    <row r="356" spans="1:10" ht="32.25" thickBot="1" x14ac:dyDescent="0.9">
      <c r="A356" s="86" t="s">
        <v>1681</v>
      </c>
      <c r="B356" s="92" t="s">
        <v>1682</v>
      </c>
      <c r="C356" s="147" t="str">
        <f t="shared" si="19"/>
        <v>A.2.7.5.9-Period of treatement [Required]</v>
      </c>
      <c r="D356" s="85" t="s">
        <v>1683</v>
      </c>
      <c r="E356" s="82">
        <f t="shared" si="17"/>
        <v>0</v>
      </c>
      <c r="F356" s="82" t="str">
        <f t="shared" si="18"/>
        <v>1</v>
      </c>
      <c r="G356" s="144"/>
      <c r="H356" s="88"/>
      <c r="I356" s="85" t="s">
        <v>915</v>
      </c>
      <c r="J356" s="85" t="s">
        <v>59</v>
      </c>
    </row>
    <row r="357" spans="1:10" ht="16.5" customHeight="1" thickBot="1" x14ac:dyDescent="0.9">
      <c r="A357" s="80" t="s">
        <v>1684</v>
      </c>
      <c r="B357" s="84" t="s">
        <v>1685</v>
      </c>
      <c r="C357" s="147" t="str">
        <f t="shared" si="19"/>
        <v>A.2.7.6-Significant  Observation Results [Required]</v>
      </c>
      <c r="D357" s="129" t="s">
        <v>1686</v>
      </c>
      <c r="E357" s="82">
        <f t="shared" si="17"/>
        <v>0</v>
      </c>
      <c r="F357" s="82" t="str">
        <f t="shared" si="18"/>
        <v>*</v>
      </c>
      <c r="G357" s="82"/>
      <c r="H357" s="130"/>
      <c r="I357" s="85" t="s">
        <v>904</v>
      </c>
      <c r="J357" s="85" t="s">
        <v>59</v>
      </c>
    </row>
    <row r="358" spans="1:10" ht="16.5" thickBot="1" x14ac:dyDescent="0.9">
      <c r="A358" s="86" t="s">
        <v>1687</v>
      </c>
      <c r="B358" s="90" t="s">
        <v>61</v>
      </c>
      <c r="C358" s="147" t="str">
        <f t="shared" si="19"/>
        <v>A.2.7.6.1-Date [Required]</v>
      </c>
      <c r="D358" s="85" t="s">
        <v>1688</v>
      </c>
      <c r="E358" s="82">
        <f t="shared" si="17"/>
        <v>1</v>
      </c>
      <c r="F358" s="82" t="str">
        <f t="shared" si="18"/>
        <v>1</v>
      </c>
      <c r="G358" s="144"/>
      <c r="H358" s="88"/>
      <c r="I358" s="85" t="s">
        <v>883</v>
      </c>
      <c r="J358" s="85" t="s">
        <v>59</v>
      </c>
    </row>
    <row r="359" spans="1:10" ht="16.5" thickBot="1" x14ac:dyDescent="0.9">
      <c r="A359" s="86" t="s">
        <v>1689</v>
      </c>
      <c r="B359" s="90" t="s">
        <v>1690</v>
      </c>
      <c r="C359" s="147" t="str">
        <f t="shared" si="19"/>
        <v>A.2.7.6.2-Observation status [Required]</v>
      </c>
      <c r="D359" s="85" t="s">
        <v>1691</v>
      </c>
      <c r="E359" s="82">
        <f t="shared" si="17"/>
        <v>1</v>
      </c>
      <c r="F359" s="82" t="str">
        <f t="shared" si="18"/>
        <v>1</v>
      </c>
      <c r="G359" s="144"/>
      <c r="H359" s="89" t="s">
        <v>1692</v>
      </c>
      <c r="I359" s="85" t="s">
        <v>883</v>
      </c>
      <c r="J359" s="85" t="s">
        <v>59</v>
      </c>
    </row>
    <row r="360" spans="1:10" ht="16.5" thickBot="1" x14ac:dyDescent="0.9">
      <c r="A360" s="86" t="s">
        <v>1693</v>
      </c>
      <c r="B360" s="90" t="s">
        <v>1279</v>
      </c>
      <c r="C360" s="147" t="str">
        <f t="shared" si="19"/>
        <v>A.2.7.6.3-Result description [Optional]</v>
      </c>
      <c r="D360" s="85" t="s">
        <v>1280</v>
      </c>
      <c r="E360" s="82">
        <f t="shared" si="17"/>
        <v>0</v>
      </c>
      <c r="F360" s="82" t="str">
        <f t="shared" si="18"/>
        <v>1</v>
      </c>
      <c r="G360" s="144"/>
      <c r="H360" s="88"/>
      <c r="I360" s="85" t="s">
        <v>915</v>
      </c>
      <c r="J360" s="85" t="s">
        <v>912</v>
      </c>
    </row>
    <row r="361" spans="1:10" ht="16.5" customHeight="1" thickBot="1" x14ac:dyDescent="0.9">
      <c r="A361" s="93" t="s">
        <v>1694</v>
      </c>
      <c r="B361" s="160" t="s">
        <v>1281</v>
      </c>
      <c r="C361" s="147" t="str">
        <f t="shared" si="19"/>
        <v>A.2.7.6.4-Observation details [Required]</v>
      </c>
      <c r="D361" s="93" t="s">
        <v>1234</v>
      </c>
      <c r="E361" s="82">
        <f t="shared" si="17"/>
        <v>1</v>
      </c>
      <c r="F361" s="82" t="str">
        <f t="shared" si="18"/>
        <v>1</v>
      </c>
      <c r="G361" s="153"/>
      <c r="H361" s="95" t="s">
        <v>1035</v>
      </c>
      <c r="I361" s="93" t="s">
        <v>883</v>
      </c>
      <c r="J361" s="93" t="s">
        <v>59</v>
      </c>
    </row>
    <row r="362" spans="1:10" ht="16.5" thickBot="1" x14ac:dyDescent="0.9">
      <c r="A362" s="97"/>
      <c r="B362" s="161"/>
      <c r="C362" s="147" t="str">
        <f t="shared" si="19"/>
        <v>- []</v>
      </c>
      <c r="D362" s="97"/>
      <c r="E362" s="82">
        <f t="shared" si="17"/>
        <v>0</v>
      </c>
      <c r="F362" s="82" t="str">
        <f t="shared" si="18"/>
        <v/>
      </c>
      <c r="G362" s="153"/>
      <c r="H362" s="95" t="s">
        <v>1695</v>
      </c>
      <c r="I362" s="97"/>
      <c r="J362" s="97"/>
    </row>
    <row r="363" spans="1:10" ht="16.5" thickBot="1" x14ac:dyDescent="0.9">
      <c r="A363" s="97"/>
      <c r="B363" s="161"/>
      <c r="C363" s="147" t="str">
        <f t="shared" si="19"/>
        <v>- []</v>
      </c>
      <c r="D363" s="97"/>
      <c r="E363" s="82">
        <f t="shared" si="17"/>
        <v>0</v>
      </c>
      <c r="F363" s="82" t="str">
        <f t="shared" si="18"/>
        <v/>
      </c>
      <c r="G363" s="153"/>
      <c r="H363" s="95" t="s">
        <v>1099</v>
      </c>
      <c r="I363" s="97"/>
      <c r="J363" s="97"/>
    </row>
    <row r="364" spans="1:10" ht="16.5" thickBot="1" x14ac:dyDescent="0.9">
      <c r="A364" s="86"/>
      <c r="B364" s="162"/>
      <c r="C364" s="147" t="str">
        <f t="shared" si="19"/>
        <v>- []</v>
      </c>
      <c r="D364" s="86"/>
      <c r="E364" s="82">
        <f t="shared" si="17"/>
        <v>0</v>
      </c>
      <c r="F364" s="82" t="str">
        <f t="shared" si="18"/>
        <v/>
      </c>
      <c r="G364" s="144"/>
      <c r="H364" s="85" t="s">
        <v>1696</v>
      </c>
      <c r="I364" s="86"/>
      <c r="J364" s="86"/>
    </row>
    <row r="365" spans="1:10" ht="16.5" customHeight="1" thickBot="1" x14ac:dyDescent="0.9">
      <c r="A365" s="93" t="s">
        <v>1697</v>
      </c>
      <c r="B365" s="166" t="s">
        <v>1238</v>
      </c>
      <c r="C365" s="147" t="str">
        <f t="shared" si="19"/>
        <v>A.2.7.6.5-Observation result [Required]</v>
      </c>
      <c r="D365" s="93" t="s">
        <v>1698</v>
      </c>
      <c r="E365" s="82">
        <f t="shared" si="17"/>
        <v>0</v>
      </c>
      <c r="F365" s="82" t="str">
        <f t="shared" si="18"/>
        <v>1</v>
      </c>
      <c r="G365" s="153"/>
      <c r="H365" s="95" t="s">
        <v>1099</v>
      </c>
      <c r="I365" s="93" t="s">
        <v>915</v>
      </c>
      <c r="J365" s="93" t="s">
        <v>59</v>
      </c>
    </row>
    <row r="366" spans="1:10" ht="16.5" thickBot="1" x14ac:dyDescent="0.9">
      <c r="A366" s="86"/>
      <c r="B366" s="167"/>
      <c r="C366" s="147" t="str">
        <f t="shared" si="19"/>
        <v>- []</v>
      </c>
      <c r="D366" s="86"/>
      <c r="E366" s="82">
        <f t="shared" si="17"/>
        <v>0</v>
      </c>
      <c r="F366" s="82" t="str">
        <f t="shared" si="18"/>
        <v/>
      </c>
      <c r="G366" s="144"/>
      <c r="H366" s="85" t="s">
        <v>1671</v>
      </c>
      <c r="I366" s="86"/>
      <c r="J366" s="86"/>
    </row>
    <row r="367" spans="1:10" ht="48" thickBot="1" x14ac:dyDescent="0.9">
      <c r="A367" s="86" t="s">
        <v>1699</v>
      </c>
      <c r="B367" s="90" t="s">
        <v>1223</v>
      </c>
      <c r="C367" s="147" t="str">
        <f t="shared" si="19"/>
        <v>A.2.7.6.6-Performer [Required]</v>
      </c>
      <c r="D367" s="85" t="s">
        <v>1700</v>
      </c>
      <c r="E367" s="82">
        <f t="shared" si="17"/>
        <v>0</v>
      </c>
      <c r="F367" s="82" t="str">
        <f t="shared" si="18"/>
        <v>*</v>
      </c>
      <c r="G367" s="144"/>
      <c r="H367" s="88"/>
      <c r="I367" s="85" t="s">
        <v>904</v>
      </c>
      <c r="J367" s="85" t="s">
        <v>59</v>
      </c>
    </row>
    <row r="368" spans="1:10" ht="32.25" thickBot="1" x14ac:dyDescent="0.9">
      <c r="A368" s="86" t="s">
        <v>1701</v>
      </c>
      <c r="B368" s="90" t="s">
        <v>1702</v>
      </c>
      <c r="C368" s="147" t="str">
        <f t="shared" si="19"/>
        <v>A.2.7.6.7-Reporter [Required]</v>
      </c>
      <c r="D368" s="85" t="s">
        <v>1703</v>
      </c>
      <c r="E368" s="82">
        <f t="shared" si="17"/>
        <v>0</v>
      </c>
      <c r="F368" s="82" t="str">
        <f t="shared" si="18"/>
        <v>*</v>
      </c>
      <c r="G368" s="144"/>
      <c r="H368" s="88"/>
      <c r="I368" s="85" t="s">
        <v>904</v>
      </c>
      <c r="J368" s="85" t="s">
        <v>59</v>
      </c>
    </row>
    <row r="369" spans="1:10" ht="16.5" customHeight="1" thickBot="1" x14ac:dyDescent="0.9">
      <c r="A369" s="80" t="s">
        <v>1704</v>
      </c>
      <c r="B369" s="84" t="s">
        <v>1705</v>
      </c>
      <c r="C369" s="147" t="str">
        <f t="shared" si="19"/>
        <v>A.2.7.7-Synthesis [Mandatory]</v>
      </c>
      <c r="D369" s="129" t="s">
        <v>1706</v>
      </c>
      <c r="E369" s="82">
        <f t="shared" si="17"/>
        <v>1</v>
      </c>
      <c r="F369" s="82" t="str">
        <f t="shared" si="18"/>
        <v>1</v>
      </c>
      <c r="G369" s="82"/>
      <c r="H369" s="130"/>
      <c r="I369" s="85" t="s">
        <v>883</v>
      </c>
      <c r="J369" s="85" t="s">
        <v>884</v>
      </c>
    </row>
    <row r="370" spans="1:10" ht="32.25" thickBot="1" x14ac:dyDescent="0.9">
      <c r="A370" s="86" t="s">
        <v>1707</v>
      </c>
      <c r="B370" s="90" t="s">
        <v>1708</v>
      </c>
      <c r="C370" s="147" t="str">
        <f t="shared" si="19"/>
        <v>A.2.7.7.1-Problem synthesis [Mandatory]</v>
      </c>
      <c r="D370" s="85" t="s">
        <v>1709</v>
      </c>
      <c r="E370" s="82">
        <f t="shared" si="17"/>
        <v>1</v>
      </c>
      <c r="F370" s="82" t="str">
        <f t="shared" si="18"/>
        <v>*</v>
      </c>
      <c r="G370" s="144"/>
      <c r="H370" s="88"/>
      <c r="I370" s="85" t="s">
        <v>890</v>
      </c>
      <c r="J370" s="85" t="s">
        <v>884</v>
      </c>
    </row>
    <row r="371" spans="1:10" ht="32.25" thickBot="1" x14ac:dyDescent="0.9">
      <c r="A371" s="86" t="s">
        <v>1710</v>
      </c>
      <c r="B371" s="87" t="s">
        <v>1292</v>
      </c>
      <c r="C371" s="147" t="str">
        <f t="shared" si="19"/>
        <v>A.2.7.7.1.1-Problem description [Mandatory]</v>
      </c>
      <c r="D371" s="85" t="s">
        <v>1711</v>
      </c>
      <c r="E371" s="82">
        <f t="shared" si="17"/>
        <v>1</v>
      </c>
      <c r="F371" s="82" t="str">
        <f t="shared" si="18"/>
        <v>1</v>
      </c>
      <c r="G371" s="144"/>
      <c r="H371" s="88"/>
      <c r="I371" s="85" t="s">
        <v>883</v>
      </c>
      <c r="J371" s="85" t="s">
        <v>884</v>
      </c>
    </row>
    <row r="372" spans="1:10" ht="32.25" thickBot="1" x14ac:dyDescent="0.9">
      <c r="A372" s="86" t="s">
        <v>1712</v>
      </c>
      <c r="B372" s="90" t="s">
        <v>1713</v>
      </c>
      <c r="C372" s="147" t="str">
        <f t="shared" si="19"/>
        <v>A.2.7.7.1.2-Reason and course of hospitalization [Mandatory]</v>
      </c>
      <c r="D372" s="85" t="s">
        <v>1714</v>
      </c>
      <c r="E372" s="82">
        <f t="shared" si="17"/>
        <v>1</v>
      </c>
      <c r="F372" s="82" t="str">
        <f t="shared" si="18"/>
        <v>1</v>
      </c>
      <c r="G372" s="144"/>
      <c r="H372" s="88"/>
      <c r="I372" s="85" t="s">
        <v>883</v>
      </c>
      <c r="J372" s="85" t="s">
        <v>884</v>
      </c>
    </row>
    <row r="373" spans="1:10" ht="48" thickBot="1" x14ac:dyDescent="0.9">
      <c r="A373" s="86" t="s">
        <v>1715</v>
      </c>
      <c r="B373" s="90" t="s">
        <v>1716</v>
      </c>
      <c r="C373" s="147" t="str">
        <f t="shared" si="19"/>
        <v>A.2.7.7.2-Clinical reasoning [Optional]</v>
      </c>
      <c r="D373" s="85" t="s">
        <v>1717</v>
      </c>
      <c r="E373" s="82">
        <f t="shared" si="17"/>
        <v>0</v>
      </c>
      <c r="F373" s="82" t="str">
        <f t="shared" si="18"/>
        <v>1</v>
      </c>
      <c r="G373" s="144"/>
      <c r="H373" s="88"/>
      <c r="I373" s="85" t="s">
        <v>915</v>
      </c>
      <c r="J373" s="85" t="s">
        <v>912</v>
      </c>
    </row>
    <row r="374" spans="1:10" ht="31.75" thickBot="1" x14ac:dyDescent="0.9">
      <c r="A374" s="80" t="s">
        <v>1718</v>
      </c>
      <c r="B374" s="81" t="s">
        <v>1857</v>
      </c>
      <c r="C374" s="147" t="str">
        <f t="shared" si="19"/>
        <v>A.2.8-Discharge details [Mandatory]</v>
      </c>
      <c r="D374" s="82" t="s">
        <v>1858</v>
      </c>
      <c r="E374" s="82">
        <f t="shared" si="17"/>
        <v>1</v>
      </c>
      <c r="F374" s="82" t="str">
        <f t="shared" si="18"/>
        <v>1</v>
      </c>
      <c r="G374" s="82"/>
      <c r="H374" s="83"/>
      <c r="I374" s="85" t="s">
        <v>883</v>
      </c>
      <c r="J374" s="85" t="s">
        <v>884</v>
      </c>
    </row>
    <row r="375" spans="1:10" ht="16.5" thickBot="1" x14ac:dyDescent="0.9">
      <c r="A375" s="80" t="s">
        <v>1720</v>
      </c>
      <c r="B375" s="81" t="s">
        <v>1219</v>
      </c>
      <c r="C375" s="147" t="str">
        <f t="shared" si="19"/>
        <v>A.2.8.1-Objective findings [Optional]</v>
      </c>
      <c r="D375" s="82"/>
      <c r="E375" s="82">
        <f t="shared" si="17"/>
        <v>0</v>
      </c>
      <c r="F375" s="82" t="str">
        <f t="shared" si="18"/>
        <v>1</v>
      </c>
      <c r="G375" s="82"/>
      <c r="H375" s="83"/>
      <c r="I375" s="85" t="s">
        <v>915</v>
      </c>
      <c r="J375" s="85" t="s">
        <v>912</v>
      </c>
    </row>
    <row r="376" spans="1:10" ht="16.5" thickBot="1" x14ac:dyDescent="0.9">
      <c r="A376" s="86" t="s">
        <v>1721</v>
      </c>
      <c r="B376" s="90" t="s">
        <v>61</v>
      </c>
      <c r="C376" s="147" t="str">
        <f t="shared" si="19"/>
        <v>A.2.8.1.1-Date [Required]</v>
      </c>
      <c r="D376" s="85" t="s">
        <v>1722</v>
      </c>
      <c r="E376" s="82">
        <f t="shared" si="17"/>
        <v>1</v>
      </c>
      <c r="F376" s="82" t="str">
        <f t="shared" si="18"/>
        <v>1</v>
      </c>
      <c r="G376" s="144"/>
      <c r="H376" s="88"/>
      <c r="I376" s="85" t="s">
        <v>883</v>
      </c>
      <c r="J376" s="85" t="s">
        <v>59</v>
      </c>
    </row>
    <row r="377" spans="1:10" ht="48" thickBot="1" x14ac:dyDescent="0.9">
      <c r="A377" s="86" t="s">
        <v>1723</v>
      </c>
      <c r="B377" s="90" t="s">
        <v>1223</v>
      </c>
      <c r="C377" s="147" t="str">
        <f t="shared" si="19"/>
        <v>A.2.8.1.2-Performer [Required]</v>
      </c>
      <c r="D377" s="85" t="s">
        <v>1224</v>
      </c>
      <c r="E377" s="82">
        <f t="shared" si="17"/>
        <v>0</v>
      </c>
      <c r="F377" s="82" t="str">
        <f t="shared" si="18"/>
        <v>*</v>
      </c>
      <c r="G377" s="144"/>
      <c r="H377" s="88"/>
      <c r="I377" s="85" t="s">
        <v>904</v>
      </c>
      <c r="J377" s="85" t="s">
        <v>59</v>
      </c>
    </row>
    <row r="378" spans="1:10" ht="16.5" thickBot="1" x14ac:dyDescent="0.9">
      <c r="A378" s="113" t="s">
        <v>1724</v>
      </c>
      <c r="B378" s="163" t="s">
        <v>1226</v>
      </c>
      <c r="C378" s="147" t="str">
        <f t="shared" si="19"/>
        <v>A.2.8.1.3-Anthropometric obsevations [Optional]</v>
      </c>
      <c r="D378" s="115" t="s">
        <v>1725</v>
      </c>
      <c r="E378" s="82">
        <f t="shared" si="17"/>
        <v>0</v>
      </c>
      <c r="F378" s="82" t="str">
        <f t="shared" si="18"/>
        <v>*</v>
      </c>
      <c r="G378" s="122"/>
      <c r="H378" s="116"/>
      <c r="I378" s="93" t="s">
        <v>904</v>
      </c>
      <c r="J378" s="93" t="s">
        <v>912</v>
      </c>
    </row>
    <row r="379" spans="1:10" ht="16.5" thickBot="1" x14ac:dyDescent="0.9">
      <c r="A379" s="118"/>
      <c r="B379" s="164"/>
      <c r="C379" s="147" t="str">
        <f t="shared" si="19"/>
        <v>- []</v>
      </c>
      <c r="D379" s="119" t="s">
        <v>1726</v>
      </c>
      <c r="E379" s="82">
        <f t="shared" si="17"/>
        <v>0</v>
      </c>
      <c r="F379" s="82" t="str">
        <f t="shared" si="18"/>
        <v/>
      </c>
      <c r="G379" s="153"/>
      <c r="H379" s="95"/>
      <c r="I379" s="97"/>
      <c r="J379" s="97"/>
    </row>
    <row r="380" spans="1:10" ht="16.5" customHeight="1" thickBot="1" x14ac:dyDescent="0.9">
      <c r="A380" s="80"/>
      <c r="B380" s="165"/>
      <c r="C380" s="147" t="str">
        <f t="shared" si="19"/>
        <v>- []</v>
      </c>
      <c r="D380" s="117" t="s">
        <v>1727</v>
      </c>
      <c r="E380" s="82">
        <f t="shared" si="17"/>
        <v>0</v>
      </c>
      <c r="F380" s="82" t="str">
        <f t="shared" si="18"/>
        <v/>
      </c>
      <c r="G380" s="144"/>
      <c r="H380" s="85"/>
      <c r="I380" s="86"/>
      <c r="J380" s="86"/>
    </row>
    <row r="381" spans="1:10" ht="16.5" thickBot="1" x14ac:dyDescent="0.9">
      <c r="A381" s="86" t="s">
        <v>1728</v>
      </c>
      <c r="B381" s="87" t="s">
        <v>1279</v>
      </c>
      <c r="C381" s="147" t="str">
        <f t="shared" si="19"/>
        <v>A.2.8.1.3.1-Result description [Optional]</v>
      </c>
      <c r="D381" s="85" t="s">
        <v>1280</v>
      </c>
      <c r="E381" s="82">
        <f t="shared" si="17"/>
        <v>0</v>
      </c>
      <c r="F381" s="82" t="str">
        <f t="shared" si="18"/>
        <v>1</v>
      </c>
      <c r="G381" s="144"/>
      <c r="H381" s="88"/>
      <c r="I381" s="85" t="s">
        <v>915</v>
      </c>
      <c r="J381" s="85" t="s">
        <v>912</v>
      </c>
    </row>
    <row r="382" spans="1:10" ht="16.5" customHeight="1" thickBot="1" x14ac:dyDescent="0.9">
      <c r="A382" s="93" t="s">
        <v>1729</v>
      </c>
      <c r="B382" s="166" t="s">
        <v>1281</v>
      </c>
      <c r="C382" s="147" t="str">
        <f t="shared" si="19"/>
        <v>A.2.8.1.3.2-Observation details [Mandatory]</v>
      </c>
      <c r="D382" s="93" t="s">
        <v>1234</v>
      </c>
      <c r="E382" s="82">
        <f t="shared" si="17"/>
        <v>1</v>
      </c>
      <c r="F382" s="82" t="str">
        <f t="shared" si="18"/>
        <v>1</v>
      </c>
      <c r="G382" s="153"/>
      <c r="H382" s="101"/>
      <c r="I382" s="93" t="s">
        <v>883</v>
      </c>
      <c r="J382" s="93" t="s">
        <v>884</v>
      </c>
    </row>
    <row r="383" spans="1:10" ht="16.5" thickBot="1" x14ac:dyDescent="0.9">
      <c r="A383" s="86"/>
      <c r="B383" s="167"/>
      <c r="C383" s="147" t="str">
        <f t="shared" si="19"/>
        <v>- []</v>
      </c>
      <c r="D383" s="86"/>
      <c r="E383" s="82">
        <f t="shared" si="17"/>
        <v>0</v>
      </c>
      <c r="F383" s="82" t="str">
        <f t="shared" si="18"/>
        <v/>
      </c>
      <c r="G383" s="144"/>
      <c r="H383" s="85" t="s">
        <v>1099</v>
      </c>
      <c r="I383" s="86"/>
      <c r="J383" s="86"/>
    </row>
    <row r="384" spans="1:10" ht="16.5" customHeight="1" thickBot="1" x14ac:dyDescent="0.9">
      <c r="A384" s="93" t="s">
        <v>1730</v>
      </c>
      <c r="B384" s="166" t="s">
        <v>1238</v>
      </c>
      <c r="C384" s="147" t="str">
        <f t="shared" si="19"/>
        <v>A.2.8.1.3.3-Observation result [Required]</v>
      </c>
      <c r="D384" s="93" t="s">
        <v>1698</v>
      </c>
      <c r="E384" s="82">
        <f t="shared" si="17"/>
        <v>1</v>
      </c>
      <c r="F384" s="82" t="str">
        <f t="shared" si="18"/>
        <v>1</v>
      </c>
      <c r="G384" s="153"/>
      <c r="H384" s="95" t="s">
        <v>1099</v>
      </c>
      <c r="I384" s="93" t="s">
        <v>883</v>
      </c>
      <c r="J384" s="93" t="s">
        <v>59</v>
      </c>
    </row>
    <row r="385" spans="1:10" ht="16.5" thickBot="1" x14ac:dyDescent="0.9">
      <c r="A385" s="86"/>
      <c r="B385" s="167"/>
      <c r="C385" s="147" t="str">
        <f t="shared" si="19"/>
        <v>- []</v>
      </c>
      <c r="D385" s="86"/>
      <c r="E385" s="82">
        <f t="shared" si="17"/>
        <v>0</v>
      </c>
      <c r="F385" s="82" t="str">
        <f t="shared" si="18"/>
        <v/>
      </c>
      <c r="G385" s="144"/>
      <c r="H385" s="85" t="s">
        <v>1671</v>
      </c>
      <c r="I385" s="86"/>
      <c r="J385" s="86"/>
    </row>
    <row r="386" spans="1:10" ht="48" thickBot="1" x14ac:dyDescent="0.9">
      <c r="A386" s="86" t="s">
        <v>1731</v>
      </c>
      <c r="B386" s="90" t="s">
        <v>1223</v>
      </c>
      <c r="C386" s="147" t="str">
        <f t="shared" si="19"/>
        <v>A.2.8.1.3.4-Performer [Required]</v>
      </c>
      <c r="D386" s="85" t="s">
        <v>1700</v>
      </c>
      <c r="E386" s="82">
        <f t="shared" si="17"/>
        <v>0</v>
      </c>
      <c r="F386" s="82" t="str">
        <f t="shared" si="18"/>
        <v>*</v>
      </c>
      <c r="G386" s="144"/>
      <c r="H386" s="88"/>
      <c r="I386" s="85" t="s">
        <v>904</v>
      </c>
      <c r="J386" s="85" t="s">
        <v>59</v>
      </c>
    </row>
    <row r="387" spans="1:10" ht="16.5" thickBot="1" x14ac:dyDescent="0.9">
      <c r="A387" s="113" t="s">
        <v>1732</v>
      </c>
      <c r="B387" s="163" t="s">
        <v>1244</v>
      </c>
      <c r="C387" s="147" t="str">
        <f t="shared" si="19"/>
        <v>A.2.8.1.4-Vital signs [Optional]</v>
      </c>
      <c r="D387" s="115" t="s">
        <v>1733</v>
      </c>
      <c r="E387" s="82">
        <f t="shared" ref="E387:E448" si="20">_xlfn.NUMBERVALUE(MID(I387,1,1))</f>
        <v>0</v>
      </c>
      <c r="F387" s="82" t="str">
        <f t="shared" ref="F387:F448" si="21">MID(I387,4,1)</f>
        <v>*</v>
      </c>
      <c r="G387" s="122"/>
      <c r="H387" s="116"/>
      <c r="I387" s="93" t="s">
        <v>904</v>
      </c>
      <c r="J387" s="93" t="s">
        <v>912</v>
      </c>
    </row>
    <row r="388" spans="1:10" ht="16.5" customHeight="1" thickBot="1" x14ac:dyDescent="0.9">
      <c r="A388" s="118"/>
      <c r="B388" s="164"/>
      <c r="C388" s="147" t="str">
        <f t="shared" si="19"/>
        <v>- []</v>
      </c>
      <c r="D388" s="119" t="s">
        <v>1734</v>
      </c>
      <c r="E388" s="82">
        <f t="shared" si="20"/>
        <v>0</v>
      </c>
      <c r="F388" s="82" t="str">
        <f t="shared" si="21"/>
        <v/>
      </c>
      <c r="G388" s="153"/>
      <c r="H388" s="95"/>
      <c r="I388" s="97"/>
      <c r="J388" s="97"/>
    </row>
    <row r="389" spans="1:10" ht="16.5" thickBot="1" x14ac:dyDescent="0.9">
      <c r="A389" s="80"/>
      <c r="B389" s="165"/>
      <c r="C389" s="147" t="str">
        <f t="shared" si="19"/>
        <v>- []</v>
      </c>
      <c r="D389" s="117" t="s">
        <v>1735</v>
      </c>
      <c r="E389" s="82">
        <f t="shared" si="20"/>
        <v>0</v>
      </c>
      <c r="F389" s="82" t="str">
        <f t="shared" si="21"/>
        <v/>
      </c>
      <c r="G389" s="144"/>
      <c r="H389" s="85"/>
      <c r="I389" s="86"/>
      <c r="J389" s="86"/>
    </row>
    <row r="390" spans="1:10" ht="16.5" thickBot="1" x14ac:dyDescent="0.9">
      <c r="A390" s="86" t="s">
        <v>1736</v>
      </c>
      <c r="B390" s="90" t="s">
        <v>1279</v>
      </c>
      <c r="C390" s="147" t="str">
        <f t="shared" ref="C390:C448" si="22">CONCATENATE(A390,"-",B390," [",J390,"]")</f>
        <v>A.2.8.1.4.1-Result description [Optional]</v>
      </c>
      <c r="D390" s="85" t="s">
        <v>1280</v>
      </c>
      <c r="E390" s="82">
        <f t="shared" si="20"/>
        <v>0</v>
      </c>
      <c r="F390" s="82" t="str">
        <f t="shared" si="21"/>
        <v>1</v>
      </c>
      <c r="G390" s="144"/>
      <c r="H390" s="88"/>
      <c r="I390" s="85" t="s">
        <v>915</v>
      </c>
      <c r="J390" s="85" t="s">
        <v>912</v>
      </c>
    </row>
    <row r="391" spans="1:10" ht="48" thickBot="1" x14ac:dyDescent="0.9">
      <c r="A391" s="86" t="s">
        <v>1737</v>
      </c>
      <c r="B391" s="90" t="s">
        <v>1281</v>
      </c>
      <c r="C391" s="147" t="str">
        <f t="shared" si="22"/>
        <v>A.2.8.1.4.2-Observation details [Mandatory]</v>
      </c>
      <c r="D391" s="85" t="s">
        <v>1234</v>
      </c>
      <c r="E391" s="82">
        <f t="shared" si="20"/>
        <v>1</v>
      </c>
      <c r="F391" s="82" t="str">
        <f t="shared" si="21"/>
        <v>1</v>
      </c>
      <c r="G391" s="144"/>
      <c r="H391" s="85" t="s">
        <v>1099</v>
      </c>
      <c r="I391" s="85" t="s">
        <v>883</v>
      </c>
      <c r="J391" s="85" t="s">
        <v>884</v>
      </c>
    </row>
    <row r="392" spans="1:10" ht="16.5" customHeight="1" thickBot="1" x14ac:dyDescent="0.9">
      <c r="A392" s="93" t="s">
        <v>1738</v>
      </c>
      <c r="B392" s="160" t="s">
        <v>1238</v>
      </c>
      <c r="C392" s="147" t="str">
        <f t="shared" si="22"/>
        <v>A.2.8.1.4.3-Observation result [Required]</v>
      </c>
      <c r="D392" s="93" t="s">
        <v>1698</v>
      </c>
      <c r="E392" s="82">
        <f t="shared" si="20"/>
        <v>1</v>
      </c>
      <c r="F392" s="82" t="str">
        <f t="shared" si="21"/>
        <v>1</v>
      </c>
      <c r="G392" s="153"/>
      <c r="H392" s="95" t="s">
        <v>1099</v>
      </c>
      <c r="I392" s="93" t="s">
        <v>883</v>
      </c>
      <c r="J392" s="93" t="s">
        <v>59</v>
      </c>
    </row>
    <row r="393" spans="1:10" ht="16.5" thickBot="1" x14ac:dyDescent="0.9">
      <c r="A393" s="86"/>
      <c r="B393" s="162"/>
      <c r="C393" s="147" t="str">
        <f t="shared" si="22"/>
        <v>- []</v>
      </c>
      <c r="D393" s="86"/>
      <c r="E393" s="82">
        <f t="shared" si="20"/>
        <v>0</v>
      </c>
      <c r="F393" s="82" t="str">
        <f t="shared" si="21"/>
        <v/>
      </c>
      <c r="G393" s="144"/>
      <c r="H393" s="85" t="s">
        <v>1254</v>
      </c>
      <c r="I393" s="86"/>
      <c r="J393" s="86"/>
    </row>
    <row r="394" spans="1:10" ht="48" thickBot="1" x14ac:dyDescent="0.9">
      <c r="A394" s="86" t="s">
        <v>1739</v>
      </c>
      <c r="B394" s="90" t="s">
        <v>1223</v>
      </c>
      <c r="C394" s="147" t="str">
        <f t="shared" si="22"/>
        <v>A.2.8.1.4.4-Performer [Required]</v>
      </c>
      <c r="D394" s="85" t="s">
        <v>1700</v>
      </c>
      <c r="E394" s="82">
        <f t="shared" si="20"/>
        <v>0</v>
      </c>
      <c r="F394" s="82" t="str">
        <f t="shared" si="21"/>
        <v>*</v>
      </c>
      <c r="G394" s="144"/>
      <c r="H394" s="88"/>
      <c r="I394" s="85" t="s">
        <v>904</v>
      </c>
      <c r="J394" s="85" t="s">
        <v>59</v>
      </c>
    </row>
    <row r="395" spans="1:10" ht="16.5" customHeight="1" thickBot="1" x14ac:dyDescent="0.9">
      <c r="A395" s="80" t="s">
        <v>1740</v>
      </c>
      <c r="B395" s="84" t="s">
        <v>1257</v>
      </c>
      <c r="C395" s="147" t="str">
        <f t="shared" si="22"/>
        <v>A.2.8.1.5-Physical examination [Optional]</v>
      </c>
      <c r="D395" s="129" t="s">
        <v>1258</v>
      </c>
      <c r="E395" s="82">
        <f t="shared" si="20"/>
        <v>0</v>
      </c>
      <c r="F395" s="82" t="str">
        <f t="shared" si="21"/>
        <v>1</v>
      </c>
      <c r="G395" s="82"/>
      <c r="H395" s="130"/>
      <c r="I395" s="85" t="s">
        <v>915</v>
      </c>
      <c r="J395" s="85" t="s">
        <v>912</v>
      </c>
    </row>
    <row r="396" spans="1:10" ht="32.25" thickBot="1" x14ac:dyDescent="0.9">
      <c r="A396" s="86" t="s">
        <v>1741</v>
      </c>
      <c r="B396" s="90" t="s">
        <v>1260</v>
      </c>
      <c r="C396" s="147" t="str">
        <f t="shared" si="22"/>
        <v>A.2.8.1.5.1-Observation Note [Required]</v>
      </c>
      <c r="D396" s="85" t="s">
        <v>1742</v>
      </c>
      <c r="E396" s="82">
        <f t="shared" si="20"/>
        <v>1</v>
      </c>
      <c r="F396" s="82" t="str">
        <f t="shared" si="21"/>
        <v>1</v>
      </c>
      <c r="G396" s="144"/>
      <c r="H396" s="88"/>
      <c r="I396" s="85" t="s">
        <v>883</v>
      </c>
      <c r="J396" s="85" t="s">
        <v>59</v>
      </c>
    </row>
    <row r="397" spans="1:10" ht="48" thickBot="1" x14ac:dyDescent="0.9">
      <c r="A397" s="86" t="s">
        <v>1743</v>
      </c>
      <c r="B397" s="90" t="s">
        <v>1223</v>
      </c>
      <c r="C397" s="147" t="str">
        <f t="shared" si="22"/>
        <v>A.2.8.1.5.2-Performer [Required]</v>
      </c>
      <c r="D397" s="85" t="s">
        <v>1224</v>
      </c>
      <c r="E397" s="82">
        <f t="shared" si="20"/>
        <v>0</v>
      </c>
      <c r="F397" s="82" t="str">
        <f t="shared" si="21"/>
        <v>*</v>
      </c>
      <c r="G397" s="144"/>
      <c r="H397" s="88"/>
      <c r="I397" s="85" t="s">
        <v>904</v>
      </c>
      <c r="J397" s="85" t="s">
        <v>59</v>
      </c>
    </row>
    <row r="398" spans="1:10" ht="16.5" customHeight="1" thickBot="1" x14ac:dyDescent="0.9">
      <c r="A398" s="113" t="s">
        <v>1744</v>
      </c>
      <c r="B398" s="163" t="s">
        <v>1745</v>
      </c>
      <c r="C398" s="147" t="str">
        <f t="shared" si="22"/>
        <v>A.2.8.2-Functional status at discharge [Required]</v>
      </c>
      <c r="D398" s="115" t="s">
        <v>1265</v>
      </c>
      <c r="E398" s="82">
        <f t="shared" si="20"/>
        <v>0</v>
      </c>
      <c r="F398" s="82" t="str">
        <f t="shared" si="21"/>
        <v>1</v>
      </c>
      <c r="G398" s="122"/>
      <c r="H398" s="116"/>
      <c r="I398" s="93" t="s">
        <v>915</v>
      </c>
      <c r="J398" s="93" t="s">
        <v>59</v>
      </c>
    </row>
    <row r="399" spans="1:10" ht="16.5" thickBot="1" x14ac:dyDescent="0.9">
      <c r="A399" s="118"/>
      <c r="B399" s="164"/>
      <c r="C399" s="147" t="str">
        <f t="shared" si="22"/>
        <v>- []</v>
      </c>
      <c r="D399" s="124"/>
      <c r="E399" s="82">
        <f t="shared" si="20"/>
        <v>0</v>
      </c>
      <c r="F399" s="82" t="str">
        <f t="shared" si="21"/>
        <v/>
      </c>
      <c r="G399" s="153"/>
      <c r="H399" s="101"/>
      <c r="I399" s="97"/>
      <c r="J399" s="97"/>
    </row>
    <row r="400" spans="1:10" ht="16.5" thickBot="1" x14ac:dyDescent="0.9">
      <c r="A400" s="80"/>
      <c r="B400" s="165"/>
      <c r="C400" s="147" t="str">
        <f t="shared" si="22"/>
        <v>- []</v>
      </c>
      <c r="D400" s="125" t="s">
        <v>1266</v>
      </c>
      <c r="E400" s="82">
        <f t="shared" si="20"/>
        <v>0</v>
      </c>
      <c r="F400" s="82" t="str">
        <f t="shared" si="21"/>
        <v/>
      </c>
      <c r="G400" s="144"/>
      <c r="H400" s="89"/>
      <c r="I400" s="86"/>
      <c r="J400" s="86"/>
    </row>
    <row r="401" spans="1:10" ht="16.5" thickBot="1" x14ac:dyDescent="0.9">
      <c r="A401" s="86" t="s">
        <v>1746</v>
      </c>
      <c r="B401" s="90" t="s">
        <v>1072</v>
      </c>
      <c r="C401" s="147" t="str">
        <f t="shared" si="22"/>
        <v>A.2.8.2.1-Date and time [Required]</v>
      </c>
      <c r="D401" s="85" t="s">
        <v>1221</v>
      </c>
      <c r="E401" s="82">
        <f t="shared" si="20"/>
        <v>1</v>
      </c>
      <c r="F401" s="82" t="str">
        <f t="shared" si="21"/>
        <v>1</v>
      </c>
      <c r="G401" s="144"/>
      <c r="H401" s="88"/>
      <c r="I401" s="85" t="s">
        <v>883</v>
      </c>
      <c r="J401" s="85" t="s">
        <v>59</v>
      </c>
    </row>
    <row r="402" spans="1:10" ht="48" thickBot="1" x14ac:dyDescent="0.9">
      <c r="A402" s="86" t="s">
        <v>1747</v>
      </c>
      <c r="B402" s="90" t="s">
        <v>1223</v>
      </c>
      <c r="C402" s="147" t="str">
        <f t="shared" si="22"/>
        <v>A.2.8.2.2-Performer [Required]</v>
      </c>
      <c r="D402" s="85" t="s">
        <v>1224</v>
      </c>
      <c r="E402" s="82">
        <f t="shared" si="20"/>
        <v>0</v>
      </c>
      <c r="F402" s="82" t="str">
        <f t="shared" si="21"/>
        <v>*</v>
      </c>
      <c r="G402" s="144"/>
      <c r="H402" s="88"/>
      <c r="I402" s="85" t="s">
        <v>904</v>
      </c>
      <c r="J402" s="85" t="s">
        <v>59</v>
      </c>
    </row>
    <row r="403" spans="1:10" ht="48" thickBot="1" x14ac:dyDescent="0.9">
      <c r="A403" s="86" t="s">
        <v>1748</v>
      </c>
      <c r="B403" s="90" t="s">
        <v>3</v>
      </c>
      <c r="C403" s="147" t="str">
        <f t="shared" si="22"/>
        <v>A.2.8.2.3-Description [Optional]</v>
      </c>
      <c r="D403" s="85" t="s">
        <v>1270</v>
      </c>
      <c r="E403" s="82">
        <f t="shared" si="20"/>
        <v>0</v>
      </c>
      <c r="F403" s="82" t="str">
        <f t="shared" si="21"/>
        <v>1</v>
      </c>
      <c r="G403" s="144"/>
      <c r="H403" s="88"/>
      <c r="I403" s="85" t="s">
        <v>915</v>
      </c>
      <c r="J403" s="85" t="s">
        <v>912</v>
      </c>
    </row>
    <row r="404" spans="1:10" ht="16.5" thickBot="1" x14ac:dyDescent="0.9">
      <c r="A404" s="86" t="s">
        <v>1749</v>
      </c>
      <c r="B404" s="90" t="s">
        <v>1272</v>
      </c>
      <c r="C404" s="147" t="str">
        <f t="shared" si="22"/>
        <v>A.2.8.2.4-Functional status assessment [Required]</v>
      </c>
      <c r="D404" s="85" t="s">
        <v>1750</v>
      </c>
      <c r="E404" s="82">
        <f t="shared" si="20"/>
        <v>0</v>
      </c>
      <c r="F404" s="82" t="str">
        <f t="shared" si="21"/>
        <v>*</v>
      </c>
      <c r="G404" s="144"/>
      <c r="H404" s="88"/>
      <c r="I404" s="85" t="s">
        <v>904</v>
      </c>
      <c r="J404" s="85" t="s">
        <v>59</v>
      </c>
    </row>
    <row r="405" spans="1:10" ht="16.5" thickBot="1" x14ac:dyDescent="0.9">
      <c r="A405" s="86" t="s">
        <v>1751</v>
      </c>
      <c r="B405" s="90" t="s">
        <v>1277</v>
      </c>
      <c r="C405" s="147" t="str">
        <f t="shared" si="22"/>
        <v>A.2.8.2.4.1-Onset Date [Required]</v>
      </c>
      <c r="D405" s="85" t="s">
        <v>1278</v>
      </c>
      <c r="E405" s="82">
        <f t="shared" si="20"/>
        <v>0</v>
      </c>
      <c r="F405" s="82" t="str">
        <f t="shared" si="21"/>
        <v>1</v>
      </c>
      <c r="G405" s="144"/>
      <c r="H405" s="88"/>
      <c r="I405" s="85" t="s">
        <v>915</v>
      </c>
      <c r="J405" s="85" t="s">
        <v>59</v>
      </c>
    </row>
    <row r="406" spans="1:10" ht="16.5" thickBot="1" x14ac:dyDescent="0.9">
      <c r="A406" s="86" t="s">
        <v>1752</v>
      </c>
      <c r="B406" s="90" t="s">
        <v>1279</v>
      </c>
      <c r="C406" s="147" t="str">
        <f t="shared" si="22"/>
        <v>A.2.8.2.4.2-Result description [Optional]</v>
      </c>
      <c r="D406" s="85" t="s">
        <v>1280</v>
      </c>
      <c r="E406" s="82">
        <f t="shared" si="20"/>
        <v>0</v>
      </c>
      <c r="F406" s="82" t="str">
        <f t="shared" si="21"/>
        <v>1</v>
      </c>
      <c r="G406" s="144"/>
      <c r="H406" s="88"/>
      <c r="I406" s="85" t="s">
        <v>915</v>
      </c>
      <c r="J406" s="85" t="s">
        <v>912</v>
      </c>
    </row>
    <row r="407" spans="1:10" ht="48" thickBot="1" x14ac:dyDescent="0.9">
      <c r="A407" s="86" t="s">
        <v>1753</v>
      </c>
      <c r="B407" s="90" t="s">
        <v>1281</v>
      </c>
      <c r="C407" s="147" t="str">
        <f t="shared" si="22"/>
        <v>A.2.8.2.4.3-Observation details [Required]</v>
      </c>
      <c r="D407" s="85" t="s">
        <v>1234</v>
      </c>
      <c r="E407" s="82">
        <f t="shared" si="20"/>
        <v>1</v>
      </c>
      <c r="F407" s="82" t="str">
        <f t="shared" si="21"/>
        <v>1</v>
      </c>
      <c r="G407" s="144"/>
      <c r="H407" s="85" t="s">
        <v>1282</v>
      </c>
      <c r="I407" s="85" t="s">
        <v>883</v>
      </c>
      <c r="J407" s="85" t="s">
        <v>59</v>
      </c>
    </row>
    <row r="408" spans="1:10" ht="79.5" thickBot="1" x14ac:dyDescent="0.9">
      <c r="A408" s="86" t="s">
        <v>1754</v>
      </c>
      <c r="B408" s="90" t="s">
        <v>1238</v>
      </c>
      <c r="C408" s="147" t="str">
        <f t="shared" si="22"/>
        <v>A.2.8.2.4.4-Observation result [Required]</v>
      </c>
      <c r="D408" s="85" t="s">
        <v>1239</v>
      </c>
      <c r="E408" s="82">
        <f t="shared" si="20"/>
        <v>1</v>
      </c>
      <c r="F408" s="82" t="str">
        <f t="shared" si="21"/>
        <v>1</v>
      </c>
      <c r="G408" s="144"/>
      <c r="H408" s="85" t="s">
        <v>1282</v>
      </c>
      <c r="I408" s="85" t="s">
        <v>883</v>
      </c>
      <c r="J408" s="85" t="s">
        <v>59</v>
      </c>
    </row>
    <row r="409" spans="1:10" ht="16.5" thickBot="1" x14ac:dyDescent="0.9">
      <c r="A409" s="86" t="s">
        <v>1755</v>
      </c>
      <c r="B409" s="85" t="s">
        <v>1756</v>
      </c>
      <c r="C409" s="147" t="str">
        <f t="shared" si="22"/>
        <v>A.2.8.3-Discharge note [Optional]</v>
      </c>
      <c r="D409" s="85" t="s">
        <v>1757</v>
      </c>
      <c r="E409" s="82">
        <f t="shared" si="20"/>
        <v>0</v>
      </c>
      <c r="F409" s="82" t="str">
        <f t="shared" si="21"/>
        <v>1</v>
      </c>
      <c r="G409" s="144"/>
      <c r="H409" s="88"/>
      <c r="I409" s="85" t="s">
        <v>915</v>
      </c>
      <c r="J409" s="85" t="s">
        <v>912</v>
      </c>
    </row>
    <row r="410" spans="1:10" ht="16.5" thickBot="1" x14ac:dyDescent="0.9">
      <c r="A410" s="113" t="s">
        <v>1758</v>
      </c>
      <c r="B410" s="121" t="s">
        <v>1759</v>
      </c>
      <c r="C410" s="147" t="str">
        <f t="shared" si="22"/>
        <v>A.2.9-Recommendations [Required]</v>
      </c>
      <c r="D410" s="122"/>
      <c r="E410" s="82">
        <f t="shared" si="20"/>
        <v>0</v>
      </c>
      <c r="F410" s="82" t="str">
        <f t="shared" si="21"/>
        <v>1</v>
      </c>
      <c r="G410" s="122"/>
      <c r="H410" s="123"/>
      <c r="I410" s="93" t="s">
        <v>915</v>
      </c>
      <c r="J410" s="93" t="s">
        <v>59</v>
      </c>
    </row>
    <row r="411" spans="1:10" ht="16.5" thickBot="1" x14ac:dyDescent="0.9">
      <c r="A411" s="80"/>
      <c r="B411" s="143" t="s">
        <v>1760</v>
      </c>
      <c r="C411" s="147" t="str">
        <f t="shared" si="22"/>
        <v>-Care plan and other recommendations after discharge. []</v>
      </c>
      <c r="D411" s="144"/>
      <c r="E411" s="82">
        <f t="shared" si="20"/>
        <v>0</v>
      </c>
      <c r="F411" s="82" t="str">
        <f t="shared" si="21"/>
        <v/>
      </c>
      <c r="G411" s="144"/>
      <c r="H411" s="84"/>
      <c r="I411" s="86"/>
      <c r="J411" s="86"/>
    </row>
    <row r="412" spans="1:10" ht="16.5" thickBot="1" x14ac:dyDescent="0.9">
      <c r="A412" s="80" t="s">
        <v>1761</v>
      </c>
      <c r="B412" s="145" t="s">
        <v>1762</v>
      </c>
      <c r="C412" s="147" t="str">
        <f t="shared" si="22"/>
        <v>A.2.9.1-Care plan [Required]</v>
      </c>
      <c r="D412" s="129" t="s">
        <v>1763</v>
      </c>
      <c r="E412" s="82">
        <f t="shared" si="20"/>
        <v>0</v>
      </c>
      <c r="F412" s="82" t="str">
        <f t="shared" si="21"/>
        <v>*</v>
      </c>
      <c r="G412" s="82"/>
      <c r="H412" s="130"/>
      <c r="I412" s="85" t="s">
        <v>904</v>
      </c>
      <c r="J412" s="85" t="s">
        <v>59</v>
      </c>
    </row>
    <row r="413" spans="1:10" ht="32.25" thickBot="1" x14ac:dyDescent="0.9">
      <c r="A413" s="86" t="s">
        <v>1764</v>
      </c>
      <c r="B413" s="90" t="s">
        <v>11</v>
      </c>
      <c r="C413" s="147" t="str">
        <f t="shared" si="22"/>
        <v>A.2.9.1.1-Title [Required]</v>
      </c>
      <c r="D413" s="85" t="s">
        <v>1765</v>
      </c>
      <c r="E413" s="82">
        <f t="shared" si="20"/>
        <v>0</v>
      </c>
      <c r="F413" s="82" t="str">
        <f t="shared" si="21"/>
        <v>1</v>
      </c>
      <c r="G413" s="144"/>
      <c r="H413" s="88"/>
      <c r="I413" s="85" t="s">
        <v>915</v>
      </c>
      <c r="J413" s="85" t="s">
        <v>59</v>
      </c>
    </row>
    <row r="414" spans="1:10" ht="16.5" customHeight="1" thickBot="1" x14ac:dyDescent="0.9">
      <c r="A414" s="93" t="s">
        <v>1766</v>
      </c>
      <c r="B414" s="160" t="s">
        <v>1767</v>
      </c>
      <c r="C414" s="147" t="str">
        <f t="shared" si="22"/>
        <v>A.2.9.1.2-Addresses [Required]</v>
      </c>
      <c r="D414" s="93" t="s">
        <v>1768</v>
      </c>
      <c r="E414" s="82">
        <f t="shared" si="20"/>
        <v>0</v>
      </c>
      <c r="F414" s="82" t="str">
        <f t="shared" si="21"/>
        <v>*</v>
      </c>
      <c r="G414" s="153"/>
      <c r="H414" s="95" t="s">
        <v>1335</v>
      </c>
      <c r="I414" s="93" t="s">
        <v>904</v>
      </c>
      <c r="J414" s="93" t="s">
        <v>59</v>
      </c>
    </row>
    <row r="415" spans="1:10" ht="16.5" thickBot="1" x14ac:dyDescent="0.9">
      <c r="A415" s="97"/>
      <c r="B415" s="161"/>
      <c r="C415" s="147" t="str">
        <f t="shared" si="22"/>
        <v>- []</v>
      </c>
      <c r="D415" s="97"/>
      <c r="E415" s="82">
        <f t="shared" si="20"/>
        <v>0</v>
      </c>
      <c r="F415" s="82" t="str">
        <f t="shared" si="21"/>
        <v/>
      </c>
      <c r="G415" s="153"/>
      <c r="H415" s="95" t="s">
        <v>1099</v>
      </c>
      <c r="I415" s="97"/>
      <c r="J415" s="97"/>
    </row>
    <row r="416" spans="1:10" ht="16.5" thickBot="1" x14ac:dyDescent="0.9">
      <c r="A416" s="86"/>
      <c r="B416" s="162"/>
      <c r="C416" s="147" t="str">
        <f t="shared" si="22"/>
        <v>- []</v>
      </c>
      <c r="D416" s="86"/>
      <c r="E416" s="82">
        <f t="shared" si="20"/>
        <v>0</v>
      </c>
      <c r="F416" s="82" t="str">
        <f t="shared" si="21"/>
        <v/>
      </c>
      <c r="G416" s="144"/>
      <c r="H416" s="85" t="s">
        <v>1137</v>
      </c>
      <c r="I416" s="86"/>
      <c r="J416" s="86"/>
    </row>
    <row r="417" spans="1:10" ht="16.5" thickBot="1" x14ac:dyDescent="0.9">
      <c r="A417" s="86" t="s">
        <v>1769</v>
      </c>
      <c r="B417" s="87" t="s">
        <v>3</v>
      </c>
      <c r="C417" s="147" t="str">
        <f t="shared" si="22"/>
        <v>A.2.9.1.3-Description [Required]</v>
      </c>
      <c r="D417" s="85" t="s">
        <v>1770</v>
      </c>
      <c r="E417" s="82">
        <f t="shared" si="20"/>
        <v>0</v>
      </c>
      <c r="F417" s="82" t="str">
        <f t="shared" si="21"/>
        <v>1</v>
      </c>
      <c r="G417" s="144"/>
      <c r="H417" s="88"/>
      <c r="I417" s="85" t="s">
        <v>915</v>
      </c>
      <c r="J417" s="85" t="s">
        <v>59</v>
      </c>
    </row>
    <row r="418" spans="1:10" ht="32.25" thickBot="1" x14ac:dyDescent="0.9">
      <c r="A418" s="86" t="s">
        <v>1771</v>
      </c>
      <c r="B418" s="90" t="s">
        <v>1772</v>
      </c>
      <c r="C418" s="147" t="str">
        <f t="shared" si="22"/>
        <v>A.2.9.1.4-PlanPeriod [Required]</v>
      </c>
      <c r="D418" s="85" t="s">
        <v>1773</v>
      </c>
      <c r="E418" s="82">
        <f t="shared" si="20"/>
        <v>0</v>
      </c>
      <c r="F418" s="82" t="str">
        <f t="shared" si="21"/>
        <v>1</v>
      </c>
      <c r="G418" s="144"/>
      <c r="H418" s="88"/>
      <c r="I418" s="85" t="s">
        <v>915</v>
      </c>
      <c r="J418" s="85" t="s">
        <v>59</v>
      </c>
    </row>
    <row r="419" spans="1:10" ht="16.5" thickBot="1" x14ac:dyDescent="0.9">
      <c r="A419" s="86" t="s">
        <v>1774</v>
      </c>
      <c r="B419" s="90" t="s">
        <v>1775</v>
      </c>
      <c r="C419" s="147" t="str">
        <f t="shared" si="22"/>
        <v>A.2.9.1.5-Other details [Required]</v>
      </c>
      <c r="D419" s="85" t="s">
        <v>1776</v>
      </c>
      <c r="E419" s="82">
        <f t="shared" si="20"/>
        <v>0</v>
      </c>
      <c r="F419" s="82" t="str">
        <f t="shared" si="21"/>
        <v>*</v>
      </c>
      <c r="G419" s="144"/>
      <c r="H419" s="88"/>
      <c r="I419" s="85" t="s">
        <v>904</v>
      </c>
      <c r="J419" s="85" t="s">
        <v>59</v>
      </c>
    </row>
    <row r="420" spans="1:10" ht="16.5" thickBot="1" x14ac:dyDescent="0.9">
      <c r="A420" s="86" t="s">
        <v>1777</v>
      </c>
      <c r="B420" s="90" t="s">
        <v>1778</v>
      </c>
      <c r="C420" s="147" t="str">
        <f t="shared" si="22"/>
        <v>A.2.9.1.6-Activity [Optional]</v>
      </c>
      <c r="D420" s="85" t="s">
        <v>1779</v>
      </c>
      <c r="E420" s="82">
        <f t="shared" si="20"/>
        <v>0</v>
      </c>
      <c r="F420" s="82" t="str">
        <f t="shared" si="21"/>
        <v>*</v>
      </c>
      <c r="G420" s="144"/>
      <c r="H420" s="88"/>
      <c r="I420" s="85" t="s">
        <v>904</v>
      </c>
      <c r="J420" s="85" t="s">
        <v>912</v>
      </c>
    </row>
    <row r="421" spans="1:10" ht="16.5" customHeight="1" thickBot="1" x14ac:dyDescent="0.9">
      <c r="A421" s="93" t="s">
        <v>1780</v>
      </c>
      <c r="B421" s="160" t="s">
        <v>1781</v>
      </c>
      <c r="C421" s="147" t="str">
        <f t="shared" si="22"/>
        <v>A.2.9.1.6.1-Kind [Required]</v>
      </c>
      <c r="D421" s="93" t="s">
        <v>1782</v>
      </c>
      <c r="E421" s="82">
        <f t="shared" si="20"/>
        <v>0</v>
      </c>
      <c r="F421" s="82" t="str">
        <f t="shared" si="21"/>
        <v>1</v>
      </c>
      <c r="G421" s="153"/>
      <c r="H421" s="120" t="s">
        <v>1783</v>
      </c>
      <c r="I421" s="93" t="s">
        <v>915</v>
      </c>
      <c r="J421" s="93" t="s">
        <v>59</v>
      </c>
    </row>
    <row r="422" spans="1:10" ht="16.5" thickBot="1" x14ac:dyDescent="0.9">
      <c r="A422" s="97"/>
      <c r="B422" s="161"/>
      <c r="C422" s="147" t="str">
        <f t="shared" si="22"/>
        <v>- []</v>
      </c>
      <c r="D422" s="97"/>
      <c r="E422" s="82">
        <f t="shared" si="20"/>
        <v>0</v>
      </c>
      <c r="F422" s="82" t="str">
        <f t="shared" si="21"/>
        <v/>
      </c>
      <c r="G422" s="153"/>
      <c r="H422" s="120" t="s">
        <v>1784</v>
      </c>
      <c r="I422" s="97"/>
      <c r="J422" s="97"/>
    </row>
    <row r="423" spans="1:10" ht="16.5" thickBot="1" x14ac:dyDescent="0.9">
      <c r="A423" s="97"/>
      <c r="B423" s="161"/>
      <c r="C423" s="147" t="str">
        <f t="shared" si="22"/>
        <v>- []</v>
      </c>
      <c r="D423" s="97"/>
      <c r="E423" s="82">
        <f t="shared" si="20"/>
        <v>0</v>
      </c>
      <c r="F423" s="82" t="str">
        <f t="shared" si="21"/>
        <v/>
      </c>
      <c r="G423" s="153"/>
      <c r="H423" s="120" t="s">
        <v>1785</v>
      </c>
      <c r="I423" s="97"/>
      <c r="J423" s="97"/>
    </row>
    <row r="424" spans="1:10" ht="16.5" thickBot="1" x14ac:dyDescent="0.9">
      <c r="A424" s="97"/>
      <c r="B424" s="161"/>
      <c r="C424" s="147" t="str">
        <f t="shared" si="22"/>
        <v>- []</v>
      </c>
      <c r="D424" s="97"/>
      <c r="E424" s="82">
        <f t="shared" si="20"/>
        <v>0</v>
      </c>
      <c r="F424" s="82" t="str">
        <f t="shared" si="21"/>
        <v/>
      </c>
      <c r="G424" s="153"/>
      <c r="H424" s="120" t="s">
        <v>1786</v>
      </c>
      <c r="I424" s="97"/>
      <c r="J424" s="97"/>
    </row>
    <row r="425" spans="1:10" ht="16.5" thickBot="1" x14ac:dyDescent="0.9">
      <c r="A425" s="97"/>
      <c r="B425" s="161"/>
      <c r="C425" s="147" t="str">
        <f t="shared" si="22"/>
        <v>- []</v>
      </c>
      <c r="D425" s="97"/>
      <c r="E425" s="82">
        <f t="shared" si="20"/>
        <v>0</v>
      </c>
      <c r="F425" s="82" t="str">
        <f t="shared" si="21"/>
        <v/>
      </c>
      <c r="G425" s="153"/>
      <c r="H425" s="120" t="s">
        <v>1787</v>
      </c>
      <c r="I425" s="97"/>
      <c r="J425" s="97"/>
    </row>
    <row r="426" spans="1:10" ht="16.5" thickBot="1" x14ac:dyDescent="0.9">
      <c r="A426" s="97"/>
      <c r="B426" s="161"/>
      <c r="C426" s="147" t="str">
        <f t="shared" si="22"/>
        <v>- []</v>
      </c>
      <c r="D426" s="97"/>
      <c r="E426" s="82">
        <f t="shared" si="20"/>
        <v>0</v>
      </c>
      <c r="F426" s="82" t="str">
        <f t="shared" si="21"/>
        <v/>
      </c>
      <c r="G426" s="153"/>
      <c r="H426" s="120" t="s">
        <v>1788</v>
      </c>
      <c r="I426" s="97"/>
      <c r="J426" s="97"/>
    </row>
    <row r="427" spans="1:10" ht="16.5" thickBot="1" x14ac:dyDescent="0.9">
      <c r="A427" s="97"/>
      <c r="B427" s="161"/>
      <c r="C427" s="147" t="str">
        <f t="shared" si="22"/>
        <v>- []</v>
      </c>
      <c r="D427" s="97"/>
      <c r="E427" s="82">
        <f t="shared" si="20"/>
        <v>0</v>
      </c>
      <c r="F427" s="82" t="str">
        <f t="shared" si="21"/>
        <v/>
      </c>
      <c r="G427" s="153"/>
      <c r="H427" s="120" t="s">
        <v>1789</v>
      </c>
      <c r="I427" s="97"/>
      <c r="J427" s="97"/>
    </row>
    <row r="428" spans="1:10" ht="16.5" thickBot="1" x14ac:dyDescent="0.9">
      <c r="A428" s="97"/>
      <c r="B428" s="161"/>
      <c r="C428" s="147" t="str">
        <f t="shared" si="22"/>
        <v>- []</v>
      </c>
      <c r="D428" s="97"/>
      <c r="E428" s="82">
        <f t="shared" si="20"/>
        <v>0</v>
      </c>
      <c r="F428" s="82" t="str">
        <f t="shared" si="21"/>
        <v/>
      </c>
      <c r="G428" s="153"/>
      <c r="H428" s="120" t="s">
        <v>1790</v>
      </c>
      <c r="I428" s="97"/>
      <c r="J428" s="97"/>
    </row>
    <row r="429" spans="1:10" ht="16.5" thickBot="1" x14ac:dyDescent="0.9">
      <c r="A429" s="86"/>
      <c r="B429" s="162"/>
      <c r="C429" s="147" t="str">
        <f t="shared" si="22"/>
        <v>- []</v>
      </c>
      <c r="D429" s="86"/>
      <c r="E429" s="82">
        <f t="shared" si="20"/>
        <v>0</v>
      </c>
      <c r="F429" s="82" t="str">
        <f t="shared" si="21"/>
        <v/>
      </c>
      <c r="G429" s="144"/>
      <c r="H429" s="89" t="s">
        <v>1791</v>
      </c>
      <c r="I429" s="86"/>
      <c r="J429" s="86"/>
    </row>
    <row r="430" spans="1:10" ht="16.5" thickBot="1" x14ac:dyDescent="0.9">
      <c r="A430" s="86" t="s">
        <v>1792</v>
      </c>
      <c r="B430" s="90" t="s">
        <v>1793</v>
      </c>
      <c r="C430" s="147" t="str">
        <f t="shared" si="22"/>
        <v>A.2.9.1.6.2-Activity description [Required]</v>
      </c>
      <c r="D430" s="85" t="s">
        <v>1794</v>
      </c>
      <c r="E430" s="82">
        <f t="shared" si="20"/>
        <v>0</v>
      </c>
      <c r="F430" s="82" t="str">
        <f t="shared" si="21"/>
        <v>1</v>
      </c>
      <c r="G430" s="144"/>
      <c r="H430" s="88"/>
      <c r="I430" s="85" t="s">
        <v>915</v>
      </c>
      <c r="J430" s="85" t="s">
        <v>59</v>
      </c>
    </row>
    <row r="431" spans="1:10" ht="32.25" thickBot="1" x14ac:dyDescent="0.9">
      <c r="A431" s="86" t="s">
        <v>1795</v>
      </c>
      <c r="B431" s="90" t="s">
        <v>1796</v>
      </c>
      <c r="C431" s="147" t="str">
        <f t="shared" si="22"/>
        <v>A.2.9.1.6.3-Specific attributes [Required]</v>
      </c>
      <c r="D431" s="85" t="s">
        <v>1797</v>
      </c>
      <c r="E431" s="82">
        <f t="shared" si="20"/>
        <v>0</v>
      </c>
      <c r="F431" s="82" t="str">
        <f t="shared" si="21"/>
        <v>*</v>
      </c>
      <c r="G431" s="144"/>
      <c r="H431" s="88"/>
      <c r="I431" s="85" t="s">
        <v>904</v>
      </c>
      <c r="J431" s="85" t="s">
        <v>59</v>
      </c>
    </row>
    <row r="432" spans="1:10" ht="63.75" thickBot="1" x14ac:dyDescent="0.9">
      <c r="A432" s="86" t="s">
        <v>1798</v>
      </c>
      <c r="B432" s="92" t="s">
        <v>1799</v>
      </c>
      <c r="C432" s="147" t="str">
        <f t="shared" si="22"/>
        <v>A.2.9.2-Medication summary [Mandatory]</v>
      </c>
      <c r="D432" s="85" t="s">
        <v>1800</v>
      </c>
      <c r="E432" s="82">
        <f t="shared" si="20"/>
        <v>0</v>
      </c>
      <c r="F432" s="82" t="str">
        <f t="shared" si="21"/>
        <v/>
      </c>
      <c r="G432" s="144"/>
      <c r="H432" s="88"/>
      <c r="I432" s="88"/>
      <c r="J432" s="85" t="s">
        <v>884</v>
      </c>
    </row>
    <row r="433" spans="1:10" ht="16.5" thickBot="1" x14ac:dyDescent="0.9">
      <c r="A433" s="86" t="s">
        <v>1801</v>
      </c>
      <c r="B433" s="90" t="s">
        <v>72</v>
      </c>
      <c r="C433" s="147" t="str">
        <f t="shared" si="22"/>
        <v>A.2.9.2.1-Status [Required]</v>
      </c>
      <c r="D433" s="85" t="s">
        <v>1802</v>
      </c>
      <c r="E433" s="82">
        <f t="shared" si="20"/>
        <v>1</v>
      </c>
      <c r="F433" s="82" t="str">
        <f t="shared" si="21"/>
        <v>1</v>
      </c>
      <c r="G433" s="144"/>
      <c r="H433" s="89" t="s">
        <v>1803</v>
      </c>
      <c r="I433" s="85" t="s">
        <v>883</v>
      </c>
      <c r="J433" s="85" t="s">
        <v>59</v>
      </c>
    </row>
    <row r="434" spans="1:10" ht="16.5" thickBot="1" x14ac:dyDescent="0.9">
      <c r="A434" s="93" t="s">
        <v>1804</v>
      </c>
      <c r="B434" s="160" t="s">
        <v>1657</v>
      </c>
      <c r="C434" s="147" t="str">
        <f t="shared" si="22"/>
        <v>A.2.9.2.2-Medication reason [Required]</v>
      </c>
      <c r="D434" s="93" t="s">
        <v>1805</v>
      </c>
      <c r="E434" s="82">
        <f t="shared" si="20"/>
        <v>0</v>
      </c>
      <c r="F434" s="82" t="str">
        <f t="shared" si="21"/>
        <v>1</v>
      </c>
      <c r="G434" s="153"/>
      <c r="H434" s="95" t="s">
        <v>1082</v>
      </c>
      <c r="I434" s="93" t="s">
        <v>915</v>
      </c>
      <c r="J434" s="93" t="s">
        <v>59</v>
      </c>
    </row>
    <row r="435" spans="1:10" ht="16.5" thickBot="1" x14ac:dyDescent="0.9">
      <c r="A435" s="97"/>
      <c r="B435" s="161"/>
      <c r="C435" s="147" t="str">
        <f t="shared" si="22"/>
        <v>- []</v>
      </c>
      <c r="D435" s="97"/>
      <c r="E435" s="82">
        <f t="shared" si="20"/>
        <v>0</v>
      </c>
      <c r="F435" s="82" t="str">
        <f t="shared" si="21"/>
        <v/>
      </c>
      <c r="G435" s="153"/>
      <c r="H435" s="95" t="s">
        <v>1099</v>
      </c>
      <c r="I435" s="97"/>
      <c r="J435" s="97"/>
    </row>
    <row r="436" spans="1:10" ht="16.5" thickBot="1" x14ac:dyDescent="0.9">
      <c r="A436" s="86"/>
      <c r="B436" s="162"/>
      <c r="C436" s="147" t="str">
        <f t="shared" si="22"/>
        <v>- []</v>
      </c>
      <c r="D436" s="86"/>
      <c r="E436" s="82">
        <f t="shared" si="20"/>
        <v>0</v>
      </c>
      <c r="F436" s="82" t="str">
        <f t="shared" si="21"/>
        <v/>
      </c>
      <c r="G436" s="144"/>
      <c r="H436" s="85" t="s">
        <v>1137</v>
      </c>
      <c r="I436" s="86"/>
      <c r="J436" s="86"/>
    </row>
    <row r="437" spans="1:10" ht="16.5" thickBot="1" x14ac:dyDescent="0.9">
      <c r="A437" s="86" t="s">
        <v>1806</v>
      </c>
      <c r="B437" s="90" t="s">
        <v>1807</v>
      </c>
      <c r="C437" s="147" t="str">
        <f t="shared" si="22"/>
        <v>A.2.9.2.3-Reason for change [Required]</v>
      </c>
      <c r="D437" s="85" t="s">
        <v>1808</v>
      </c>
      <c r="E437" s="82">
        <f t="shared" si="20"/>
        <v>0</v>
      </c>
      <c r="F437" s="82" t="str">
        <f t="shared" si="21"/>
        <v>1</v>
      </c>
      <c r="G437" s="144"/>
      <c r="H437" s="89" t="s">
        <v>1809</v>
      </c>
      <c r="I437" s="85" t="s">
        <v>915</v>
      </c>
      <c r="J437" s="85" t="s">
        <v>59</v>
      </c>
    </row>
    <row r="438" spans="1:10" ht="16.5" thickBot="1" x14ac:dyDescent="0.9">
      <c r="A438" s="86" t="s">
        <v>1810</v>
      </c>
      <c r="B438" s="90" t="s">
        <v>64</v>
      </c>
      <c r="C438" s="147" t="str">
        <f t="shared" si="22"/>
        <v>A.2.9.2.4-Code [Required]</v>
      </c>
      <c r="D438" s="85" t="s">
        <v>1811</v>
      </c>
      <c r="E438" s="82">
        <f t="shared" si="20"/>
        <v>1</v>
      </c>
      <c r="F438" s="82" t="str">
        <f t="shared" si="21"/>
        <v>1</v>
      </c>
      <c r="G438" s="144"/>
      <c r="H438" s="85" t="s">
        <v>1812</v>
      </c>
      <c r="I438" s="85" t="s">
        <v>883</v>
      </c>
      <c r="J438" s="85" t="s">
        <v>59</v>
      </c>
    </row>
    <row r="439" spans="1:10" ht="32.25" thickBot="1" x14ac:dyDescent="0.9">
      <c r="A439" s="86" t="s">
        <v>1813</v>
      </c>
      <c r="B439" s="90" t="s">
        <v>1663</v>
      </c>
      <c r="C439" s="147" t="str">
        <f t="shared" si="22"/>
        <v>A.2.9.2.5-Brand name [Required]</v>
      </c>
      <c r="D439" s="85" t="s">
        <v>1664</v>
      </c>
      <c r="E439" s="82">
        <f t="shared" si="20"/>
        <v>1</v>
      </c>
      <c r="F439" s="82" t="str">
        <f t="shared" si="21"/>
        <v>1</v>
      </c>
      <c r="G439" s="144"/>
      <c r="H439" s="88"/>
      <c r="I439" s="85" t="s">
        <v>883</v>
      </c>
      <c r="J439" s="85" t="s">
        <v>59</v>
      </c>
    </row>
    <row r="440" spans="1:10" ht="48" thickBot="1" x14ac:dyDescent="0.9">
      <c r="A440" s="86" t="s">
        <v>1814</v>
      </c>
      <c r="B440" s="92" t="s">
        <v>1666</v>
      </c>
      <c r="C440" s="147" t="str">
        <f t="shared" si="22"/>
        <v>A.2.9.2.6-Active ingredient list [Required]</v>
      </c>
      <c r="D440" s="85" t="s">
        <v>1667</v>
      </c>
      <c r="E440" s="82">
        <f t="shared" si="20"/>
        <v>0</v>
      </c>
      <c r="F440" s="82" t="str">
        <f t="shared" si="21"/>
        <v>*</v>
      </c>
      <c r="G440" s="144"/>
      <c r="H440" s="85" t="s">
        <v>1374</v>
      </c>
      <c r="I440" s="85" t="s">
        <v>904</v>
      </c>
      <c r="J440" s="85" t="s">
        <v>59</v>
      </c>
    </row>
    <row r="441" spans="1:10" ht="16.5" customHeight="1" thickBot="1" x14ac:dyDescent="0.9">
      <c r="A441" s="93" t="s">
        <v>1815</v>
      </c>
      <c r="B441" s="158" t="s">
        <v>1669</v>
      </c>
      <c r="C441" s="147" t="str">
        <f t="shared" si="22"/>
        <v>A.2.9.2.7-Strength [Required]</v>
      </c>
      <c r="D441" s="93" t="s">
        <v>1670</v>
      </c>
      <c r="E441" s="82">
        <f t="shared" si="20"/>
        <v>0</v>
      </c>
      <c r="F441" s="82" t="str">
        <f t="shared" si="21"/>
        <v>*</v>
      </c>
      <c r="G441" s="153"/>
      <c r="H441" s="95" t="s">
        <v>1671</v>
      </c>
      <c r="I441" s="93" t="s">
        <v>904</v>
      </c>
      <c r="J441" s="93" t="s">
        <v>59</v>
      </c>
    </row>
    <row r="442" spans="1:10" ht="16.5" thickBot="1" x14ac:dyDescent="0.9">
      <c r="A442" s="86"/>
      <c r="B442" s="159"/>
      <c r="C442" s="147" t="str">
        <f t="shared" si="22"/>
        <v>- []</v>
      </c>
      <c r="D442" s="86"/>
      <c r="E442" s="82">
        <f t="shared" si="20"/>
        <v>0</v>
      </c>
      <c r="F442" s="82" t="str">
        <f t="shared" si="21"/>
        <v/>
      </c>
      <c r="G442" s="144"/>
      <c r="H442" s="85" t="s">
        <v>1672</v>
      </c>
      <c r="I442" s="86"/>
      <c r="J442" s="86"/>
    </row>
    <row r="443" spans="1:10" ht="32.25" thickBot="1" x14ac:dyDescent="0.9">
      <c r="A443" s="86" t="s">
        <v>1816</v>
      </c>
      <c r="B443" s="92" t="s">
        <v>1674</v>
      </c>
      <c r="C443" s="147" t="str">
        <f t="shared" si="22"/>
        <v>A.2.9.2.8-Pharmaceutical dose form [Required]</v>
      </c>
      <c r="D443" s="85" t="s">
        <v>1675</v>
      </c>
      <c r="E443" s="82">
        <f t="shared" si="20"/>
        <v>0</v>
      </c>
      <c r="F443" s="82" t="str">
        <f t="shared" si="21"/>
        <v>1</v>
      </c>
      <c r="G443" s="144"/>
      <c r="H443" s="85" t="s">
        <v>1672</v>
      </c>
      <c r="I443" s="85" t="s">
        <v>915</v>
      </c>
      <c r="J443" s="85" t="s">
        <v>59</v>
      </c>
    </row>
    <row r="444" spans="1:10" ht="32.25" thickBot="1" x14ac:dyDescent="0.9">
      <c r="A444" s="93" t="s">
        <v>1817</v>
      </c>
      <c r="B444" s="158" t="s">
        <v>1677</v>
      </c>
      <c r="C444" s="147" t="str">
        <f t="shared" si="22"/>
        <v>A.2.9.2.9-Dosage Regimen [Required]</v>
      </c>
      <c r="D444" s="95" t="s">
        <v>1818</v>
      </c>
      <c r="E444" s="82">
        <f t="shared" si="20"/>
        <v>0</v>
      </c>
      <c r="F444" s="82" t="str">
        <f t="shared" si="21"/>
        <v>*</v>
      </c>
      <c r="G444" s="122"/>
      <c r="H444" s="96"/>
      <c r="I444" s="93" t="s">
        <v>904</v>
      </c>
      <c r="J444" s="93" t="s">
        <v>59</v>
      </c>
    </row>
    <row r="445" spans="1:10" ht="16.5" thickBot="1" x14ac:dyDescent="0.9">
      <c r="A445" s="86"/>
      <c r="B445" s="159"/>
      <c r="C445" s="147" t="str">
        <f t="shared" si="22"/>
        <v>- []</v>
      </c>
      <c r="D445" s="85" t="s">
        <v>1819</v>
      </c>
      <c r="E445" s="82">
        <f t="shared" si="20"/>
        <v>0</v>
      </c>
      <c r="F445" s="82" t="str">
        <f t="shared" si="21"/>
        <v/>
      </c>
      <c r="G445" s="144"/>
      <c r="H445" s="98"/>
      <c r="I445" s="86"/>
      <c r="J445" s="86"/>
    </row>
    <row r="446" spans="1:10" ht="32.25" thickBot="1" x14ac:dyDescent="0.9">
      <c r="A446" s="86" t="s">
        <v>1820</v>
      </c>
      <c r="B446" s="92" t="s">
        <v>1584</v>
      </c>
      <c r="C446" s="147" t="str">
        <f t="shared" si="22"/>
        <v>A.2.9.2.10-Route of administration [Required]</v>
      </c>
      <c r="D446" s="85" t="s">
        <v>1821</v>
      </c>
      <c r="E446" s="82">
        <f t="shared" si="20"/>
        <v>0</v>
      </c>
      <c r="F446" s="82" t="str">
        <f t="shared" si="21"/>
        <v>1</v>
      </c>
      <c r="G446" s="144"/>
      <c r="H446" s="85" t="s">
        <v>1672</v>
      </c>
      <c r="I446" s="85" t="s">
        <v>915</v>
      </c>
      <c r="J446" s="85" t="s">
        <v>59</v>
      </c>
    </row>
    <row r="447" spans="1:10" ht="32.25" thickBot="1" x14ac:dyDescent="0.9">
      <c r="A447" s="86" t="s">
        <v>1822</v>
      </c>
      <c r="B447" s="92" t="s">
        <v>1823</v>
      </c>
      <c r="C447" s="147" t="str">
        <f t="shared" si="22"/>
        <v>A.2.9.2.11-Period of treatment [Required]</v>
      </c>
      <c r="D447" s="85" t="s">
        <v>1824</v>
      </c>
      <c r="E447" s="82">
        <f t="shared" si="20"/>
        <v>0</v>
      </c>
      <c r="F447" s="82" t="str">
        <f t="shared" si="21"/>
        <v>1</v>
      </c>
      <c r="G447" s="144"/>
      <c r="H447" s="88"/>
      <c r="I447" s="85" t="s">
        <v>915</v>
      </c>
      <c r="J447" s="85" t="s">
        <v>59</v>
      </c>
    </row>
    <row r="448" spans="1:10" ht="79.5" thickBot="1" x14ac:dyDescent="0.9">
      <c r="A448" s="86" t="s">
        <v>1825</v>
      </c>
      <c r="B448" s="92" t="s">
        <v>1826</v>
      </c>
      <c r="C448" s="147" t="str">
        <f t="shared" si="22"/>
        <v>A.2.9.2.12-Days supplied [Required]</v>
      </c>
      <c r="D448" s="85" t="s">
        <v>1827</v>
      </c>
      <c r="E448" s="82">
        <f t="shared" si="20"/>
        <v>1</v>
      </c>
      <c r="F448" s="82" t="str">
        <f t="shared" si="21"/>
        <v>1</v>
      </c>
      <c r="G448" s="144"/>
      <c r="H448" s="88"/>
      <c r="I448" s="85" t="s">
        <v>883</v>
      </c>
      <c r="J448" s="85" t="s">
        <v>59</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51" zoomScale="115" zoomScaleNormal="115" workbookViewId="0">
      <selection activeCell="B58" sqref="B5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872</v>
      </c>
      <c r="J4" s="17" t="str">
        <f>CONCATENATE("Logical: ",B4)</f>
        <v>Logical: HospitalDischargeReportEHN</v>
      </c>
    </row>
    <row r="5" spans="1:12" x14ac:dyDescent="0.75">
      <c r="A5" s="15" t="s">
        <v>17</v>
      </c>
      <c r="B5" s="32" t="s">
        <v>873</v>
      </c>
      <c r="J5" s="17" t="str">
        <f>CONCATENATE("Id: ",B5)</f>
        <v>Id: HospitalDischargeReport</v>
      </c>
    </row>
    <row r="6" spans="1:12" x14ac:dyDescent="0.75">
      <c r="A6" s="15" t="s">
        <v>11</v>
      </c>
      <c r="B6" s="33" t="s">
        <v>874</v>
      </c>
      <c r="J6" s="18" t="str">
        <f>CONCATENATE("Title: ##34#",B6,"##34#")</f>
        <v>Title: ##34#Hospital Discharge Report (eHN)##34#</v>
      </c>
    </row>
    <row r="7" spans="1:12" ht="30.25" thickBot="1" x14ac:dyDescent="0.9">
      <c r="A7" s="27" t="s">
        <v>3</v>
      </c>
      <c r="B7" s="37" t="s">
        <v>875</v>
      </c>
      <c r="C7" s="9" t="s">
        <v>4</v>
      </c>
      <c r="D7" s="1" t="s">
        <v>5</v>
      </c>
      <c r="E7" s="3" t="s">
        <v>6</v>
      </c>
      <c r="F7" s="3" t="s">
        <v>7</v>
      </c>
      <c r="G7" s="3" t="s">
        <v>8</v>
      </c>
      <c r="H7" s="63" t="s">
        <v>169</v>
      </c>
      <c r="J7" s="18" t="str">
        <f>CONCATENATE("Description: "," ##334#",B7,"##334#",)</f>
        <v>Description:  ##334#Hospital Discharge Report
Maturity Level: 0 Draft##334#</v>
      </c>
    </row>
    <row r="8" spans="1:12" ht="44.25" x14ac:dyDescent="0.75">
      <c r="A8" s="11">
        <v>0</v>
      </c>
      <c r="B8" s="11" t="s">
        <v>1890</v>
      </c>
      <c r="C8" s="12" t="s">
        <v>1872</v>
      </c>
      <c r="D8" s="12" t="s">
        <v>1872</v>
      </c>
      <c r="E8" s="11">
        <v>1</v>
      </c>
      <c r="F8" s="11">
        <v>1</v>
      </c>
      <c r="G8" s="11" t="s">
        <v>2</v>
      </c>
      <c r="H8" s="12"/>
      <c r="I8" s="26"/>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1894</v>
      </c>
      <c r="C9" s="12" t="s">
        <v>1873</v>
      </c>
      <c r="D9" s="12" t="s">
        <v>1873</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1922</v>
      </c>
      <c r="C10" s="12" t="s">
        <v>2019</v>
      </c>
      <c r="D10" s="12" t="s">
        <v>2028</v>
      </c>
      <c r="E10" s="11">
        <v>1</v>
      </c>
      <c r="F10" s="11" t="s">
        <v>9</v>
      </c>
      <c r="G10" s="11" t="s">
        <v>1</v>
      </c>
      <c r="H10" s="12"/>
      <c r="I10" s="26"/>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1923</v>
      </c>
      <c r="C11" s="12" t="s">
        <v>1917</v>
      </c>
      <c r="D11" s="12" t="s">
        <v>2029</v>
      </c>
      <c r="E11" s="11">
        <v>1</v>
      </c>
      <c r="F11" s="11" t="s">
        <v>9</v>
      </c>
      <c r="G11" s="11" t="s">
        <v>1</v>
      </c>
      <c r="H11" s="12"/>
      <c r="I11" s="26"/>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1924</v>
      </c>
      <c r="C12" s="12" t="s">
        <v>2020</v>
      </c>
      <c r="D12" s="12" t="s">
        <v>896</v>
      </c>
      <c r="E12" s="11">
        <v>1</v>
      </c>
      <c r="F12" s="11">
        <v>1</v>
      </c>
      <c r="G12" s="11" t="s">
        <v>1921</v>
      </c>
      <c r="H12" s="12"/>
      <c r="I12" s="26"/>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1925</v>
      </c>
      <c r="C13" s="12" t="s">
        <v>2021</v>
      </c>
      <c r="D13" s="12" t="s">
        <v>2030</v>
      </c>
      <c r="E13" s="11">
        <v>1</v>
      </c>
      <c r="F13" s="11" t="s">
        <v>9</v>
      </c>
      <c r="G13" s="11" t="s">
        <v>927</v>
      </c>
      <c r="H13" s="12"/>
      <c r="I13" s="26"/>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1926</v>
      </c>
      <c r="C14" s="12" t="s">
        <v>1918</v>
      </c>
      <c r="D14" s="12" t="s">
        <v>902</v>
      </c>
      <c r="E14" s="11">
        <v>0</v>
      </c>
      <c r="F14" s="11" t="s">
        <v>9</v>
      </c>
      <c r="G14" s="11" t="s">
        <v>0</v>
      </c>
      <c r="H14" s="11" t="s">
        <v>903</v>
      </c>
      <c r="I14" s="26"/>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1927</v>
      </c>
      <c r="C15" s="12" t="s">
        <v>1919</v>
      </c>
      <c r="D15" s="12" t="s">
        <v>2044</v>
      </c>
      <c r="E15" s="11">
        <v>1</v>
      </c>
      <c r="F15" s="11">
        <v>1</v>
      </c>
      <c r="G15" s="11" t="s">
        <v>0</v>
      </c>
      <c r="H15" s="11" t="s">
        <v>2031</v>
      </c>
      <c r="I15" s="26"/>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1928</v>
      </c>
      <c r="C16" s="12" t="s">
        <v>1920</v>
      </c>
      <c r="D16" s="12" t="s">
        <v>2032</v>
      </c>
      <c r="E16" s="11">
        <v>0</v>
      </c>
      <c r="F16" s="11" t="s">
        <v>9</v>
      </c>
      <c r="G16" s="11" t="s">
        <v>0</v>
      </c>
      <c r="H16" s="11" t="s">
        <v>911</v>
      </c>
      <c r="I16" s="26"/>
      <c r="J16" s="12" t="str">
        <f t="shared" si="0"/>
        <v>* header.subject-identification.language 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1895</v>
      </c>
      <c r="C17" s="12" t="s">
        <v>1874</v>
      </c>
      <c r="D17" s="12" t="s">
        <v>1874</v>
      </c>
      <c r="E17" s="11">
        <v>0</v>
      </c>
      <c r="F17" s="11">
        <v>1</v>
      </c>
      <c r="G17" s="11" t="s">
        <v>2</v>
      </c>
      <c r="H17" s="12"/>
      <c r="I17" s="26"/>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1951</v>
      </c>
      <c r="C18" s="12" t="s">
        <v>1929</v>
      </c>
      <c r="D18" s="12" t="s">
        <v>1929</v>
      </c>
      <c r="E18" s="6">
        <v>0</v>
      </c>
      <c r="F18" s="6" t="s">
        <v>9</v>
      </c>
      <c r="G18" s="11" t="s">
        <v>2</v>
      </c>
      <c r="H18" s="12"/>
      <c r="I18" s="26"/>
      <c r="J18" s="12" t="str">
        <f t="shared" si="0"/>
        <v>* header.subject-contact.contactPoint 0..* BackboneElement ##34#A.1.2.1-Patient address []##34# ##334#A.1.2.1-Patient address []##334#</v>
      </c>
      <c r="L18" s="12" t="str">
        <f t="shared" si="1"/>
        <v/>
      </c>
    </row>
    <row r="19" spans="1:12" ht="103.25" x14ac:dyDescent="0.75">
      <c r="A19" s="11">
        <v>11</v>
      </c>
      <c r="B19" s="11" t="s">
        <v>1952</v>
      </c>
      <c r="C19" s="12" t="s">
        <v>1930</v>
      </c>
      <c r="D19" s="12" t="s">
        <v>920</v>
      </c>
      <c r="E19" s="11">
        <v>0</v>
      </c>
      <c r="F19" s="11" t="s">
        <v>9</v>
      </c>
      <c r="G19" s="11" t="s">
        <v>919</v>
      </c>
      <c r="H19" s="11" t="s">
        <v>903</v>
      </c>
      <c r="I19" s="26"/>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1953</v>
      </c>
      <c r="C20" s="12" t="s">
        <v>1931</v>
      </c>
      <c r="D20" s="12" t="s">
        <v>923</v>
      </c>
      <c r="E20" s="11">
        <v>0</v>
      </c>
      <c r="F20" s="11" t="s">
        <v>9</v>
      </c>
      <c r="G20" s="11" t="s">
        <v>1977</v>
      </c>
      <c r="H20" s="11"/>
      <c r="I20" s="26"/>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1954</v>
      </c>
      <c r="C21" s="12" t="s">
        <v>1932</v>
      </c>
      <c r="D21" s="12" t="s">
        <v>1829</v>
      </c>
      <c r="E21" s="11">
        <v>0</v>
      </c>
      <c r="F21" s="11" t="s">
        <v>9</v>
      </c>
      <c r="G21" s="11" t="s">
        <v>2</v>
      </c>
      <c r="H21" s="11"/>
      <c r="I21" s="26"/>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1955</v>
      </c>
      <c r="C22" s="12" t="s">
        <v>1933</v>
      </c>
      <c r="D22" s="12" t="s">
        <v>2033</v>
      </c>
      <c r="E22" s="11">
        <v>0</v>
      </c>
      <c r="F22" s="11" t="s">
        <v>9</v>
      </c>
      <c r="G22" s="11" t="s">
        <v>927</v>
      </c>
      <c r="H22" s="11"/>
      <c r="I22" s="26"/>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1956</v>
      </c>
      <c r="C23" s="12" t="s">
        <v>1934</v>
      </c>
      <c r="D23" s="12" t="s">
        <v>1830</v>
      </c>
      <c r="E23" s="11">
        <v>1</v>
      </c>
      <c r="F23" s="11" t="s">
        <v>92</v>
      </c>
      <c r="G23" s="11" t="s">
        <v>1968</v>
      </c>
      <c r="H23" s="11"/>
      <c r="I23" s="26"/>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1957</v>
      </c>
      <c r="C24" s="12" t="s">
        <v>1935</v>
      </c>
      <c r="D24" s="12" t="s">
        <v>936</v>
      </c>
      <c r="E24" s="11">
        <v>0</v>
      </c>
      <c r="F24" s="11" t="s">
        <v>9</v>
      </c>
      <c r="G24" s="11" t="s">
        <v>0</v>
      </c>
      <c r="H24" s="11" t="s">
        <v>937</v>
      </c>
      <c r="I24" s="26"/>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1958</v>
      </c>
      <c r="C25" s="12" t="s">
        <v>1936</v>
      </c>
      <c r="D25" s="12" t="s">
        <v>940</v>
      </c>
      <c r="E25" s="11">
        <v>0</v>
      </c>
      <c r="F25" s="11" t="s">
        <v>92</v>
      </c>
      <c r="G25" s="11" t="s">
        <v>2</v>
      </c>
      <c r="H25" s="11"/>
      <c r="I25" s="26"/>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1959</v>
      </c>
      <c r="C26" s="12" t="s">
        <v>1937</v>
      </c>
      <c r="D26" s="12" t="s">
        <v>920</v>
      </c>
      <c r="E26" s="11">
        <v>0</v>
      </c>
      <c r="F26" s="11" t="s">
        <v>92</v>
      </c>
      <c r="G26" s="11" t="s">
        <v>919</v>
      </c>
      <c r="H26" s="11"/>
      <c r="I26" s="26"/>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1960</v>
      </c>
      <c r="C27" s="12" t="s">
        <v>1938</v>
      </c>
      <c r="D27" s="12" t="s">
        <v>923</v>
      </c>
      <c r="E27" s="11">
        <v>0</v>
      </c>
      <c r="F27" s="11" t="s">
        <v>9</v>
      </c>
      <c r="G27" s="11" t="s">
        <v>1977</v>
      </c>
      <c r="H27" s="11"/>
      <c r="I27" s="26"/>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1969</v>
      </c>
      <c r="C28" s="12" t="s">
        <v>1939</v>
      </c>
      <c r="D28" s="12" t="s">
        <v>1939</v>
      </c>
      <c r="E28" s="11">
        <v>0</v>
      </c>
      <c r="F28" s="11" t="s">
        <v>9</v>
      </c>
      <c r="G28" s="11" t="s">
        <v>2</v>
      </c>
      <c r="H28" s="11"/>
      <c r="I28" s="26"/>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1970</v>
      </c>
      <c r="C29" s="12" t="s">
        <v>1940</v>
      </c>
      <c r="D29" s="12" t="s">
        <v>947</v>
      </c>
      <c r="E29" s="6">
        <v>0</v>
      </c>
      <c r="F29" s="6" t="s">
        <v>9</v>
      </c>
      <c r="G29" s="11" t="s">
        <v>0</v>
      </c>
      <c r="H29" s="11" t="s">
        <v>948</v>
      </c>
      <c r="I29" s="26"/>
      <c r="J29" s="12" t="str">
        <f t="shared" si="0"/>
        <v>* header.subject-contact.contactPoint.person.role 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1971</v>
      </c>
      <c r="C30" s="12" t="s">
        <v>2022</v>
      </c>
      <c r="D30" s="12" t="s">
        <v>951</v>
      </c>
      <c r="E30" s="11">
        <v>0</v>
      </c>
      <c r="F30" s="11" t="s">
        <v>92</v>
      </c>
      <c r="G30" s="11" t="s">
        <v>0</v>
      </c>
      <c r="H30" s="11" t="s">
        <v>952</v>
      </c>
      <c r="I30" s="26"/>
      <c r="J30" s="12" t="str">
        <f t="shared" si="0"/>
        <v>* header.subject-contact.contactPoint.person.relationship 0..1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1972</v>
      </c>
      <c r="C31" s="12" t="s">
        <v>1941</v>
      </c>
      <c r="D31" s="12" t="s">
        <v>2034</v>
      </c>
      <c r="E31" s="11">
        <v>0</v>
      </c>
      <c r="F31" s="11" t="s">
        <v>9</v>
      </c>
      <c r="G31" s="11" t="s">
        <v>927</v>
      </c>
      <c r="H31" s="12"/>
      <c r="I31" s="26"/>
      <c r="J31" s="12" t="str">
        <f t="shared" si="0"/>
        <v>* header.subject-contact.contactPoint.person.identifier 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1973</v>
      </c>
      <c r="C32" s="12" t="s">
        <v>1942</v>
      </c>
      <c r="D32" s="12" t="s">
        <v>957</v>
      </c>
      <c r="E32" s="11">
        <v>1</v>
      </c>
      <c r="F32" s="11" t="s">
        <v>9</v>
      </c>
      <c r="G32" s="11" t="s">
        <v>1</v>
      </c>
      <c r="H32" s="12"/>
      <c r="I32" s="26"/>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1974</v>
      </c>
      <c r="C33" s="12" t="s">
        <v>1943</v>
      </c>
      <c r="D33" s="12" t="s">
        <v>959</v>
      </c>
      <c r="E33" s="11">
        <v>1</v>
      </c>
      <c r="F33" s="11" t="s">
        <v>9</v>
      </c>
      <c r="G33" s="11" t="s">
        <v>1</v>
      </c>
      <c r="H33" s="12"/>
      <c r="I33" s="26"/>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1975</v>
      </c>
      <c r="C34" s="12" t="s">
        <v>1944</v>
      </c>
      <c r="D34" s="12" t="s">
        <v>961</v>
      </c>
      <c r="E34" s="11">
        <v>0</v>
      </c>
      <c r="F34" s="11" t="s">
        <v>92</v>
      </c>
      <c r="G34" s="11" t="s">
        <v>919</v>
      </c>
      <c r="H34" s="12"/>
      <c r="I34" s="26"/>
      <c r="J34" s="12" t="str">
        <f t="shared" si="0"/>
        <v>* header.subject-contact.contactPoint.person.address 0..1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1976</v>
      </c>
      <c r="C35" s="12" t="s">
        <v>1945</v>
      </c>
      <c r="D35" s="12" t="s">
        <v>923</v>
      </c>
      <c r="E35" s="11">
        <v>0</v>
      </c>
      <c r="F35" s="11" t="s">
        <v>9</v>
      </c>
      <c r="G35" s="11" t="s">
        <v>1977</v>
      </c>
      <c r="H35" s="12"/>
      <c r="I35" s="26"/>
      <c r="J35" s="12" t="str">
        <f t="shared" si="0"/>
        <v>* header.subject-contact.contactPoint.person.telecom 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1896</v>
      </c>
      <c r="C36" s="12" t="s">
        <v>1875</v>
      </c>
      <c r="D36" s="12" t="s">
        <v>2035</v>
      </c>
      <c r="E36" s="11">
        <v>0</v>
      </c>
      <c r="F36" s="11">
        <v>1</v>
      </c>
      <c r="G36" s="11" t="s">
        <v>2</v>
      </c>
      <c r="H36" s="12"/>
      <c r="I36" s="26"/>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1961</v>
      </c>
      <c r="C37" s="12" t="s">
        <v>1946</v>
      </c>
      <c r="D37" s="12" t="s">
        <v>967</v>
      </c>
      <c r="E37" s="11">
        <v>0</v>
      </c>
      <c r="F37" s="11" t="s">
        <v>92</v>
      </c>
      <c r="G37" s="11" t="s">
        <v>927</v>
      </c>
      <c r="H37" s="12"/>
      <c r="I37" s="26"/>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1963</v>
      </c>
      <c r="C38" s="12" t="s">
        <v>1947</v>
      </c>
      <c r="D38" s="12" t="s">
        <v>970</v>
      </c>
      <c r="E38" s="11">
        <v>0</v>
      </c>
      <c r="F38" s="11" t="s">
        <v>92</v>
      </c>
      <c r="G38" s="11" t="s">
        <v>1</v>
      </c>
      <c r="H38" s="12"/>
      <c r="I38" s="26"/>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1962</v>
      </c>
      <c r="C39" s="12" t="s">
        <v>1948</v>
      </c>
      <c r="D39" s="12" t="s">
        <v>973</v>
      </c>
      <c r="E39" s="11">
        <v>0</v>
      </c>
      <c r="F39" s="11" t="s">
        <v>92</v>
      </c>
      <c r="G39" s="11" t="s">
        <v>927</v>
      </c>
      <c r="H39" s="12"/>
      <c r="I39" s="26"/>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1897</v>
      </c>
      <c r="C40" s="12" t="s">
        <v>1876</v>
      </c>
      <c r="D40" s="12" t="s">
        <v>1891</v>
      </c>
      <c r="E40" s="11">
        <v>0</v>
      </c>
      <c r="F40" s="11" t="s">
        <v>9</v>
      </c>
      <c r="G40" s="11" t="s">
        <v>2</v>
      </c>
      <c r="H40" s="12"/>
      <c r="I40" s="26"/>
      <c r="J40" s="12" t="str">
        <f t="shared" si="0"/>
        <v>* header.informationRecipient 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1965</v>
      </c>
      <c r="C41" s="12" t="s">
        <v>1949</v>
      </c>
      <c r="D41" s="12" t="s">
        <v>2036</v>
      </c>
      <c r="E41" s="11">
        <v>0</v>
      </c>
      <c r="F41" s="11" t="s">
        <v>92</v>
      </c>
      <c r="G41" s="11" t="s">
        <v>927</v>
      </c>
      <c r="H41" s="12"/>
      <c r="I41" s="26"/>
      <c r="J41" s="12" t="str">
        <f t="shared" si="0"/>
        <v>* header.informationRecipient.identifier 0..1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1964</v>
      </c>
      <c r="C42" s="12" t="s">
        <v>1950</v>
      </c>
      <c r="D42" s="12" t="s">
        <v>981</v>
      </c>
      <c r="E42" s="11">
        <v>0</v>
      </c>
      <c r="F42" s="11" t="s">
        <v>92</v>
      </c>
      <c r="G42" s="11" t="s">
        <v>1968</v>
      </c>
      <c r="H42" s="12"/>
      <c r="I42" s="26"/>
      <c r="J42" s="12" t="str">
        <f t="shared" si="0"/>
        <v>* header.informationRecipient.name 0..1 HumanName ##34#A.1.4.2-Recipient name [Required]##34# ##334#Person name.##334#</v>
      </c>
      <c r="L42" s="12" t="str">
        <f t="shared" si="1"/>
        <v/>
      </c>
    </row>
    <row r="43" spans="1:12" ht="73.75" x14ac:dyDescent="0.75">
      <c r="A43" s="11">
        <v>35</v>
      </c>
      <c r="B43" s="11" t="s">
        <v>1966</v>
      </c>
      <c r="C43" s="12" t="s">
        <v>2037</v>
      </c>
      <c r="D43" s="12" t="s">
        <v>2038</v>
      </c>
      <c r="E43" s="11">
        <v>0</v>
      </c>
      <c r="F43" s="11" t="s">
        <v>9</v>
      </c>
      <c r="G43" s="11" t="s">
        <v>927</v>
      </c>
      <c r="H43" s="12"/>
      <c r="I43" s="26"/>
      <c r="J43" s="12" t="str">
        <f t="shared" si="0"/>
        <v>* header.informationRecipient.organizationID 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1967</v>
      </c>
      <c r="C44" s="12" t="s">
        <v>2023</v>
      </c>
      <c r="D44" s="12" t="s">
        <v>987</v>
      </c>
      <c r="E44" s="11">
        <v>0</v>
      </c>
      <c r="F44" s="11" t="s">
        <v>92</v>
      </c>
      <c r="G44" s="11" t="s">
        <v>2</v>
      </c>
      <c r="H44" s="12"/>
      <c r="I44" s="26"/>
      <c r="J44" s="12" t="str">
        <f t="shared" si="0"/>
        <v>* header.informationRecipient.organization 0..1 BackboneElement ##34#A.1.4.4-Recipient organization [Required]##34# ##334#The healthcare provider organization information.##334#</v>
      </c>
      <c r="L44" s="12" t="str">
        <f t="shared" si="1"/>
        <v/>
      </c>
    </row>
    <row r="45" spans="1:12" ht="44.25" x14ac:dyDescent="0.75">
      <c r="A45" s="11">
        <v>37</v>
      </c>
      <c r="B45" s="11" t="s">
        <v>1898</v>
      </c>
      <c r="C45" s="12" t="s">
        <v>1877</v>
      </c>
      <c r="D45" s="12" t="s">
        <v>989</v>
      </c>
      <c r="E45" s="11">
        <v>1</v>
      </c>
      <c r="F45" s="11" t="s">
        <v>9</v>
      </c>
      <c r="G45" s="11" t="s">
        <v>2</v>
      </c>
      <c r="H45" s="12"/>
      <c r="I45" s="26"/>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v>38</v>
      </c>
      <c r="B46" s="11" t="s">
        <v>1998</v>
      </c>
      <c r="C46" s="12" t="s">
        <v>1978</v>
      </c>
      <c r="D46" s="12" t="s">
        <v>2039</v>
      </c>
      <c r="E46" s="11">
        <v>1</v>
      </c>
      <c r="F46" s="11" t="s">
        <v>9</v>
      </c>
      <c r="G46" s="11" t="s">
        <v>927</v>
      </c>
      <c r="H46" s="12"/>
      <c r="I46" s="26"/>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1999</v>
      </c>
      <c r="C47" s="12" t="s">
        <v>1979</v>
      </c>
      <c r="D47" s="12" t="s">
        <v>981</v>
      </c>
      <c r="E47" s="11">
        <v>1</v>
      </c>
      <c r="F47" s="11" t="s">
        <v>92</v>
      </c>
      <c r="G47" s="11" t="s">
        <v>1968</v>
      </c>
      <c r="H47" s="12"/>
      <c r="I47" s="26"/>
      <c r="J47" s="12" t="str">
        <f t="shared" si="0"/>
        <v>* header.author.name 1..1 HumanName ##34#A.1.5.2-Author name [Mandatory]##34# ##334#Person name.##334#</v>
      </c>
      <c r="L47" s="12" t="str">
        <f t="shared" si="1"/>
        <v/>
      </c>
    </row>
    <row r="48" spans="1:12" ht="44.25" x14ac:dyDescent="0.75">
      <c r="A48" s="11">
        <v>40</v>
      </c>
      <c r="B48" s="11" t="s">
        <v>2000</v>
      </c>
      <c r="C48" s="12" t="s">
        <v>2040</v>
      </c>
      <c r="D48" s="4" t="s">
        <v>987</v>
      </c>
      <c r="E48" s="11">
        <v>0</v>
      </c>
      <c r="F48" s="11" t="s">
        <v>9</v>
      </c>
      <c r="G48" s="11" t="s">
        <v>927</v>
      </c>
      <c r="H48" s="12"/>
      <c r="I48" s="26"/>
      <c r="J48" s="12" t="str">
        <f t="shared" si="0"/>
        <v>* header.author.organizationID 0..* Identifier ##34#A.1.5.3-Author organization ID [Required]##34# ##334#The healthcare provider organization information.##334#</v>
      </c>
      <c r="L48" s="12" t="str">
        <f t="shared" si="1"/>
        <v/>
      </c>
    </row>
    <row r="49" spans="1:12" ht="73.75" x14ac:dyDescent="0.75">
      <c r="A49" s="11">
        <v>41</v>
      </c>
      <c r="B49" s="11" t="s">
        <v>2002</v>
      </c>
      <c r="C49" s="12" t="s">
        <v>2024</v>
      </c>
      <c r="D49" s="12" t="s">
        <v>2038</v>
      </c>
      <c r="E49" s="11">
        <v>1</v>
      </c>
      <c r="F49" s="11" t="s">
        <v>92</v>
      </c>
      <c r="G49" s="11" t="s">
        <v>2</v>
      </c>
      <c r="H49" s="12"/>
      <c r="I49" s="26"/>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2003</v>
      </c>
      <c r="C50" s="12" t="s">
        <v>1980</v>
      </c>
      <c r="D50" s="12" t="s">
        <v>1001</v>
      </c>
      <c r="E50" s="11">
        <v>1</v>
      </c>
      <c r="F50" s="11" t="s">
        <v>92</v>
      </c>
      <c r="G50" s="11" t="s">
        <v>1921</v>
      </c>
      <c r="H50" s="12"/>
      <c r="I50" s="26"/>
      <c r="J50" s="12" t="str">
        <f t="shared" si="0"/>
        <v>* header.author.dateTime 1..1 dateTime ##34#A.1.5.5-DateTime [Mandatory]##34# ##334#Date and time of the last modification of the document by its Author.##334#</v>
      </c>
      <c r="L50" s="12" t="str">
        <f t="shared" si="1"/>
        <v/>
      </c>
    </row>
    <row r="51" spans="1:12" ht="29.5" x14ac:dyDescent="0.75">
      <c r="A51" s="11">
        <v>43</v>
      </c>
      <c r="B51" s="11" t="s">
        <v>1899</v>
      </c>
      <c r="C51" s="12" t="s">
        <v>2025</v>
      </c>
      <c r="D51" s="12" t="s">
        <v>2025</v>
      </c>
      <c r="E51" s="11">
        <v>0</v>
      </c>
      <c r="F51" s="11" t="s">
        <v>9</v>
      </c>
      <c r="G51" s="11" t="s">
        <v>2</v>
      </c>
      <c r="H51" s="12"/>
      <c r="I51" s="26"/>
      <c r="J51" s="12" t="str">
        <f t="shared" si="0"/>
        <v>* header.attester 0..* BackboneElement ##34#A.1.6-Attester [Required]##34# ##334#A.1.6-Attester [Required]##334#</v>
      </c>
      <c r="L51" s="12" t="str">
        <f t="shared" si="1"/>
        <v/>
      </c>
    </row>
    <row r="52" spans="1:12" ht="73.75" x14ac:dyDescent="0.75">
      <c r="A52" s="11">
        <v>44</v>
      </c>
      <c r="B52" s="11" t="s">
        <v>2004</v>
      </c>
      <c r="C52" s="12" t="s">
        <v>1981</v>
      </c>
      <c r="D52" s="12" t="s">
        <v>2039</v>
      </c>
      <c r="E52" s="11">
        <v>1</v>
      </c>
      <c r="F52" s="11" t="s">
        <v>9</v>
      </c>
      <c r="G52" s="11" t="s">
        <v>927</v>
      </c>
      <c r="H52" s="12"/>
      <c r="I52" s="26"/>
      <c r="J52" s="12" t="str">
        <f t="shared" si="0"/>
        <v>* header.attester.identifier 1..*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2005</v>
      </c>
      <c r="C53" s="12" t="s">
        <v>1982</v>
      </c>
      <c r="D53" s="12" t="s">
        <v>981</v>
      </c>
      <c r="E53" s="11">
        <v>1</v>
      </c>
      <c r="F53" s="11" t="s">
        <v>92</v>
      </c>
      <c r="G53" s="11" t="s">
        <v>1968</v>
      </c>
      <c r="H53" s="12"/>
      <c r="I53" s="26"/>
      <c r="J53" s="12" t="str">
        <f t="shared" si="0"/>
        <v>* header.attester.name 1..1 HumanName ##34#A.1.6.2-Attester name [Mandatory]##34# ##334#Person name.##334#</v>
      </c>
      <c r="L53" s="12" t="str">
        <f t="shared" si="1"/>
        <v/>
      </c>
    </row>
    <row r="54" spans="1:12" ht="73.75" x14ac:dyDescent="0.75">
      <c r="A54" s="11">
        <v>46</v>
      </c>
      <c r="B54" s="155" t="s">
        <v>2001</v>
      </c>
      <c r="C54" s="12" t="s">
        <v>2041</v>
      </c>
      <c r="D54" s="12" t="s">
        <v>2038</v>
      </c>
      <c r="E54" s="11">
        <v>0</v>
      </c>
      <c r="F54" s="11" t="s">
        <v>9</v>
      </c>
      <c r="G54" s="11" t="s">
        <v>927</v>
      </c>
      <c r="H54" s="12"/>
      <c r="I54" s="26"/>
      <c r="J54" s="12" t="str">
        <f t="shared" si="0"/>
        <v>* header.attester.organizationID 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2006</v>
      </c>
      <c r="C55" s="12" t="s">
        <v>2026</v>
      </c>
      <c r="D55" s="12" t="s">
        <v>987</v>
      </c>
      <c r="E55" s="11">
        <v>1</v>
      </c>
      <c r="F55" s="11" t="s">
        <v>92</v>
      </c>
      <c r="G55" s="11" t="s">
        <v>2</v>
      </c>
      <c r="H55" s="12"/>
      <c r="I55" s="26"/>
      <c r="J55" s="12" t="str">
        <f t="shared" si="0"/>
        <v>* header.attester.organization 1..1 BackboneElement ##34#A.1.6.4-Attester organization [Mandatory]##34# ##334#The healthcare provider organization information.##334#</v>
      </c>
      <c r="L55" s="12" t="str">
        <f t="shared" si="1"/>
        <v/>
      </c>
    </row>
    <row r="56" spans="1:12" ht="44.25" x14ac:dyDescent="0.75">
      <c r="A56" s="11">
        <v>48</v>
      </c>
      <c r="B56" s="11" t="s">
        <v>2007</v>
      </c>
      <c r="C56" s="12" t="s">
        <v>1983</v>
      </c>
      <c r="D56" s="12" t="s">
        <v>1014</v>
      </c>
      <c r="E56" s="11">
        <v>1</v>
      </c>
      <c r="F56" s="11" t="s">
        <v>92</v>
      </c>
      <c r="G56" s="11" t="s">
        <v>1921</v>
      </c>
      <c r="H56" s="12"/>
      <c r="I56" s="26"/>
      <c r="J56" s="12" t="str">
        <f t="shared" si="0"/>
        <v>* header.attester.dateTime 1..1 dateTime ##34#A.1.6.5-Approval date and time [Mandatory]##34# ##334#Date and time of the approval of the document by Attester.##334#</v>
      </c>
      <c r="L56" s="12" t="str">
        <f t="shared" si="1"/>
        <v/>
      </c>
    </row>
    <row r="57" spans="1:12" ht="44.25" x14ac:dyDescent="0.75">
      <c r="A57" s="11">
        <v>49</v>
      </c>
      <c r="B57" s="11" t="s">
        <v>1900</v>
      </c>
      <c r="C57" s="12" t="s">
        <v>1878</v>
      </c>
      <c r="D57" s="12" t="s">
        <v>1835</v>
      </c>
      <c r="E57" s="11">
        <v>0</v>
      </c>
      <c r="F57" s="11" t="s">
        <v>92</v>
      </c>
      <c r="G57" s="11" t="s">
        <v>2</v>
      </c>
      <c r="H57" s="12"/>
      <c r="I57" s="26"/>
      <c r="J57" s="12" t="str">
        <f t="shared" si="0"/>
        <v>* header.legalAuthenticator 0..1 BackboneElement ##34#A.1.7-Legal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2047</v>
      </c>
      <c r="C58" s="12" t="s">
        <v>1984</v>
      </c>
      <c r="D58" s="12" t="s">
        <v>2039</v>
      </c>
      <c r="E58" s="11">
        <v>1</v>
      </c>
      <c r="F58" s="11" t="s">
        <v>9</v>
      </c>
      <c r="G58" s="11" t="s">
        <v>927</v>
      </c>
      <c r="H58" s="12"/>
      <c r="I58" s="26"/>
      <c r="J58" s="12" t="str">
        <f t="shared" si="0"/>
        <v>* header.legalAuthenticator.identifier 1..*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2048</v>
      </c>
      <c r="C59" s="12" t="s">
        <v>1985</v>
      </c>
      <c r="D59" s="12" t="s">
        <v>981</v>
      </c>
      <c r="E59" s="11">
        <v>1</v>
      </c>
      <c r="F59" s="11" t="s">
        <v>92</v>
      </c>
      <c r="G59" s="11" t="s">
        <v>1968</v>
      </c>
      <c r="H59" s="12"/>
      <c r="I59" s="26"/>
      <c r="J59" s="12" t="str">
        <f t="shared" si="0"/>
        <v>* header.legalAuthenticator.name 1..1 HumanName ##34#A.1.7.2-Legal authenticator name [Mandatory]##34# ##334#Person name.##334#</v>
      </c>
      <c r="L59" s="12" t="str">
        <f t="shared" si="1"/>
        <v/>
      </c>
    </row>
    <row r="60" spans="1:12" ht="73.75" x14ac:dyDescent="0.75">
      <c r="A60" s="11">
        <v>52</v>
      </c>
      <c r="B60" s="11" t="s">
        <v>2049</v>
      </c>
      <c r="C60" s="4" t="s">
        <v>2043</v>
      </c>
      <c r="D60" s="12" t="s">
        <v>984</v>
      </c>
      <c r="E60" s="11">
        <v>0</v>
      </c>
      <c r="F60" s="11" t="s">
        <v>9</v>
      </c>
      <c r="G60" s="11" t="s">
        <v>927</v>
      </c>
      <c r="H60" s="12"/>
      <c r="I60" s="26"/>
      <c r="J60" s="12" t="str">
        <f t="shared" si="0"/>
        <v>* header.legalAuthenticator.organizationID 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2050</v>
      </c>
      <c r="C61" s="12" t="s">
        <v>2027</v>
      </c>
      <c r="D61" s="12" t="s">
        <v>987</v>
      </c>
      <c r="E61" s="11">
        <v>1</v>
      </c>
      <c r="F61" s="11" t="s">
        <v>92</v>
      </c>
      <c r="G61" s="11" t="s">
        <v>2</v>
      </c>
      <c r="H61" s="12"/>
      <c r="I61" s="26"/>
      <c r="J61" s="12" t="str">
        <f t="shared" si="0"/>
        <v>* header.legalAuthenticator.organization 1..1 BackboneElement ##34#A.1.7.3-Legal authenticator organization [Mandatory]##34# ##334#The healthcare provider organization information.##334#</v>
      </c>
      <c r="L61" s="12" t="str">
        <f t="shared" si="1"/>
        <v/>
      </c>
    </row>
    <row r="62" spans="1:12" ht="44.25" x14ac:dyDescent="0.75">
      <c r="A62" s="11">
        <v>54</v>
      </c>
      <c r="B62" s="11" t="s">
        <v>2051</v>
      </c>
      <c r="C62" s="12" t="s">
        <v>1986</v>
      </c>
      <c r="D62" s="12" t="s">
        <v>1026</v>
      </c>
      <c r="E62" s="11">
        <v>1</v>
      </c>
      <c r="F62" s="11" t="s">
        <v>92</v>
      </c>
      <c r="G62" s="11" t="s">
        <v>1921</v>
      </c>
      <c r="H62" s="12"/>
      <c r="I62" s="26"/>
      <c r="J62" s="12" t="str">
        <f t="shared" si="0"/>
        <v>* header.legalAuthenticator.dateTime 1..1 dateTime ##34#A.1.7.4-Authentication date and time [Mandatory]##34# ##334#Date and time when the document was authorized.##334#</v>
      </c>
      <c r="L62" s="12" t="str">
        <f t="shared" si="1"/>
        <v/>
      </c>
    </row>
    <row r="63" spans="1:12" ht="44.25" x14ac:dyDescent="0.75">
      <c r="A63" s="11">
        <v>55</v>
      </c>
      <c r="B63" s="11" t="s">
        <v>1901</v>
      </c>
      <c r="C63" s="12" t="s">
        <v>1879</v>
      </c>
      <c r="D63" s="12" t="s">
        <v>1879</v>
      </c>
      <c r="E63" s="11">
        <v>1</v>
      </c>
      <c r="F63" s="11" t="s">
        <v>92</v>
      </c>
      <c r="G63" s="11" t="s">
        <v>2</v>
      </c>
      <c r="H63" s="12"/>
      <c r="I63" s="26"/>
      <c r="J63" s="12" t="str">
        <f t="shared" si="0"/>
        <v>* header.documentMetadata 1..1 BackboneElement ##34#A.1.8-Document metadata [Mandatory]##34# ##334#A.1.8-Document metadata [Mandatory]##334#</v>
      </c>
      <c r="L63" s="12" t="str">
        <f t="shared" si="1"/>
        <v/>
      </c>
    </row>
    <row r="64" spans="1:12" ht="29.5" x14ac:dyDescent="0.75">
      <c r="A64" s="11">
        <v>56</v>
      </c>
      <c r="B64" s="11" t="s">
        <v>2008</v>
      </c>
      <c r="C64" s="12" t="s">
        <v>1987</v>
      </c>
      <c r="D64" s="12" t="s">
        <v>1031</v>
      </c>
      <c r="E64" s="11">
        <v>1</v>
      </c>
      <c r="F64" s="11" t="s">
        <v>92</v>
      </c>
      <c r="G64" s="11" t="s">
        <v>927</v>
      </c>
      <c r="H64" s="12"/>
      <c r="I64" s="26"/>
      <c r="J64" s="12" t="str">
        <f t="shared" si="0"/>
        <v>* header.documentMetadata.identifier 1..1 Identifier ##34#A.1.8.1-Document ID [Mandatory]##34# ##334#Unique identifier of the document##334#</v>
      </c>
      <c r="L64" s="12" t="str">
        <f t="shared" si="1"/>
        <v/>
      </c>
    </row>
    <row r="65" spans="1:13" ht="44.25" x14ac:dyDescent="0.75">
      <c r="A65" s="11">
        <v>57</v>
      </c>
      <c r="B65" s="11" t="s">
        <v>2009</v>
      </c>
      <c r="C65" s="12" t="s">
        <v>1988</v>
      </c>
      <c r="D65" s="12" t="s">
        <v>2045</v>
      </c>
      <c r="E65" s="11">
        <v>1</v>
      </c>
      <c r="F65" s="11" t="s">
        <v>92</v>
      </c>
      <c r="G65" s="11" t="s">
        <v>0</v>
      </c>
      <c r="H65" s="12" t="s">
        <v>1035</v>
      </c>
      <c r="I65" s="26"/>
      <c r="J65" s="12" t="str">
        <f t="shared" si="0"/>
        <v>* header.documentMetadata.type 1..1 CodeableConcept ##34#A.1.8.2-Document type [Mandatory]##34# ##334#A coded type of the document. Fixed value 'Hospital dicharge summary'##334#</v>
      </c>
      <c r="L65" s="12" t="str">
        <f t="shared" si="1"/>
        <v>* header.documentMetadata.type ^comment = ##334#LOINC##334#</v>
      </c>
    </row>
    <row r="66" spans="1:13" ht="44.25" x14ac:dyDescent="0.75">
      <c r="A66" s="11">
        <v>58</v>
      </c>
      <c r="B66" s="11" t="s">
        <v>2010</v>
      </c>
      <c r="C66" s="12" t="s">
        <v>1989</v>
      </c>
      <c r="D66" s="12" t="s">
        <v>1038</v>
      </c>
      <c r="E66" s="11">
        <v>1</v>
      </c>
      <c r="F66" s="11" t="s">
        <v>92</v>
      </c>
      <c r="G66" s="11" t="s">
        <v>0</v>
      </c>
      <c r="H66" s="12" t="s">
        <v>2042</v>
      </c>
      <c r="I66" s="26"/>
      <c r="J66" s="12" t="str">
        <f t="shared" si="0"/>
        <v>* header.documentMetadata.status 1..1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2011</v>
      </c>
      <c r="C67" s="12" t="s">
        <v>1990</v>
      </c>
      <c r="D67" s="12" t="s">
        <v>1042</v>
      </c>
      <c r="E67" s="11">
        <v>1</v>
      </c>
      <c r="F67" s="11" t="s">
        <v>92</v>
      </c>
      <c r="G67" s="11" t="s">
        <v>1921</v>
      </c>
      <c r="H67" s="12"/>
      <c r="I67" s="26"/>
      <c r="J67" s="12" t="str">
        <f t="shared" si="0"/>
        <v>* header.documentMetadata.dateTime 1..1 dateTime ##34#A.1.8.4-Report date and time [Mandatory]##34# ##334#Date and time of the result report creation.##334#</v>
      </c>
      <c r="L67" s="12" t="str">
        <f t="shared" si="1"/>
        <v/>
      </c>
    </row>
    <row r="68" spans="1:13" ht="44.25" x14ac:dyDescent="0.75">
      <c r="A68" s="11">
        <v>60</v>
      </c>
      <c r="B68" s="11" t="s">
        <v>2012</v>
      </c>
      <c r="C68" s="12" t="s">
        <v>1991</v>
      </c>
      <c r="D68" s="12" t="s">
        <v>2046</v>
      </c>
      <c r="E68" s="11">
        <v>1</v>
      </c>
      <c r="F68" s="11" t="s">
        <v>92</v>
      </c>
      <c r="G68" s="11" t="s">
        <v>1</v>
      </c>
      <c r="H68" s="12"/>
      <c r="I68" s="26"/>
      <c r="J68" s="12" t="str">
        <f t="shared" si="0"/>
        <v>* header.documentMetadata.title 1..1 string ##34#A.1.8.5-Document title [Mandatory]##34# ##334#Document title, e.g. 'Hospital discharge report'##334#</v>
      </c>
      <c r="L68" s="12" t="str">
        <f t="shared" si="1"/>
        <v/>
      </c>
    </row>
    <row r="69" spans="1:13" ht="44.25" x14ac:dyDescent="0.75">
      <c r="A69" s="11">
        <v>61</v>
      </c>
      <c r="B69" s="11" t="s">
        <v>2013</v>
      </c>
      <c r="C69" s="12" t="s">
        <v>1992</v>
      </c>
      <c r="D69" s="12" t="s">
        <v>1048</v>
      </c>
      <c r="E69" s="155">
        <v>1</v>
      </c>
      <c r="F69" s="155" t="s">
        <v>92</v>
      </c>
      <c r="G69" s="11" t="s">
        <v>2</v>
      </c>
      <c r="H69" s="12"/>
      <c r="I69" s="26"/>
      <c r="J69" s="12" t="str">
        <f t="shared" si="0"/>
        <v>* header.documentMetadata.custodian 1..1 BackboneElement ##34#A.1.8.6-Report custodian [Optional]##34# ##334#Organisation that is in charge of maintaining the report##334#</v>
      </c>
      <c r="L69" s="12" t="str">
        <f t="shared" si="1"/>
        <v/>
      </c>
    </row>
    <row r="70" spans="1:13" ht="44.25" x14ac:dyDescent="0.75">
      <c r="A70" s="11">
        <v>62</v>
      </c>
      <c r="B70" s="11" t="s">
        <v>2014</v>
      </c>
      <c r="C70" s="12" t="s">
        <v>1993</v>
      </c>
      <c r="D70" s="12" t="s">
        <v>1051</v>
      </c>
      <c r="E70" s="155">
        <v>1</v>
      </c>
      <c r="F70" s="155" t="s">
        <v>92</v>
      </c>
      <c r="G70" s="11" t="s">
        <v>0</v>
      </c>
      <c r="H70" s="12" t="s">
        <v>1052</v>
      </c>
      <c r="I70" s="26"/>
      <c r="J70" s="12" t="str">
        <f t="shared" si="0"/>
        <v>* header.documentMetadata.confidentiality 1..1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2015</v>
      </c>
      <c r="C71" s="12" t="s">
        <v>1994</v>
      </c>
      <c r="D71" s="12" t="s">
        <v>1055</v>
      </c>
      <c r="E71" s="11">
        <v>1</v>
      </c>
      <c r="F71" s="11" t="s">
        <v>92</v>
      </c>
      <c r="G71" s="11" t="s">
        <v>0</v>
      </c>
      <c r="H71" s="12" t="s">
        <v>911</v>
      </c>
      <c r="I71" s="26"/>
      <c r="J71" s="12" t="str">
        <f t="shared" si="0"/>
        <v>* header.documentMetadata.language 1..1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2016</v>
      </c>
      <c r="C72" s="12" t="s">
        <v>1995</v>
      </c>
      <c r="D72" s="12" t="s">
        <v>1057</v>
      </c>
      <c r="E72" s="11">
        <v>0</v>
      </c>
      <c r="F72" s="11" t="s">
        <v>92</v>
      </c>
      <c r="G72" s="11" t="s">
        <v>1</v>
      </c>
      <c r="H72" s="12"/>
      <c r="I72" s="26"/>
      <c r="J72" s="12" t="str">
        <f t="shared" si="0"/>
        <v>* header.documentMetadata.version 0..1 string ##34#A.1.8.9-Version [Required]##34# ##334#Version of the document##334#</v>
      </c>
      <c r="L72" s="12" t="str">
        <f t="shared" si="1"/>
        <v/>
      </c>
    </row>
    <row r="73" spans="1:13" ht="29.5" x14ac:dyDescent="0.75">
      <c r="A73" s="11">
        <v>65</v>
      </c>
      <c r="B73" s="11" t="s">
        <v>1902</v>
      </c>
      <c r="C73" s="12" t="s">
        <v>1880</v>
      </c>
      <c r="D73" s="12" t="s">
        <v>1880</v>
      </c>
      <c r="E73" s="11">
        <v>0</v>
      </c>
      <c r="F73" s="11">
        <v>1</v>
      </c>
      <c r="G73" s="11" t="s">
        <v>2</v>
      </c>
      <c r="H73" s="12"/>
      <c r="I73" s="26"/>
      <c r="J73" s="12" t="str">
        <f t="shared" si="0"/>
        <v>* header.digitalSignature 0..1 BackboneElement ##34#A.1.9-Digital signatures [Required]##34# ##334#A.1.9-Digital signatures [Required]##334#</v>
      </c>
      <c r="L73" s="12" t="str">
        <f t="shared" ref="L73:L89" si="2">IF(H73="",IF(J73="*  ..  ##34###34# ##334###334#",J73,""),IF(J73="*  ..  ##34###34# ##334###334#",J73,CONCATENATE("* ",B73," ^comment = ##334#",H73,"##334#")))</f>
        <v/>
      </c>
    </row>
    <row r="74" spans="1:13" ht="29.5" x14ac:dyDescent="0.75">
      <c r="A74" s="11">
        <v>66</v>
      </c>
      <c r="B74" s="11" t="s">
        <v>2017</v>
      </c>
      <c r="C74" s="12" t="s">
        <v>1996</v>
      </c>
      <c r="D74" s="12" t="s">
        <v>1062</v>
      </c>
      <c r="E74" s="11">
        <v>0</v>
      </c>
      <c r="F74" s="11" t="s">
        <v>9</v>
      </c>
      <c r="G74" s="156" t="s">
        <v>2</v>
      </c>
      <c r="H74" s="12"/>
      <c r="I74" s="26"/>
      <c r="J74" s="12" t="str">
        <f t="shared" si="0"/>
        <v>* header.digitalSignature.signature 0..* BackboneElement ##34#A.1.9.1-Digital signature [Required]##34# ##334#Digital signature of the document##334#</v>
      </c>
      <c r="L74" s="12" t="str">
        <f t="shared" si="2"/>
        <v/>
      </c>
    </row>
    <row r="75" spans="1:13" ht="29.5" x14ac:dyDescent="0.75">
      <c r="A75" s="11">
        <v>67</v>
      </c>
      <c r="B75" s="11" t="s">
        <v>2018</v>
      </c>
      <c r="C75" s="12" t="s">
        <v>1997</v>
      </c>
      <c r="D75" s="12" t="s">
        <v>1065</v>
      </c>
      <c r="E75" s="11">
        <v>0</v>
      </c>
      <c r="F75" s="11" t="s">
        <v>92</v>
      </c>
      <c r="G75" s="11" t="s">
        <v>1921</v>
      </c>
      <c r="H75" s="12"/>
      <c r="I75" s="26"/>
      <c r="J75" s="12" t="str">
        <f t="shared" si="0"/>
        <v>* header.digitalSignature.timeStamp 0..1 dateTime ##34#A.1.9.2-Time stamp [Required]##34# ##334#An electronic time stamp##334#</v>
      </c>
      <c r="L75" s="12" t="str">
        <f t="shared" si="2"/>
        <v/>
      </c>
    </row>
    <row r="76" spans="1:13" ht="29.5" x14ac:dyDescent="0.75">
      <c r="A76" s="11">
        <v>68</v>
      </c>
      <c r="B76" s="11" t="s">
        <v>1893</v>
      </c>
      <c r="C76" s="12" t="s">
        <v>1881</v>
      </c>
      <c r="D76" s="12" t="s">
        <v>1870</v>
      </c>
      <c r="E76" s="11">
        <v>1</v>
      </c>
      <c r="F76" s="11">
        <v>1</v>
      </c>
      <c r="G76" s="11" t="s">
        <v>2</v>
      </c>
      <c r="H76" s="12"/>
      <c r="J76" s="12" t="str">
        <f t="shared" si="0"/>
        <v>* body 1..1 BackboneElement ##34#A.2-Body (missing elementy ?) [Mandatory]##34# ##334#Missing element ?##334#</v>
      </c>
      <c r="L76" s="12" t="str">
        <f t="shared" si="2"/>
        <v/>
      </c>
    </row>
    <row r="77" spans="1:13" ht="29.5" x14ac:dyDescent="0.75">
      <c r="A77" s="11">
        <v>69</v>
      </c>
      <c r="B77" s="11" t="s">
        <v>1903</v>
      </c>
      <c r="C77" s="12" t="s">
        <v>1882</v>
      </c>
      <c r="D77" s="12" t="s">
        <v>1882</v>
      </c>
      <c r="E77" s="11">
        <v>0</v>
      </c>
      <c r="F77" s="11">
        <v>1</v>
      </c>
      <c r="G77" s="11" t="s">
        <v>2</v>
      </c>
      <c r="H77" s="12"/>
      <c r="J77" s="12" t="str">
        <f t="shared" si="0"/>
        <v>* body.advanceDirectives 0..1 BackboneElement ##34#A.2.1-Advance directives [Required]##34# ##334#A.2.1-Advance directives [Required]##334#</v>
      </c>
      <c r="L77" s="12" t="str">
        <f t="shared" si="2"/>
        <v/>
      </c>
    </row>
    <row r="78" spans="1:13" ht="44.25" x14ac:dyDescent="0.75">
      <c r="A78" s="11">
        <v>70</v>
      </c>
      <c r="B78" s="11" t="s">
        <v>1904</v>
      </c>
      <c r="C78" s="12" t="s">
        <v>1883</v>
      </c>
      <c r="D78" s="12" t="s">
        <v>1883</v>
      </c>
      <c r="E78" s="11">
        <v>1</v>
      </c>
      <c r="F78" s="11">
        <v>1</v>
      </c>
      <c r="G78" s="11" t="s">
        <v>2</v>
      </c>
      <c r="H78" s="12"/>
      <c r="J78" s="12" t="str">
        <f t="shared" si="0"/>
        <v>* body.emergencyInfos 1..1 BackboneElement ##34#A.2.2-Emergency information [Mandatory]##34# ##334#A.2.2-Emergency information [Mandatory]##334#</v>
      </c>
      <c r="L78" s="12" t="str">
        <f t="shared" si="2"/>
        <v/>
      </c>
    </row>
    <row r="79" spans="1:13" ht="29.5" x14ac:dyDescent="0.75">
      <c r="A79" s="11">
        <v>71</v>
      </c>
      <c r="B79" s="11" t="s">
        <v>1905</v>
      </c>
      <c r="C79" s="12" t="s">
        <v>1884</v>
      </c>
      <c r="D79" s="12" t="s">
        <v>1884</v>
      </c>
      <c r="E79" s="11">
        <v>1</v>
      </c>
      <c r="F79" s="11">
        <v>1</v>
      </c>
      <c r="G79" s="11" t="s">
        <v>2</v>
      </c>
      <c r="H79" s="12"/>
      <c r="J79" s="12" t="str">
        <f t="shared" si="0"/>
        <v>* body.encounter 1..1 BackboneElement ##34#A.2.3-Encounter [Mandatory]##34# ##334#A.2.3-Encounter [Mandatory]##334#</v>
      </c>
      <c r="L79" s="12" t="str">
        <f t="shared" si="2"/>
        <v/>
      </c>
      <c r="M79"/>
    </row>
    <row r="80" spans="1:13" ht="73.75" x14ac:dyDescent="0.75">
      <c r="A80" s="11">
        <v>72</v>
      </c>
      <c r="B80" s="11" t="s">
        <v>1906</v>
      </c>
      <c r="C80" s="12" t="s">
        <v>1885</v>
      </c>
      <c r="D80" s="12" t="s">
        <v>1885</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1907</v>
      </c>
      <c r="C81" s="12" t="s">
        <v>1886</v>
      </c>
      <c r="D81" s="12" t="s">
        <v>1886</v>
      </c>
      <c r="E81" s="11">
        <v>0</v>
      </c>
      <c r="F81" s="11">
        <v>1</v>
      </c>
      <c r="G81" s="11" t="s">
        <v>2</v>
      </c>
      <c r="H81" s="12"/>
      <c r="J81" s="12" t="str">
        <f t="shared" si="0"/>
        <v>* body.patientHistory 0..1 BackboneElement ##34#A.2.6-Patient history [Optional]##34# ##334#A.2.6-Patient history [Optional]##334#</v>
      </c>
      <c r="L81" s="12" t="str">
        <f t="shared" si="2"/>
        <v/>
      </c>
      <c r="M81"/>
    </row>
    <row r="82" spans="1:13" ht="29.5" x14ac:dyDescent="0.75">
      <c r="A82" s="11">
        <v>74</v>
      </c>
      <c r="B82" s="11" t="s">
        <v>1908</v>
      </c>
      <c r="C82" s="12" t="s">
        <v>1887</v>
      </c>
      <c r="D82" s="12" t="s">
        <v>1887</v>
      </c>
      <c r="E82" s="11">
        <v>1</v>
      </c>
      <c r="F82" s="11">
        <v>1</v>
      </c>
      <c r="G82" s="11" t="s">
        <v>2</v>
      </c>
      <c r="H82" s="12"/>
      <c r="J82" s="12" t="str">
        <f t="shared" si="0"/>
        <v>* body.hospitalStay 1..1 BackboneElement ##34#A.2.7-Hospital stay [Mandatory]##34# ##334#A.2.7-Hospital stay [Mandatory]##334#</v>
      </c>
      <c r="L82" s="12" t="str">
        <f t="shared" si="2"/>
        <v/>
      </c>
      <c r="M82"/>
    </row>
    <row r="83" spans="1:13" ht="44.25" x14ac:dyDescent="0.75">
      <c r="A83" s="11">
        <v>75</v>
      </c>
      <c r="B83" s="11" t="s">
        <v>1909</v>
      </c>
      <c r="C83" s="12" t="s">
        <v>1888</v>
      </c>
      <c r="D83" s="12" t="s">
        <v>1892</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2"/>
        <v/>
      </c>
      <c r="M83"/>
    </row>
    <row r="84" spans="1:13" ht="44.25" x14ac:dyDescent="0.75">
      <c r="A84" s="11">
        <v>76</v>
      </c>
      <c r="B84" s="11" t="s">
        <v>1910</v>
      </c>
      <c r="C84" s="12" t="s">
        <v>1889</v>
      </c>
      <c r="D84" s="12" t="s">
        <v>1889</v>
      </c>
      <c r="E84" s="11">
        <v>0</v>
      </c>
      <c r="F84" s="11">
        <v>1</v>
      </c>
      <c r="G84" s="11" t="s">
        <v>2</v>
      </c>
      <c r="H84" s="12"/>
      <c r="J84" s="12" t="str">
        <f t="shared" si="0"/>
        <v>* body.recommendations 0..1 BackboneElement ##34#A.2.9-Recommendations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topLeftCell="A60" workbookViewId="0">
      <selection activeCell="C101" sqref="C101"/>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CONCATENATE(HospitalDischargeReport!B4,"2FHIR")</f>
        <v>HospitalDischargeReportEHN2FHIR</v>
      </c>
      <c r="E4" s="20" t="str">
        <f>CONCATENATE("Mapping: ",C4)</f>
        <v>Mapping: HospitalDischargeReportEHN2FHIR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1916</v>
      </c>
      <c r="E6" s="21" t="str">
        <f>CONCATENATE("Title: ##34#",C6,"##34#")</f>
        <v>Title: ##34#Hospital Discharge Report model to FHIR R4 Map##34#</v>
      </c>
      <c r="H6" s="7"/>
      <c r="I6" s="7"/>
      <c r="J6" s="7"/>
      <c r="K6" s="7"/>
      <c r="L6" s="7"/>
      <c r="M6" s="7"/>
      <c r="N6" s="7"/>
      <c r="O6" s="7"/>
    </row>
    <row r="7" spans="1:15" ht="15.5" thickBot="1" x14ac:dyDescent="0.9">
      <c r="B7" s="10" t="s">
        <v>19</v>
      </c>
      <c r="C7" s="8" t="str">
        <f>B9</f>
        <v>HospitalDischargeReport</v>
      </c>
      <c r="E7" s="21" t="str">
        <f>CONCATENATE("Source: ",C7)</f>
        <v>Source: HospitalDischargeReport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HospitalDischargeReport!B5</f>
        <v>HospitalDischargeReport</v>
      </c>
      <c r="C9" s="6" t="s">
        <v>168</v>
      </c>
      <c r="E9" s="28" t="str">
        <f>CONCATENATE("* -&gt; ##34#",C9,"##34#")</f>
        <v>* -&gt; ##34#TBD##34#</v>
      </c>
      <c r="H9" s="7"/>
      <c r="I9" s="7"/>
      <c r="J9" s="7"/>
      <c r="K9" s="7"/>
      <c r="L9" s="7"/>
      <c r="M9" s="7"/>
      <c r="N9" s="7"/>
      <c r="O9" s="7"/>
    </row>
    <row r="10" spans="1:15" x14ac:dyDescent="0.75">
      <c r="A10" s="11"/>
      <c r="B10" s="11" t="str">
        <f>HospitalDischargeReport!B8</f>
        <v>header</v>
      </c>
      <c r="C10" s="11" t="s">
        <v>168</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168</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168</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168</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168</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168</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168</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168</v>
      </c>
      <c r="E17" s="12" t="str">
        <f t="shared" si="0"/>
        <v>* header.subject-identification.gender -&gt; ##34#TBD##34#</v>
      </c>
    </row>
    <row r="18" spans="1:5" x14ac:dyDescent="0.75">
      <c r="A18" s="11"/>
      <c r="B18" s="11" t="str">
        <f>HospitalDischargeReport!B16</f>
        <v>header.subject-identification.language</v>
      </c>
      <c r="C18" s="11" t="s">
        <v>168</v>
      </c>
      <c r="E18" s="12" t="str">
        <f t="shared" si="0"/>
        <v>* header.subject-identification.language -&gt; ##34#TBD##34#</v>
      </c>
    </row>
    <row r="19" spans="1:5" x14ac:dyDescent="0.75">
      <c r="A19" s="11"/>
      <c r="B19" s="11" t="str">
        <f>HospitalDischargeReport!B17</f>
        <v>header.subject-contact</v>
      </c>
      <c r="C19" s="11" t="s">
        <v>168</v>
      </c>
      <c r="E19" s="12" t="str">
        <f t="shared" si="0"/>
        <v>* header.subject-contact -&gt; ##34#TBD##34#</v>
      </c>
    </row>
    <row r="20" spans="1:5" x14ac:dyDescent="0.75">
      <c r="A20" s="11"/>
      <c r="B20" s="11" t="str">
        <f>HospitalDischargeReport!B18</f>
        <v>header.subject-contact.contactPoint</v>
      </c>
      <c r="C20" s="11" t="s">
        <v>168</v>
      </c>
      <c r="E20" s="12" t="str">
        <f t="shared" si="0"/>
        <v>* header.subject-contact.contactPoint -&gt; ##34#TBD##34#</v>
      </c>
    </row>
    <row r="21" spans="1:5" x14ac:dyDescent="0.75">
      <c r="B21" s="11" t="str">
        <f>HospitalDischargeReport!B19</f>
        <v>header.subject-contact.contactPoint.address</v>
      </c>
      <c r="C21" s="11" t="s">
        <v>168</v>
      </c>
      <c r="E21" s="12" t="str">
        <f t="shared" si="0"/>
        <v>* header.subject-contact.contactPoint.address -&gt; ##34#TBD##34#</v>
      </c>
    </row>
    <row r="22" spans="1:5" x14ac:dyDescent="0.75">
      <c r="B22" s="11" t="str">
        <f>HospitalDischargeReport!B20</f>
        <v>header.subject-contact.contactPoint.telecom</v>
      </c>
      <c r="C22" s="11" t="s">
        <v>168</v>
      </c>
      <c r="E22" s="12" t="str">
        <f t="shared" si="0"/>
        <v>* header.subject-contact.contactPoint.telecom -&gt; ##34#TBD##34#</v>
      </c>
    </row>
    <row r="23" spans="1:5" x14ac:dyDescent="0.75">
      <c r="B23" s="11" t="str">
        <f>HospitalDischargeReport!B21</f>
        <v>header.subject-contact.contactPoint.preferredHP</v>
      </c>
      <c r="C23" s="11" t="s">
        <v>168</v>
      </c>
      <c r="E23" s="12" t="str">
        <f t="shared" si="0"/>
        <v>* header.subject-contact.contactPoint.preferredHP -&gt; ##34#TBD##34#</v>
      </c>
    </row>
    <row r="24" spans="1:5" x14ac:dyDescent="0.75">
      <c r="B24" s="11" t="str">
        <f>HospitalDischargeReport!B22</f>
        <v>header.subject-contact.contactPoint.preferredHP.identifier</v>
      </c>
      <c r="C24" s="11" t="s">
        <v>168</v>
      </c>
      <c r="E24" s="12" t="str">
        <f t="shared" si="0"/>
        <v>* header.subject-contact.contactPoint.preferredHP.identifier -&gt; ##34#TBD##34#</v>
      </c>
    </row>
    <row r="25" spans="1:5" x14ac:dyDescent="0.75">
      <c r="B25" s="11" t="str">
        <f>HospitalDischargeReport!B23</f>
        <v>header.subject-contact.contactPoint.preferredHP.name</v>
      </c>
      <c r="C25" s="11" t="s">
        <v>168</v>
      </c>
      <c r="E25" s="12" t="str">
        <f t="shared" si="0"/>
        <v>* header.subject-contact.contactPoint.preferredHP.name -&gt; ##34#TBD##34#</v>
      </c>
    </row>
    <row r="26" spans="1:5" x14ac:dyDescent="0.75">
      <c r="B26" s="11" t="str">
        <f>HospitalDischargeReport!B24</f>
        <v>header.subject-contact.contactPoint.preferredHP.role</v>
      </c>
      <c r="C26" s="11" t="s">
        <v>168</v>
      </c>
      <c r="E26" s="12" t="str">
        <f t="shared" si="0"/>
        <v>* header.subject-contact.contactPoint.preferredHP.role -&gt; ##34#TBD##34#</v>
      </c>
    </row>
    <row r="27" spans="1:5" x14ac:dyDescent="0.75">
      <c r="B27" s="11" t="str">
        <f>HospitalDischargeReport!B25</f>
        <v>header.subject-contact.contactPoint.preferredHP.organization</v>
      </c>
      <c r="C27" s="11" t="s">
        <v>168</v>
      </c>
      <c r="E27" s="12" t="str">
        <f t="shared" si="0"/>
        <v>* header.subject-contact.contactPoint.preferredHP.organization -&gt; ##34#TBD##34#</v>
      </c>
    </row>
    <row r="28" spans="1:5" x14ac:dyDescent="0.75">
      <c r="B28" s="11" t="str">
        <f>HospitalDischargeReport!B26</f>
        <v>header.subject-contact.contactPoint.preferredHP.address</v>
      </c>
      <c r="C28" s="11" t="s">
        <v>168</v>
      </c>
      <c r="E28" s="12" t="str">
        <f t="shared" si="0"/>
        <v>* header.subject-contact.contactPoint.preferredHP.address -&gt; ##34#TBD##34#</v>
      </c>
    </row>
    <row r="29" spans="1:5" x14ac:dyDescent="0.75">
      <c r="B29" s="11" t="str">
        <f>HospitalDischargeReport!B27</f>
        <v>header.subject-contact.contactPoint.preferredHP.telecom</v>
      </c>
      <c r="C29" s="11" t="s">
        <v>168</v>
      </c>
      <c r="E29" s="12" t="str">
        <f t="shared" si="0"/>
        <v>* header.subject-contact.contactPoint.preferredHP.telecom -&gt; ##34#TBD##34#</v>
      </c>
    </row>
    <row r="30" spans="1:5" x14ac:dyDescent="0.75">
      <c r="B30" s="11" t="str">
        <f>HospitalDischargeReport!B28</f>
        <v>header.subject-contact.contactPoint.person</v>
      </c>
      <c r="C30" s="11" t="s">
        <v>168</v>
      </c>
      <c r="E30" s="12" t="str">
        <f t="shared" si="0"/>
        <v>* header.subject-contact.contactPoint.person -&gt; ##34#TBD##34#</v>
      </c>
    </row>
    <row r="31" spans="1:5" x14ac:dyDescent="0.75">
      <c r="B31" s="11" t="str">
        <f>HospitalDischargeReport!B29</f>
        <v>header.subject-contact.contactPoint.person.role</v>
      </c>
      <c r="C31" s="11" t="s">
        <v>168</v>
      </c>
      <c r="E31" s="12" t="str">
        <f t="shared" si="0"/>
        <v>* header.subject-contact.contactPoint.person.role -&gt; ##34#TBD##34#</v>
      </c>
    </row>
    <row r="32" spans="1:5" x14ac:dyDescent="0.75">
      <c r="B32" s="11" t="str">
        <f>HospitalDischargeReport!B30</f>
        <v>header.subject-contact.contactPoint.person.relationship</v>
      </c>
      <c r="C32" s="11" t="s">
        <v>168</v>
      </c>
      <c r="E32" s="12" t="str">
        <f t="shared" si="0"/>
        <v>* header.subject-contact.contactPoint.person.relationship -&gt; ##34#TBD##34#</v>
      </c>
    </row>
    <row r="33" spans="2:5" x14ac:dyDescent="0.75">
      <c r="B33" s="11" t="str">
        <f>HospitalDischargeReport!B31</f>
        <v>header.subject-contact.contactPoint.person.identifier</v>
      </c>
      <c r="C33" s="11" t="s">
        <v>168</v>
      </c>
      <c r="E33" s="12" t="str">
        <f t="shared" si="0"/>
        <v>* header.subject-contact.contactPoint.person.identifier -&gt; ##34#TBD##34#</v>
      </c>
    </row>
    <row r="34" spans="2:5" x14ac:dyDescent="0.75">
      <c r="B34" s="11" t="str">
        <f>HospitalDischargeReport!B32</f>
        <v>header.subject-contact.contactPoint.person.given</v>
      </c>
      <c r="C34" s="11" t="s">
        <v>168</v>
      </c>
      <c r="E34" s="12" t="str">
        <f t="shared" si="0"/>
        <v>* header.subject-contact.contactPoint.person.given -&gt; ##34#TBD##34#</v>
      </c>
    </row>
    <row r="35" spans="2:5" x14ac:dyDescent="0.75">
      <c r="B35" s="11" t="str">
        <f>HospitalDischargeReport!B33</f>
        <v>header.subject-contact.contactPoint.person.name</v>
      </c>
      <c r="C35" s="11" t="s">
        <v>168</v>
      </c>
      <c r="E35" s="12" t="str">
        <f t="shared" si="0"/>
        <v>* header.subject-contact.contactPoint.person.name -&gt; ##34#TBD##34#</v>
      </c>
    </row>
    <row r="36" spans="2:5" x14ac:dyDescent="0.75">
      <c r="B36" s="11" t="str">
        <f>HospitalDischargeReport!B34</f>
        <v>header.subject-contact.contactPoint.person.address</v>
      </c>
      <c r="C36" s="11" t="s">
        <v>168</v>
      </c>
      <c r="E36" s="12" t="str">
        <f t="shared" si="0"/>
        <v>* header.subject-contact.contactPoint.person.address -&gt; ##34#TBD##34#</v>
      </c>
    </row>
    <row r="37" spans="2:5" x14ac:dyDescent="0.75">
      <c r="B37" s="11" t="str">
        <f>HospitalDischargeReport!B35</f>
        <v>header.subject-contact.contactPoint.person.telecom</v>
      </c>
      <c r="C37" s="11" t="s">
        <v>168</v>
      </c>
      <c r="E37" s="12" t="str">
        <f t="shared" si="0"/>
        <v>* header.subject-contact.contactPoint.person.telecom -&gt; ##34#TBD##34#</v>
      </c>
    </row>
    <row r="38" spans="2:5" x14ac:dyDescent="0.75">
      <c r="B38" s="11" t="str">
        <f>HospitalDischargeReport!B36</f>
        <v>header.payer</v>
      </c>
      <c r="C38" s="11" t="s">
        <v>168</v>
      </c>
      <c r="E38" s="12" t="str">
        <f t="shared" si="0"/>
        <v>* header.payer -&gt; ##34#TBD##34#</v>
      </c>
    </row>
    <row r="39" spans="2:5" x14ac:dyDescent="0.75">
      <c r="B39" s="11" t="str">
        <f>HospitalDischargeReport!B37</f>
        <v>header.payer.insuranceCode</v>
      </c>
      <c r="C39" s="11" t="s">
        <v>168</v>
      </c>
      <c r="E39" s="12" t="str">
        <f t="shared" si="0"/>
        <v>* header.payer.insuranceCode -&gt; ##34#TBD##34#</v>
      </c>
    </row>
    <row r="40" spans="2:5" x14ac:dyDescent="0.75">
      <c r="B40" s="11" t="str">
        <f>HospitalDischargeReport!B38</f>
        <v>header.payer.insuranceName</v>
      </c>
      <c r="C40" s="11" t="s">
        <v>168</v>
      </c>
      <c r="E40" s="12" t="str">
        <f t="shared" si="0"/>
        <v>* header.payer.insuranceName -&gt; ##34#TBD##34#</v>
      </c>
    </row>
    <row r="41" spans="2:5" x14ac:dyDescent="0.75">
      <c r="B41" s="11" t="str">
        <f>HospitalDischargeReport!B39</f>
        <v>header.payer.insuranceNumber</v>
      </c>
      <c r="C41" s="11" t="s">
        <v>168</v>
      </c>
      <c r="E41" s="12" t="str">
        <f t="shared" si="0"/>
        <v>* header.payer.insuranceNumber -&gt; ##34#TBD##34#</v>
      </c>
    </row>
    <row r="42" spans="2:5" x14ac:dyDescent="0.75">
      <c r="B42" s="11" t="str">
        <f>HospitalDischargeReport!B40</f>
        <v>header.informationRecipient</v>
      </c>
      <c r="C42" s="11" t="s">
        <v>168</v>
      </c>
      <c r="E42" s="12" t="str">
        <f t="shared" si="0"/>
        <v>* header.informationRecipient -&gt; ##34#TBD##34#</v>
      </c>
    </row>
    <row r="43" spans="2:5" x14ac:dyDescent="0.75">
      <c r="B43" s="11" t="str">
        <f>HospitalDischargeReport!B41</f>
        <v>header.informationRecipient.identifier</v>
      </c>
      <c r="C43" s="11" t="s">
        <v>168</v>
      </c>
      <c r="E43" s="12" t="str">
        <f t="shared" si="0"/>
        <v>* header.informationRecipient.identifier -&gt; ##34#TBD##34#</v>
      </c>
    </row>
    <row r="44" spans="2:5" x14ac:dyDescent="0.75">
      <c r="B44" s="11" t="str">
        <f>HospitalDischargeReport!B42</f>
        <v>header.informationRecipient.name</v>
      </c>
      <c r="C44" s="11" t="s">
        <v>168</v>
      </c>
      <c r="E44" s="12" t="str">
        <f t="shared" si="0"/>
        <v>* header.informationRecipient.name -&gt; ##34#TBD##34#</v>
      </c>
    </row>
    <row r="45" spans="2:5" x14ac:dyDescent="0.75">
      <c r="B45" s="11" t="str">
        <f>HospitalDischargeReport!B43</f>
        <v>header.informationRecipient.organizationID</v>
      </c>
      <c r="C45" s="11" t="s">
        <v>168</v>
      </c>
      <c r="E45" s="12" t="str">
        <f t="shared" si="0"/>
        <v>* header.informationRecipient.organizationID -&gt; ##34#TBD##34#</v>
      </c>
    </row>
    <row r="46" spans="2:5" x14ac:dyDescent="0.75">
      <c r="B46" s="11" t="str">
        <f>HospitalDischargeReport!B44</f>
        <v>header.informationRecipient.organization</v>
      </c>
      <c r="C46" s="11" t="s">
        <v>168</v>
      </c>
      <c r="E46" s="12" t="str">
        <f t="shared" si="0"/>
        <v>* header.informationRecipient.organization -&gt; ##34#TBD##34#</v>
      </c>
    </row>
    <row r="47" spans="2:5" x14ac:dyDescent="0.75">
      <c r="B47" s="11" t="str">
        <f>HospitalDischargeReport!B45</f>
        <v>header.author</v>
      </c>
      <c r="C47" s="11" t="s">
        <v>168</v>
      </c>
      <c r="E47" s="12" t="str">
        <f t="shared" si="0"/>
        <v>* header.author -&gt; ##34#TBD##34#</v>
      </c>
    </row>
    <row r="48" spans="2:5" x14ac:dyDescent="0.75">
      <c r="B48" s="11" t="str">
        <f>HospitalDischargeReport!B46</f>
        <v>header.author.identifier</v>
      </c>
      <c r="C48" s="11" t="s">
        <v>168</v>
      </c>
      <c r="E48" s="12" t="str">
        <f t="shared" si="0"/>
        <v>* header.author.identifier -&gt; ##34#TBD##34#</v>
      </c>
    </row>
    <row r="49" spans="2:5" x14ac:dyDescent="0.75">
      <c r="B49" s="11" t="str">
        <f>HospitalDischargeReport!B47</f>
        <v>header.author.name</v>
      </c>
      <c r="C49" s="11" t="s">
        <v>168</v>
      </c>
      <c r="E49" s="12" t="str">
        <f t="shared" si="0"/>
        <v>* header.author.name -&gt; ##34#TBD##34#</v>
      </c>
    </row>
    <row r="50" spans="2:5" x14ac:dyDescent="0.75">
      <c r="B50" s="11" t="str">
        <f>HospitalDischargeReport!B48</f>
        <v>header.author.organizationID</v>
      </c>
      <c r="C50" s="11" t="s">
        <v>168</v>
      </c>
      <c r="E50" s="12" t="str">
        <f t="shared" si="0"/>
        <v>* header.author.organizationID -&gt; ##34#TBD##34#</v>
      </c>
    </row>
    <row r="51" spans="2:5" x14ac:dyDescent="0.75">
      <c r="B51" s="11" t="str">
        <f>HospitalDischargeReport!B49</f>
        <v>header.author.organization</v>
      </c>
      <c r="C51" s="11" t="s">
        <v>168</v>
      </c>
      <c r="E51" s="12" t="str">
        <f t="shared" si="0"/>
        <v>* header.author.organization -&gt; ##34#TBD##34#</v>
      </c>
    </row>
    <row r="52" spans="2:5" x14ac:dyDescent="0.75">
      <c r="B52" s="11" t="str">
        <f>HospitalDischargeReport!B50</f>
        <v>header.author.dateTime</v>
      </c>
      <c r="C52" s="11" t="s">
        <v>168</v>
      </c>
      <c r="E52" s="12" t="str">
        <f t="shared" si="0"/>
        <v>* header.author.dateTime -&gt; ##34#TBD##34#</v>
      </c>
    </row>
    <row r="53" spans="2:5" x14ac:dyDescent="0.75">
      <c r="B53" s="11" t="str">
        <f>HospitalDischargeReport!B51</f>
        <v>header.attester</v>
      </c>
      <c r="C53" s="11" t="s">
        <v>168</v>
      </c>
      <c r="E53" s="12" t="str">
        <f t="shared" si="0"/>
        <v>* header.attester -&gt; ##34#TBD##34#</v>
      </c>
    </row>
    <row r="54" spans="2:5" x14ac:dyDescent="0.75">
      <c r="B54" s="11" t="str">
        <f>HospitalDischargeReport!B52</f>
        <v>header.attester.identifier</v>
      </c>
      <c r="C54" s="11" t="s">
        <v>168</v>
      </c>
      <c r="E54" s="12" t="str">
        <f t="shared" si="0"/>
        <v>* header.attester.identifier -&gt; ##34#TBD##34#</v>
      </c>
    </row>
    <row r="55" spans="2:5" x14ac:dyDescent="0.75">
      <c r="B55" s="11" t="str">
        <f>HospitalDischargeReport!B53</f>
        <v>header.attester.name</v>
      </c>
      <c r="C55" s="11" t="s">
        <v>168</v>
      </c>
      <c r="E55" s="12" t="str">
        <f t="shared" si="0"/>
        <v>* header.attester.name -&gt; ##34#TBD##34#</v>
      </c>
    </row>
    <row r="56" spans="2:5" x14ac:dyDescent="0.75">
      <c r="B56" s="11" t="str">
        <f>HospitalDischargeReport!B54</f>
        <v>header.attester.organizationID</v>
      </c>
      <c r="C56" s="11" t="s">
        <v>168</v>
      </c>
      <c r="E56" s="12" t="str">
        <f t="shared" si="0"/>
        <v>* header.attester.organizationID -&gt; ##34#TBD##34#</v>
      </c>
    </row>
    <row r="57" spans="2:5" x14ac:dyDescent="0.75">
      <c r="B57" s="11" t="str">
        <f>HospitalDischargeReport!B55</f>
        <v>header.attester.organization</v>
      </c>
      <c r="C57" s="11" t="s">
        <v>168</v>
      </c>
      <c r="E57" s="12" t="str">
        <f t="shared" si="0"/>
        <v>* header.attester.organization -&gt; ##34#TBD##34#</v>
      </c>
    </row>
    <row r="58" spans="2:5" x14ac:dyDescent="0.75">
      <c r="B58" s="11" t="str">
        <f>HospitalDischargeReport!B56</f>
        <v>header.attester.dateTime</v>
      </c>
      <c r="C58" s="11" t="s">
        <v>168</v>
      </c>
      <c r="E58" s="12" t="str">
        <f t="shared" si="0"/>
        <v>* header.attester.dateTime -&gt; ##34#TBD##34#</v>
      </c>
    </row>
    <row r="59" spans="2:5" x14ac:dyDescent="0.75">
      <c r="B59" s="11" t="str">
        <f>HospitalDischargeReport!B57</f>
        <v>header.legalAuthenticator</v>
      </c>
      <c r="C59" s="11" t="s">
        <v>168</v>
      </c>
      <c r="E59" s="12" t="str">
        <f t="shared" si="0"/>
        <v>* header.legalAuthenticator -&gt; ##34#TBD##34#</v>
      </c>
    </row>
    <row r="60" spans="2:5" x14ac:dyDescent="0.75">
      <c r="B60" s="11" t="str">
        <f>HospitalDischargeReport!B58</f>
        <v>header.legalAuthenticator.identifier</v>
      </c>
      <c r="C60" s="11" t="s">
        <v>168</v>
      </c>
      <c r="E60" s="12" t="str">
        <f t="shared" si="0"/>
        <v>* header.legalAuthenticator.identifier -&gt; ##34#TBD##34#</v>
      </c>
    </row>
    <row r="61" spans="2:5" x14ac:dyDescent="0.75">
      <c r="B61" s="11" t="str">
        <f>HospitalDischargeReport!B59</f>
        <v>header.legalAuthenticator.name</v>
      </c>
      <c r="C61" s="11" t="s">
        <v>168</v>
      </c>
      <c r="E61" s="12" t="str">
        <f t="shared" si="0"/>
        <v>* header.legalAuthenticator.name -&gt; ##34#TBD##34#</v>
      </c>
    </row>
    <row r="62" spans="2:5" x14ac:dyDescent="0.75">
      <c r="B62" s="11" t="str">
        <f>HospitalDischargeReport!B60</f>
        <v>header.legalAuthenticator.organizationID</v>
      </c>
      <c r="C62" s="11" t="s">
        <v>168</v>
      </c>
      <c r="E62" s="12" t="str">
        <f t="shared" si="0"/>
        <v>* header.legalAuthenticator.organizationID -&gt; ##34#TBD##34#</v>
      </c>
    </row>
    <row r="63" spans="2:5" x14ac:dyDescent="0.75">
      <c r="B63" s="11" t="str">
        <f>HospitalDischargeReport!B61</f>
        <v>header.legalAuthenticator.organization</v>
      </c>
      <c r="C63" s="11" t="s">
        <v>168</v>
      </c>
      <c r="E63" s="12" t="str">
        <f t="shared" si="0"/>
        <v>* header.legalAuthenticator.organization -&gt; ##34#TBD##34#</v>
      </c>
    </row>
    <row r="64" spans="2:5" x14ac:dyDescent="0.75">
      <c r="B64" s="11" t="str">
        <f>HospitalDischargeReport!B62</f>
        <v>header.legalAuthenticator.dateTime</v>
      </c>
      <c r="C64" s="11" t="s">
        <v>168</v>
      </c>
      <c r="E64" s="12" t="str">
        <f t="shared" si="0"/>
        <v>* header.legalAuthenticator.dateTime -&gt; ##34#TBD##34#</v>
      </c>
    </row>
    <row r="65" spans="2:5" x14ac:dyDescent="0.75">
      <c r="B65" s="11" t="str">
        <f>HospitalDischargeReport!B63</f>
        <v>header.documentMetadata</v>
      </c>
      <c r="C65" s="11" t="s">
        <v>168</v>
      </c>
      <c r="E65" s="12" t="str">
        <f t="shared" si="0"/>
        <v>* header.documentMetadata -&gt; ##34#TBD##34#</v>
      </c>
    </row>
    <row r="66" spans="2:5" x14ac:dyDescent="0.75">
      <c r="B66" s="11" t="str">
        <f>HospitalDischargeReport!B64</f>
        <v>header.documentMetadata.identifier</v>
      </c>
      <c r="C66" s="11" t="s">
        <v>168</v>
      </c>
      <c r="E66" s="12" t="str">
        <f t="shared" si="0"/>
        <v>* header.documentMetadata.identifier -&gt; ##34#TBD##34#</v>
      </c>
    </row>
    <row r="67" spans="2:5" x14ac:dyDescent="0.75">
      <c r="B67" s="11" t="str">
        <f>HospitalDischargeReport!B65</f>
        <v>header.documentMetadata.type</v>
      </c>
      <c r="C67" s="11" t="s">
        <v>168</v>
      </c>
      <c r="E67" s="12" t="str">
        <f t="shared" si="0"/>
        <v>* header.documentMetadata.type -&gt; ##34#TBD##34#</v>
      </c>
    </row>
    <row r="68" spans="2:5" x14ac:dyDescent="0.75">
      <c r="B68" s="11" t="str">
        <f>HospitalDischargeReport!B66</f>
        <v>header.documentMetadata.status</v>
      </c>
      <c r="C68" s="11" t="s">
        <v>168</v>
      </c>
      <c r="E68" s="12" t="str">
        <f t="shared" si="0"/>
        <v>* header.documentMetadata.status -&gt; ##34#TBD##34#</v>
      </c>
    </row>
    <row r="69" spans="2:5" x14ac:dyDescent="0.75">
      <c r="B69" s="11" t="str">
        <f>HospitalDischargeReport!B67</f>
        <v>header.documentMetadata.dateTime</v>
      </c>
      <c r="C69" s="11" t="s">
        <v>168</v>
      </c>
      <c r="E69" s="12" t="str">
        <f t="shared" si="0"/>
        <v>* header.documentMetadata.dateTime -&gt; ##34#TBD##34#</v>
      </c>
    </row>
    <row r="70" spans="2:5" x14ac:dyDescent="0.75">
      <c r="B70" s="11" t="str">
        <f>HospitalDischargeReport!B68</f>
        <v>header.documentMetadata.title</v>
      </c>
      <c r="C70" s="11" t="s">
        <v>168</v>
      </c>
      <c r="E70" s="12" t="str">
        <f t="shared" si="0"/>
        <v>* header.documentMetadata.title -&gt; ##34#TBD##34#</v>
      </c>
    </row>
    <row r="71" spans="2:5" x14ac:dyDescent="0.75">
      <c r="B71" s="11" t="str">
        <f>HospitalDischargeReport!B69</f>
        <v>header.documentMetadata.custodian</v>
      </c>
      <c r="C71" s="11" t="s">
        <v>168</v>
      </c>
      <c r="E71" s="12" t="str">
        <f t="shared" si="0"/>
        <v>* header.documentMetadata.custodian -&gt; ##34#TBD##34#</v>
      </c>
    </row>
    <row r="72" spans="2:5" x14ac:dyDescent="0.75">
      <c r="B72" s="11" t="str">
        <f>HospitalDischargeReport!B70</f>
        <v>header.documentMetadata.confidentiality</v>
      </c>
      <c r="C72" s="11" t="s">
        <v>168</v>
      </c>
      <c r="E72" s="12" t="str">
        <f t="shared" si="0"/>
        <v>* header.documentMetadata.confidentiality -&gt; ##34#TBD##34#</v>
      </c>
    </row>
    <row r="73" spans="2:5" x14ac:dyDescent="0.75">
      <c r="B73" s="11" t="str">
        <f>HospitalDischargeReport!B71</f>
        <v>header.documentMetadata.language</v>
      </c>
      <c r="C73" s="11" t="s">
        <v>168</v>
      </c>
      <c r="E73" s="12" t="str">
        <f t="shared" si="0"/>
        <v>* header.documentMetadata.language -&gt; ##34#TBD##34#</v>
      </c>
    </row>
    <row r="74" spans="2:5" x14ac:dyDescent="0.75">
      <c r="B74" s="11" t="str">
        <f>HospitalDischargeReport!B72</f>
        <v>header.documentMetadata.version</v>
      </c>
      <c r="C74" s="11" t="s">
        <v>168</v>
      </c>
      <c r="E74" s="12" t="str">
        <f t="shared" ref="E74:E90" si="1">IF(B74=0,"*  -&gt; ##34###34#",CONCATENATE("* ",B74," -&gt; ##34#",C74,"##34#"))</f>
        <v>* header.documentMetadata.version -&gt; ##34#TBD##34#</v>
      </c>
    </row>
    <row r="75" spans="2:5" x14ac:dyDescent="0.75">
      <c r="B75" s="11" t="str">
        <f>HospitalDischargeReport!B73</f>
        <v>header.digitalSignature</v>
      </c>
      <c r="C75" s="11" t="s">
        <v>168</v>
      </c>
      <c r="E75" s="12" t="str">
        <f t="shared" si="1"/>
        <v>* header.digitalSignature -&gt; ##34#TBD##34#</v>
      </c>
    </row>
    <row r="76" spans="2:5" x14ac:dyDescent="0.75">
      <c r="B76" s="11" t="str">
        <f>HospitalDischargeReport!B74</f>
        <v>header.digitalSignature.signature</v>
      </c>
      <c r="C76" s="11" t="s">
        <v>168</v>
      </c>
      <c r="E76" s="12" t="str">
        <f t="shared" si="1"/>
        <v>* header.digitalSignature.signature -&gt; ##34#TBD##34#</v>
      </c>
    </row>
    <row r="77" spans="2:5" x14ac:dyDescent="0.75">
      <c r="B77" s="11" t="str">
        <f>HospitalDischargeReport!B75</f>
        <v>header.digitalSignature.timeStamp</v>
      </c>
      <c r="C77" s="11" t="s">
        <v>168</v>
      </c>
      <c r="E77" s="12" t="str">
        <f t="shared" si="1"/>
        <v>* header.digitalSignature.timeStamp -&gt; ##34#TBD##34#</v>
      </c>
    </row>
    <row r="78" spans="2:5" x14ac:dyDescent="0.75">
      <c r="B78" s="11" t="str">
        <f>HospitalDischargeReport!B76</f>
        <v>body</v>
      </c>
      <c r="C78" s="11" t="s">
        <v>168</v>
      </c>
      <c r="E78" s="12" t="str">
        <f t="shared" si="1"/>
        <v>* body -&gt; ##34#TBD##34#</v>
      </c>
    </row>
    <row r="79" spans="2:5" x14ac:dyDescent="0.75">
      <c r="B79" s="11" t="str">
        <f>HospitalDischargeReport!B77</f>
        <v>body.advanceDirectives</v>
      </c>
      <c r="C79" s="11" t="s">
        <v>168</v>
      </c>
      <c r="E79" s="12" t="str">
        <f t="shared" si="1"/>
        <v>* body.advanceDirectives -&gt; ##34#TBD##34#</v>
      </c>
    </row>
    <row r="80" spans="2:5" x14ac:dyDescent="0.75">
      <c r="B80" s="11" t="str">
        <f>HospitalDischargeReport!B78</f>
        <v>body.emergencyInfos</v>
      </c>
      <c r="C80" s="11" t="s">
        <v>168</v>
      </c>
      <c r="E80" s="12" t="str">
        <f t="shared" si="1"/>
        <v>* body.emergencyInfos -&gt; ##34#TBD##34#</v>
      </c>
    </row>
    <row r="81" spans="2:5" x14ac:dyDescent="0.75">
      <c r="B81" s="11" t="str">
        <f>HospitalDischargeReport!B79</f>
        <v>body.encounter</v>
      </c>
      <c r="C81" s="11" t="s">
        <v>168</v>
      </c>
      <c r="E81" s="12" t="str">
        <f t="shared" si="1"/>
        <v>* body.encounter -&gt; ##34#TBD##34#</v>
      </c>
    </row>
    <row r="82" spans="2:5" x14ac:dyDescent="0.75">
      <c r="B82" s="11" t="str">
        <f>HospitalDischargeReport!B80</f>
        <v>body.admissionEvaluation</v>
      </c>
      <c r="C82" s="11" t="s">
        <v>168</v>
      </c>
      <c r="E82" s="12" t="str">
        <f t="shared" si="1"/>
        <v>* body.admissionEvaluation -&gt; ##34#TBD##34#</v>
      </c>
    </row>
    <row r="83" spans="2:5" x14ac:dyDescent="0.75">
      <c r="B83" s="11" t="str">
        <f>HospitalDischargeReport!B81</f>
        <v>body.patientHistory</v>
      </c>
      <c r="C83" s="11" t="s">
        <v>168</v>
      </c>
      <c r="E83" s="12" t="str">
        <f t="shared" si="1"/>
        <v>* body.patientHistory -&gt; ##34#TBD##34#</v>
      </c>
    </row>
    <row r="84" spans="2:5" x14ac:dyDescent="0.75">
      <c r="B84" s="11" t="str">
        <f>HospitalDischargeReport!B82</f>
        <v>body.hospitalStay</v>
      </c>
      <c r="C84" s="11" t="s">
        <v>168</v>
      </c>
      <c r="E84" s="12" t="str">
        <f t="shared" si="1"/>
        <v>* body.hospitalStay -&gt; ##34#TBD##34#</v>
      </c>
    </row>
    <row r="85" spans="2:5" x14ac:dyDescent="0.75">
      <c r="B85" s="11" t="str">
        <f>HospitalDischargeReport!B83</f>
        <v>body.dischargeDetails</v>
      </c>
      <c r="C85" s="11" t="s">
        <v>168</v>
      </c>
      <c r="E85" s="12" t="str">
        <f t="shared" si="1"/>
        <v>* body.dischargeDetails -&gt; ##34#TBD##34#</v>
      </c>
    </row>
    <row r="86" spans="2:5" x14ac:dyDescent="0.75">
      <c r="B86" s="11" t="str">
        <f>HospitalDischargeReport!B84</f>
        <v>body.recommendations</v>
      </c>
      <c r="C86" s="11" t="s">
        <v>168</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tabSelected="1" workbookViewId="0">
      <selection activeCell="C310" sqref="A270:XFD3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HospitalDischargeReport!J1</f>
        <v>//===================================================</v>
      </c>
    </row>
    <row r="2" spans="3:7" ht="16.75" thickBot="1" x14ac:dyDescent="0.9">
      <c r="C2" s="25" t="str">
        <f>HospitalDischargeReport!J2</f>
        <v>//  Logical Model</v>
      </c>
      <c r="G2" s="30" t="s">
        <v>1911</v>
      </c>
    </row>
    <row r="3" spans="3:7" x14ac:dyDescent="0.75">
      <c r="C3" s="25" t="str">
        <f>HospitalDischargeReport!J3</f>
        <v>//===================================================</v>
      </c>
    </row>
    <row r="4" spans="3:7" x14ac:dyDescent="0.75">
      <c r="C4" s="17" t="str">
        <f>HospitalDischargeReport!J4</f>
        <v>Logical: HospitalDischargeReportEHN</v>
      </c>
    </row>
    <row r="5" spans="3:7" x14ac:dyDescent="0.75">
      <c r="C5" s="17" t="str">
        <f>HospitalDischargeReport!J5</f>
        <v>Id: HospitalDischargeReport</v>
      </c>
    </row>
    <row r="6" spans="3:7" x14ac:dyDescent="0.75">
      <c r="C6" s="17" t="str">
        <f>HospitalDischargeReport!J6</f>
        <v>Title: ##34#Hospital Discharge Report (eHN)##34#</v>
      </c>
    </row>
    <row r="7" spans="3:7" ht="29.5" x14ac:dyDescent="0.75">
      <c r="C7" s="17" t="str">
        <f>HospitalDischargeReport!J7</f>
        <v>Description:  ##334#Hospital Discharge Report
Maturity Level: 0 Draft##334#</v>
      </c>
    </row>
    <row r="8" spans="3:7" ht="29.5" x14ac:dyDescent="0.75">
      <c r="C8" s="12" t="str">
        <f>IF(HospitalDischargeReport!J8="*  ..  ##34###34# ##334###334#","//--- END",HospitalDischargeReport!J8)</f>
        <v>* header 1..1 BackboneElement ##34#A.1-Report header data element [Mandatory]##34# ##334#A.1-Report header data element [Mandatory]##334#</v>
      </c>
    </row>
    <row r="9" spans="3:7" x14ac:dyDescent="0.75">
      <c r="C9" s="12" t="str">
        <f>IF(HospitalDischargeReport!J9="*  ..  ##34###34# ##334###334#","//--- END",HospitalDischargeReport!J9)</f>
        <v>* header.subject-identification 1..1 BackboneElement ##34#A.1.1-Identification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##34#A.1.1.5-Nationality [Required]##34# ##334#Nationality of the patient.##334#</v>
      </c>
    </row>
    <row r="15" spans="3:7" ht="29.5" x14ac:dyDescent="0.75">
      <c r="C15" s="12" t="str">
        <f>IF(HospitalDischargeReport!J15="*  ..  ##34###34# ##334###334#","//--- END",HospitalDischargeReport!J15)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##34#A.1.2.1-Patient address []##34# ##334#A.1.2.1-Patient address []##334#</v>
      </c>
    </row>
    <row r="19" spans="3:3" ht="29.5" x14ac:dyDescent="0.75">
      <c r="C19" s="12" t="str">
        <f>IF(HospitalDischargeReport!J19="*  ..  ##34###34# ##334###334#","//--- END",HospitalDischargeReport!J19)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IF(HospitalDischargeReport!J22="*  ..  ##34###34# ##334###334#","//--- END",HospitalDischargeReport!J22)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IF(HospitalDischargeReport!J23="*  ..  ##34###34# ##334###334#","//--- END",HospitalDischargeReport!J23)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##34#A.1.2.2.4-HP Organisation [Required]##34# ##334#Healthcare Professional Organisation##334#</v>
      </c>
    </row>
    <row r="26" spans="3:3" ht="29.5" x14ac:dyDescent="0.75">
      <c r="C26" s="12" t="str">
        <f>IF(HospitalDischargeReport!J26="*  ..  ##34###34# ##334###334#","//--- END",HospitalDischargeReport!J26)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IF(HospitalDischargeReport!J27="*  ..  ##34###34# ##334###334#","//--- END",HospitalDischargeReport!J27)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##34#A.1.3.1-Health insurance code [Mandatory]##34# ##334#Unique health insurance company identification code.##334#</v>
      </c>
    </row>
    <row r="38" spans="3:3" ht="29.5" x14ac:dyDescent="0.75">
      <c r="C38" s="12" t="str">
        <f>IF(HospitalDischargeReport!J38="*  ..  ##34###34# ##334###334#","//--- END",HospitalDischargeReport!J38)</f>
        <v>* header.payer.insuranceName 0..1 string ##34#A.1.3.2-Health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##34#A.1.4.2-Recipient name [Required]##34# ##334#Person name.##334#</v>
      </c>
    </row>
    <row r="43" spans="3:3" ht="44.25" x14ac:dyDescent="0.75">
      <c r="C43" s="12" t="str">
        <f>IF(HospitalDischargeReport!J43="*  ..  ##34###34# ##334###334#","//--- END",HospitalDischargeReport!J43)</f>
        <v>* header.informationRecipient.organizationID 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##34#A.1.4.4-Recipient organization [Required]##34# ##334#The healthcare provider organization information.##334#</v>
      </c>
    </row>
    <row r="45" spans="3:3" ht="29.5" x14ac:dyDescent="0.75">
      <c r="C45" s="12" t="str">
        <f>IF(HospitalDischargeReport!J45="*  ..  ##34###34# ##334###334#","//--- END",HospitalDischargeReport!J45)</f>
        <v>* header.author 1..* BackboneElement ##34#A.1.5-Author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##34#A.1.5.2-Author name [Mandatory]##34# ##334#Person name.##334#</v>
      </c>
    </row>
    <row r="48" spans="3:3" ht="29.5" x14ac:dyDescent="0.75">
      <c r="C48" s="12" t="str">
        <f>IF(HospitalDischargeReport!J48="*  ..  ##34###34# ##334###334#","//--- END",HospitalDischargeReport!J48)</f>
        <v>* header.author.organizationID 0..* Identifier ##34#A.1.5.3-Author organization ID [Required]##34# ##334#The healthcare provider organization information.##334#</v>
      </c>
    </row>
    <row r="49" spans="3:3" ht="44.25" x14ac:dyDescent="0.75">
      <c r="C49" s="12" t="str">
        <f>IF(HospitalDischargeReport!J49="*  ..  ##34###34# ##334###334#","//--- END",HospitalDischargeReport!J49)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##34#A.1.5.5-DateTime [Mandatory]##34# ##334#Date and time of the last modification of the document by its Author.##334#</v>
      </c>
    </row>
    <row r="51" spans="3:3" x14ac:dyDescent="0.75">
      <c r="C51" s="12" t="str">
        <f>IF(HospitalDischargeReport!J51="*  ..  ##34###34# ##334###334#","//--- END",HospitalDischargeReport!J51)</f>
        <v>* header.attester 0..* BackboneElement ##34#A.1.6-Attester [Required]##34# ##334#A.1.6-Attester [Required]##334#</v>
      </c>
    </row>
    <row r="52" spans="3:3" ht="44.25" x14ac:dyDescent="0.75">
      <c r="C52" s="12" t="str">
        <f>IF(HospitalDischargeReport!J52="*  ..  ##34###34# ##334###334#","//--- END",HospitalDischargeReport!J52)</f>
        <v>* header.attester.identifier 1..*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##34#A.1.6.2-Attester name [Mandatory]##34# ##334#Person name.##334#</v>
      </c>
    </row>
    <row r="54" spans="3:3" ht="44.25" x14ac:dyDescent="0.75">
      <c r="C54" s="12" t="str">
        <f>IF(HospitalDischargeReport!J54="*  ..  ##34###34# ##334###334#","//--- END",HospitalDischargeReport!J54)</f>
        <v>* header.attester.organizationID 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##34#A.1.6.4-Attester organization [Mandatory]##34# ##334#The healthcare provider organization information.##334#</v>
      </c>
    </row>
    <row r="56" spans="3:3" ht="29.5" x14ac:dyDescent="0.75">
      <c r="C56" s="12" t="str">
        <f>IF(HospitalDischargeReport!J56="*  ..  ##34###34# ##334###334#","//--- END",HospitalDischargeReport!J56)</f>
        <v>* header.attester.dateTime 1..1 dateTime ##34#A.1.6.5-Approval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##34#A.1.7.2-Legal authenticator name [Mandatory]##34# ##334#Person name.##334#</v>
      </c>
    </row>
    <row r="60" spans="3:3" ht="44.25" x14ac:dyDescent="0.75">
      <c r="C60" s="12" t="str">
        <f>IF(HospitalDischargeReport!J60="*  ..  ##34###34# ##334###334#","//--- END",HospitalDischargeReport!J60)</f>
        <v>* header.legalAuthenticator.organizationID 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##34#A.1.8-Document metadata [Mandatory]##34# ##334#A.1.8-Document metadata [Mandatory]##334#</v>
      </c>
    </row>
    <row r="64" spans="3:3" ht="29.5" x14ac:dyDescent="0.75">
      <c r="C64" s="12" t="str">
        <f>IF(HospitalDischargeReport!J64="*  ..  ##34###34# ##334###334#","//--- END",HospitalDischargeReport!J64)</f>
        <v>* header.documentMetadata.identifier 1..1 Identifier ##34#A.1.8.1-Document ID [Mandatory]##34# ##334#Unique identifier of the document##334#</v>
      </c>
    </row>
    <row r="65" spans="3:3" ht="29.5" x14ac:dyDescent="0.75">
      <c r="C65" s="12" t="str">
        <f>IF(HospitalDischargeReport!J65="*  ..  ##34###34# ##334###334#","//--- END",HospitalDischargeReport!J65)</f>
        <v>* header.documentMetadata.type 1..1 CodeableConcept ##34#A.1.8.2-Document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##34#A.1.8.4-Report date and time [Mandatory]##34# ##334#Date and time of the result report creation.##334#</v>
      </c>
    </row>
    <row r="68" spans="3:3" ht="29.5" x14ac:dyDescent="0.75">
      <c r="C68" s="12" t="str">
        <f>IF(HospitalDischargeReport!J68="*  ..  ##34###34# ##334###334#","//--- END",HospitalDischargeReport!J68)</f>
        <v>* header.documentMetadata.title 1..1 string ##34#A.1.8.5-Document title [Mandatory]##34# ##334#Document title, e.g. 'Hospital discharge report'##334#</v>
      </c>
    </row>
    <row r="69" spans="3:3" ht="29.5" x14ac:dyDescent="0.75">
      <c r="C69" s="12" t="str">
        <f>IF(HospitalDischargeReport!J69="*  ..  ##34###34# ##334###334#","//--- END",HospitalDischargeReport!J69)</f>
        <v>* header.documentMetadata.custodian 1..1 BackboneElement ##34#A.1.8.6-Report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##34#A.1.8.8-Language [Required]##34# ##334#Language in which the document is written. Language is expressed by the ISO language code.##334#</v>
      </c>
    </row>
    <row r="72" spans="3:3" x14ac:dyDescent="0.75">
      <c r="C72" s="12" t="str">
        <f>IF(HospitalDischargeReport!J72="*  ..  ##34###34# ##334###334#","//--- END",HospitalDischargeReport!J72)</f>
        <v>* header.documentMetadata.version 0..1 string ##34#A.1.8.9-Version [Required]##34# ##334#Version of the document##334#</v>
      </c>
    </row>
    <row r="73" spans="3:3" ht="29.5" x14ac:dyDescent="0.75">
      <c r="C73" s="12" t="str">
        <f>IF(HospitalDischargeReport!J73="*  ..  ##34###34# ##334###334#","//--- END",HospitalDischargeReport!J73)</f>
        <v>* header.digitalSignature 0..1 BackboneElement ##34#A.1.9-Digital signatures [Required]##34# ##334#A.1.9-Digital signatures [Required]##334#</v>
      </c>
    </row>
    <row r="74" spans="3:3" ht="29.5" x14ac:dyDescent="0.75">
      <c r="C74" s="12" t="str">
        <f>IF(HospitalDischargeReport!J74="*  ..  ##34###34# ##334###334#","//--- END",HospitalDischargeReport!J74)</f>
        <v>* header.digitalSignature.signature 0..* BackboneElement ##34#A.1.9.1-Digital signature [Required]##34# ##334#Digital signature of the document##334#</v>
      </c>
    </row>
    <row r="75" spans="3:3" ht="29.5" x14ac:dyDescent="0.75">
      <c r="C75" s="12" t="str">
        <f>IF(HospitalDischargeReport!J75="*  ..  ##34###34# ##334###334#","//--- END",HospitalDischargeReport!J75)</f>
        <v>* header.digitalSignature.timeStamp 0..1 dateTime ##34#A.1.9.2-Time stamp [Required]##34# ##334#An electronic time stamp##334#</v>
      </c>
    </row>
    <row r="76" spans="3:3" x14ac:dyDescent="0.75">
      <c r="C76" s="12" t="str">
        <f>IF(HospitalDischargeReport!J76="*  ..  ##34###34# ##334###334#","//--- END",HospitalDischargeReport!J76)</f>
        <v>* body 1..1 BackboneElement ##34#A.2-Body (missing elementy ?) [Mandatory]##34# ##334#Missing element ?##334#</v>
      </c>
    </row>
    <row r="77" spans="3:3" ht="29.5" x14ac:dyDescent="0.75">
      <c r="C77" s="12" t="str">
        <f>IF(HospitalDischargeReport!J77="*  ..  ##34###34# ##334###334#","//--- END",HospitalDischargeReport!J77)</f>
        <v>* body.advanceDirectives 0..1 BackboneElement ##34#A.2.1-Advance directives [Required]##34# ##334#A.2.1-Advance directives [Required]##334#</v>
      </c>
    </row>
    <row r="78" spans="3:3" ht="29.5" x14ac:dyDescent="0.75">
      <c r="C78" s="12" t="str">
        <f>IF(HospitalDischargeReport!J78="*  ..  ##34###34# ##334###334#","//--- END",HospitalDischargeReport!J78)</f>
        <v>* body.emergencyInfos 1..1 BackboneElement ##34#A.2.2-Emergency information [Mandatory]##34# ##334#A.2.2-Emergency information [Mandatory]##334#</v>
      </c>
    </row>
    <row r="79" spans="3:3" x14ac:dyDescent="0.75">
      <c r="C79" s="12" t="str">
        <f>IF(HospitalDischargeReport!J79="*  ..  ##34###34# ##334###334#","//--- END",HospitalDischargeReport!J79)</f>
        <v>* body.encounter 1..1 BackboneElement ##34#A.2.3-Encounter [Mandatory]##34# ##334#A.2.3-Encounter [Mandatory]##334#</v>
      </c>
    </row>
    <row r="80" spans="3:3" ht="44.25" x14ac:dyDescent="0.75">
      <c r="C80" s="12" t="str">
        <f>IF(HospitalDischargeReport!J80="*  ..  ##34###34# ##334###334#","//--- END",HospitalDischargeReport!J80)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##34#A.2.6-Patient history [Optional]##34# ##334#A.2.6-Patient history [Optional]##334#</v>
      </c>
    </row>
    <row r="82" spans="3:3" ht="29.5" x14ac:dyDescent="0.75">
      <c r="C82" s="12" t="str">
        <f>IF(HospitalDischargeReport!J82="*  ..  ##34###34# ##334###334#","//--- END",HospitalDischargeReport!J82)</f>
        <v>* body.hospitalStay 1..1 BackboneElement ##34#A.2.7-Hospital stay [Mandatory]##34# ##334#A.2.7-Hospital stay [Mandatory]##334#</v>
      </c>
    </row>
    <row r="83" spans="3:3" ht="29.5" x14ac:dyDescent="0.75">
      <c r="C83" s="12" t="str">
        <f>IF(HospitalDischargeReport!J83="*  ..  ##34###34# ##334###334#","//--- END",HospitalDischargeReport!J83)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4" t="s">
        <v>172</v>
      </c>
    </row>
    <row r="91" spans="3:3" x14ac:dyDescent="0.75">
      <c r="C91" s="25" t="s">
        <v>20</v>
      </c>
    </row>
    <row r="92" spans="3:3" x14ac:dyDescent="0.75">
      <c r="C92" s="25" t="s">
        <v>172</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4" t="str">
        <f>'HospitalDischargeReport-Map-1'!E1</f>
        <v>// -------------------------------------------------------------------------------</v>
      </c>
    </row>
    <row r="181" spans="3:3" x14ac:dyDescent="0.75">
      <c r="C181" s="25" t="str">
        <f>'HospitalDischargeReport-Map-1'!E2</f>
        <v>//  Map to FHIR R4</v>
      </c>
    </row>
    <row r="182" spans="3:3" x14ac:dyDescent="0.75">
      <c r="C182" s="25"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HospitalDischargeReport!B5</f>
        <v>HospitalDischargeReport</v>
      </c>
      <c r="C10" s="6" t="str">
        <f>HospitalDischargeReport!B6</f>
        <v>Hospital Discharge Report (eHN)</v>
      </c>
      <c r="D10" s="46" t="e">
        <f>ConvertOsiris!I2</f>
        <v>#REF!</v>
      </c>
      <c r="E10" s="46" t="e">
        <f>ConvertOsiris!J2</f>
        <v>#REF!</v>
      </c>
      <c r="F10" s="53" t="s">
        <v>121</v>
      </c>
      <c r="G10" s="47"/>
      <c r="H10" s="12" t="str">
        <f>"* group[=].element[+].code = #"&amp;B10</f>
        <v>* group[=].element[+].code = #HospitalDischargeReport</v>
      </c>
      <c r="I10" s="12" t="str">
        <f>"* group[=].element[=].display = ##34#"&amp;C10&amp;"##34#"</f>
        <v>* group[=].element[=].display = ##34#Hospital Discharge Report (eHN)##34#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INDEX('HospitalDischargeRep-ConceptMap'!$H$10:$L$264,O10+1,P10)</f>
        <v>* group[=].element[+].code = #HospitalDischargeReport</v>
      </c>
    </row>
    <row r="11" spans="1:17" ht="44.25" x14ac:dyDescent="0.75">
      <c r="A11" s="48"/>
      <c r="B11" s="11" t="str">
        <f>$B$10&amp;"."&amp;HospitalDischargeReport!B8</f>
        <v>HospitalDischargeReport.header</v>
      </c>
      <c r="C11" s="11" t="str">
        <f>HospitalDischargeReport!C8</f>
        <v>A.1-Report header data element [Mandatory]</v>
      </c>
      <c r="D11" s="11" t="e">
        <f>ConvertOsiris!I6</f>
        <v>#REF!</v>
      </c>
      <c r="E11" s="11" t="e">
        <f>ConvertOsiris!J6</f>
        <v>#REF!</v>
      </c>
      <c r="F11" s="53" t="s">
        <v>99</v>
      </c>
      <c r="G11" s="47"/>
      <c r="H11" s="12" t="str">
        <f t="shared" ref="H11:H17" si="0">"* group[=].element[+].code = #"&amp;B11</f>
        <v>* group[=].element[+].code = #HospitalDischargeReport.header</v>
      </c>
      <c r="I11" s="12" t="str">
        <f t="shared" ref="I11:I17" si="1">"* group[=].element[=].display = ##34#"&amp;C11&amp;"##34#"</f>
        <v>* group[=].element[=].display = ##34#A.1-Report header data element [Mandatory]##34#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INDEX('HospitalDischargeRep-ConceptMap'!$H$10:$L$264,O11+1,P11)</f>
        <v>* group[=].element[=].display = ##34#Hospital Discharge Report (eHN)##34#</v>
      </c>
    </row>
    <row r="12" spans="1:17" ht="44.25" x14ac:dyDescent="0.75">
      <c r="A12" s="48"/>
      <c r="B12" s="11" t="str">
        <f>$B$10&amp;"."&amp;HospitalDischargeReport!B9</f>
        <v>HospitalDischargeReport.header.subject-identification</v>
      </c>
      <c r="C12" s="11" t="str">
        <f>HospitalDischargeReport!C9</f>
        <v>A.1.1-Identification of the patient/subject [Mandatory]</v>
      </c>
      <c r="D12" s="11" t="e">
        <f>ConvertOsiris!I6</f>
        <v>#REF!</v>
      </c>
      <c r="E12" s="11" t="e">
        <f>ConvertOsiris!J6</f>
        <v>#REF!</v>
      </c>
      <c r="F12" s="53" t="s">
        <v>121</v>
      </c>
      <c r="G12" s="47"/>
      <c r="H12" s="12" t="str">
        <f t="shared" si="0"/>
        <v>* group[=].element[+].code = #HospitalDischargeReport.header.subject-identification</v>
      </c>
      <c r="I12" s="12" t="str">
        <f t="shared" si="1"/>
        <v>* group[=].element[=].display = ##34#A.1.1-Identification of the patient/subject [Mandatory]##34#</v>
      </c>
      <c r="J12" s="12" t="e">
        <f t="shared" si="2"/>
        <v>#REF!</v>
      </c>
      <c r="K12" s="12" t="e">
        <f t="shared" si="3"/>
        <v>#REF!</v>
      </c>
      <c r="L12" s="12" t="str">
        <f t="shared" si="4"/>
        <v>* group[=].element[=].target.equivalence = #equivalent</v>
      </c>
      <c r="N12" s="11">
        <v>3</v>
      </c>
      <c r="O12" s="11">
        <f t="shared" si="5"/>
        <v>0</v>
      </c>
      <c r="P12" s="11">
        <f t="shared" si="6"/>
        <v>3</v>
      </c>
      <c r="Q12" s="12" t="e" cm="1">
        <f t="array" ref="Q12">INDEX('HospitalDischargeRep-ConceptMap'!$H$10:$L$264,O12+1,P12)</f>
        <v>#REF!</v>
      </c>
    </row>
    <row r="13" spans="1:17" ht="44.25" x14ac:dyDescent="0.75">
      <c r="A13" s="48"/>
      <c r="B13" s="11" t="str">
        <f>$B$10&amp;"."&amp;HospitalDischargeReport!B36</f>
        <v>HospitalDischargeReport.header.payer</v>
      </c>
      <c r="C13" s="11" t="str">
        <f>HospitalDischargeReport!C36</f>
        <v>A.1.3-Health insurance and payment information [Required]</v>
      </c>
      <c r="D13" s="11"/>
      <c r="E13" s="11"/>
      <c r="F13" s="53" t="s">
        <v>116</v>
      </c>
      <c r="G13" s="47"/>
      <c r="H13" s="12" t="str">
        <f t="shared" si="0"/>
        <v>* group[=].element[+].code = #HospitalDischargeReport.header.payer</v>
      </c>
      <c r="I13" s="12" t="str">
        <f t="shared" si="1"/>
        <v>* group[=].element[=].display = ##34#A.1.3-Health insurance and payment information [Required]##34#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INDEX('HospitalDischargeRep-ConceptMap'!$H$10:$L$264,O13+1,P13)</f>
        <v>#REF!</v>
      </c>
    </row>
    <row r="14" spans="1:17" ht="44.25" x14ac:dyDescent="0.75">
      <c r="A14" s="48"/>
      <c r="B14" s="11" t="str">
        <f>$B$10&amp;"."&amp;HospitalDischargeReport!B40</f>
        <v>HospitalDischargeReport.header.informationRecipient</v>
      </c>
      <c r="C14" s="11" t="str">
        <f>HospitalDischargeReport!C40</f>
        <v>A.1.4-Information recipient [Required]</v>
      </c>
      <c r="D14" s="11"/>
      <c r="E14" s="11"/>
      <c r="F14" s="53" t="s">
        <v>116</v>
      </c>
      <c r="G14" s="47"/>
      <c r="H14" s="12" t="str">
        <f t="shared" si="0"/>
        <v>* group[=].element[+].code = #HospitalDischargeReport.header.informationRecipient</v>
      </c>
      <c r="I14" s="12" t="str">
        <f t="shared" si="1"/>
        <v>* group[=].element[=].display = ##34#A.1.4-Information recipient [Required]##34#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INDEX('HospitalDischargeRep-ConceptMap'!$H$10:$L$264,O14+1,P14)</f>
        <v>* group[=].element[=].target.equivalence = #equivalent</v>
      </c>
    </row>
    <row r="15" spans="1:17" ht="44.25" x14ac:dyDescent="0.75">
      <c r="A15" s="48"/>
      <c r="B15" s="11" t="str">
        <f>$B$10&amp;"."&amp;HospitalDischargeReport!B45</f>
        <v>HospitalDischargeReport.header.author</v>
      </c>
      <c r="C15" s="11" t="str">
        <f>HospitalDischargeReport!C45</f>
        <v>A.1.5-Author (by whom the Hospital discharge report was authored) [Mandatory]</v>
      </c>
      <c r="D15" s="11" t="e">
        <f>ConvertOsiris!I4</f>
        <v>#REF!</v>
      </c>
      <c r="E15" s="11" t="e">
        <f>ConvertOsiris!J4</f>
        <v>#REF!</v>
      </c>
      <c r="F15" s="53" t="s">
        <v>125</v>
      </c>
      <c r="G15" s="47"/>
      <c r="H15" s="12" t="str">
        <f t="shared" si="0"/>
        <v>* group[=].element[+].code = #HospitalDischargeReport.header.author</v>
      </c>
      <c r="I15" s="12" t="str">
        <f t="shared" si="1"/>
        <v>* group[=].element[=].display = ##34#A.1.5-Author (by whom the Hospital discharge report was authored) [Mandatory]##34#</v>
      </c>
      <c r="J15" s="12" t="e">
        <f t="shared" si="2"/>
        <v>#REF!</v>
      </c>
      <c r="K15" s="12" t="e">
        <f t="shared" si="3"/>
        <v>#REF!</v>
      </c>
      <c r="L15" s="12" t="str">
        <f t="shared" si="4"/>
        <v>* group[=].element[=].target.equivalence = #narrower</v>
      </c>
      <c r="N15" s="11">
        <v>6</v>
      </c>
      <c r="O15" s="11">
        <f t="shared" si="5"/>
        <v>1</v>
      </c>
      <c r="P15" s="11">
        <f t="shared" si="6"/>
        <v>1</v>
      </c>
      <c r="Q15" s="12" t="str" cm="1">
        <f t="array" ref="Q15">INDEX('HospitalDischargeRep-ConceptMap'!$H$10:$L$264,O15+1,P15)</f>
        <v>* group[=].element[+].code = #HospitalDischargeReport.header</v>
      </c>
    </row>
    <row r="16" spans="1:17" ht="44.25" x14ac:dyDescent="0.75">
      <c r="A16" s="48"/>
      <c r="B16" s="11" t="str">
        <f>$B$10&amp;"."&amp;HospitalDischargeReport!B51</f>
        <v>HospitalDischargeReport.header.attester</v>
      </c>
      <c r="C16" s="11" t="str">
        <f>HospitalDischargeReport!C51</f>
        <v>A.1.6-Attester [Required]</v>
      </c>
      <c r="D16" s="11" t="e">
        <f>ConvertOsiris!I5</f>
        <v>#REF!</v>
      </c>
      <c r="E16" s="11" t="e">
        <f>ConvertOsiris!J5</f>
        <v>#REF!</v>
      </c>
      <c r="F16" s="53" t="s">
        <v>123</v>
      </c>
      <c r="G16" s="47"/>
      <c r="H16" s="12" t="str">
        <f t="shared" si="0"/>
        <v>* group[=].element[+].code = #HospitalDischargeReport.header.attester</v>
      </c>
      <c r="I16" s="12" t="str">
        <f t="shared" si="1"/>
        <v>* group[=].element[=].display = ##34#A.1.6-Attester [Required]##34#</v>
      </c>
      <c r="J16" s="12" t="e">
        <f t="shared" si="2"/>
        <v>#REF!</v>
      </c>
      <c r="K16" s="12" t="e">
        <f t="shared" si="3"/>
        <v>#REF!</v>
      </c>
      <c r="L16" s="12" t="str">
        <f t="shared" si="4"/>
        <v>* group[=].element[=].target.equivalence = #wider</v>
      </c>
      <c r="N16" s="11">
        <v>7</v>
      </c>
      <c r="O16" s="11">
        <f t="shared" si="5"/>
        <v>1</v>
      </c>
      <c r="P16" s="11">
        <f t="shared" si="6"/>
        <v>2</v>
      </c>
      <c r="Q16" s="12" t="str" cm="1">
        <f t="array" ref="Q16">INDEX('HospitalDischargeRep-ConceptMap'!$H$10:$L$264,O16+1,P16)</f>
        <v>* group[=].element[=].display = ##34#A.1-Report header data element [Mandatory]##34#</v>
      </c>
    </row>
    <row r="17" spans="1:17" ht="44.25" x14ac:dyDescent="0.75">
      <c r="A17" s="48"/>
      <c r="B17" s="11" t="str">
        <f>$B$10&amp;"."&amp;HospitalDischargeReport!B57</f>
        <v>HospitalDischargeReport.header.legalAuthenticator</v>
      </c>
      <c r="C17" s="11" t="str">
        <f>HospitalDischargeReport!C57</f>
        <v>A.1.7-Legal authenticator [Required]</v>
      </c>
      <c r="D17" s="11"/>
      <c r="E17" s="12"/>
      <c r="F17" s="53" t="s">
        <v>116</v>
      </c>
      <c r="G17" s="47"/>
      <c r="H17" s="12" t="str">
        <f t="shared" si="0"/>
        <v>* group[=].element[+].code = #HospitalDischargeReport.header.legalAuthenticator</v>
      </c>
      <c r="I17" s="12" t="str">
        <f t="shared" si="1"/>
        <v>* group[=].element[=].display = ##34#A.1.7-Legal authenticator [Required]##34#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INDEX('HospitalDischargeRep-ConceptMap'!$H$10:$L$264,O17+1,P17)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INDEX('HospitalDischargeRep-ConceptMap'!$H$10:$L$264,O18+1,P18)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INDEX('HospitalDischargeRep-ConceptMap'!$H$10:$L$264,O19+1,P19)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INDEX('HospitalDischargeRep-ConceptMap'!$H$10:$L$264,O20+1,P20)</f>
        <v>* group[=].element[+].code = #HospitalDischargeReport.header.subject-identification</v>
      </c>
    </row>
    <row r="21" spans="1:17" x14ac:dyDescent="0.75">
      <c r="B21" s="11"/>
      <c r="C21" s="11"/>
      <c r="D21" s="11"/>
      <c r="E21" s="12"/>
      <c r="F21" s="53"/>
      <c r="G21" s="47"/>
      <c r="J21" s="47"/>
      <c r="K21" s="47"/>
      <c r="L21" s="55"/>
      <c r="N21" s="11">
        <v>12</v>
      </c>
      <c r="O21" s="11">
        <f t="shared" si="5"/>
        <v>2</v>
      </c>
      <c r="P21" s="11">
        <f t="shared" si="6"/>
        <v>2</v>
      </c>
      <c r="Q21" s="12" t="str" cm="1">
        <f t="array" ref="Q21">INDEX('HospitalDischargeRep-ConceptMap'!$H$10:$L$264,O21+1,P21)</f>
        <v>* group[=].element[=].display = ##34#A.1.1-Identification of the patient/subject [Mandatory]##34#</v>
      </c>
    </row>
    <row r="22" spans="1:17" x14ac:dyDescent="0.75">
      <c r="B22" s="11"/>
      <c r="C22" s="11"/>
      <c r="D22" s="11"/>
      <c r="E22" s="12"/>
      <c r="F22" s="53"/>
      <c r="G22" s="47"/>
      <c r="J22" s="47"/>
      <c r="K22" s="47"/>
      <c r="L22" s="55"/>
      <c r="N22" s="11">
        <v>13</v>
      </c>
      <c r="O22" s="11">
        <f t="shared" si="5"/>
        <v>2</v>
      </c>
      <c r="P22" s="11">
        <f t="shared" si="6"/>
        <v>3</v>
      </c>
      <c r="Q22" s="12" t="e" cm="1">
        <f t="array" ref="Q22">INDEX('HospitalDischargeRep-ConceptMap'!$H$10:$L$264,O22+1,P22)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INDEX('HospitalDischargeRep-ConceptMap'!$H$10:$L$264,O23+1,P23)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INDEX('HospitalDischargeRep-ConceptMap'!$H$10:$L$264,O24+1,P24)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INDEX('HospitalDischargeRep-ConceptMap'!$H$10:$L$264,O25+1,P25)</f>
        <v>* group[=].element[+].code = #HospitalDischargeReport.header.payer</v>
      </c>
    </row>
    <row r="26" spans="1:17" x14ac:dyDescent="0.75">
      <c r="B26" s="11"/>
      <c r="C26" s="11"/>
      <c r="D26" s="11"/>
      <c r="E26" s="12"/>
      <c r="F26" s="53"/>
      <c r="G26" s="47"/>
      <c r="J26" s="47"/>
      <c r="K26" s="47"/>
      <c r="L26" s="55"/>
      <c r="N26" s="11">
        <v>17</v>
      </c>
      <c r="O26" s="11">
        <f t="shared" si="5"/>
        <v>3</v>
      </c>
      <c r="P26" s="11">
        <f t="shared" si="6"/>
        <v>2</v>
      </c>
      <c r="Q26" s="12" t="str" cm="1">
        <f t="array" ref="Q26">INDEX('HospitalDischargeRep-ConceptMap'!$H$10:$L$264,O26+1,P26)</f>
        <v>* group[=].element[=].display = ##34#A.1.3-Health insurance and payment information [Required]##34#</v>
      </c>
    </row>
    <row r="27" spans="1:17" x14ac:dyDescent="0.75">
      <c r="B27" s="11"/>
      <c r="C27" s="11"/>
      <c r="D27" s="11"/>
      <c r="E27" s="12"/>
      <c r="F27" s="53"/>
      <c r="G27" s="47"/>
      <c r="J27" s="47"/>
      <c r="K27" s="47"/>
      <c r="L27" s="55"/>
      <c r="N27" s="11">
        <v>18</v>
      </c>
      <c r="O27" s="11">
        <f t="shared" si="5"/>
        <v>3</v>
      </c>
      <c r="P27" s="11">
        <f t="shared" si="6"/>
        <v>3</v>
      </c>
      <c r="Q27" s="12" t="str" cm="1">
        <f t="array" ref="Q27">INDEX('HospitalDischargeRep-ConceptMap'!$H$10:$L$264,O27+1,P27)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INDEX('HospitalDischargeRep-ConceptMap'!$H$10:$L$264,O28+1,P28)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INDEX('HospitalDischargeRep-ConceptMap'!$H$10:$L$264,O29+1,P29)</f>
        <v>* group[=].element[=].target.equivalence = #unmatched</v>
      </c>
    </row>
    <row r="30" spans="1:17" ht="29.5" x14ac:dyDescent="0.75">
      <c r="B30" s="11"/>
      <c r="C30" s="11"/>
      <c r="D30" s="11"/>
      <c r="E30" s="12"/>
      <c r="F30" s="53"/>
      <c r="G30" s="47"/>
      <c r="J30" s="47"/>
      <c r="K30" s="47"/>
      <c r="L30" s="55"/>
      <c r="N30" s="11">
        <v>21</v>
      </c>
      <c r="O30" s="11">
        <f t="shared" si="5"/>
        <v>4</v>
      </c>
      <c r="P30" s="11">
        <f t="shared" si="6"/>
        <v>1</v>
      </c>
      <c r="Q30" s="12" t="str" cm="1">
        <f t="array" ref="Q30">INDEX('HospitalDischargeRep-ConceptMap'!$H$10:$L$264,O30+1,P30)</f>
        <v>* group[=].element[+].code = #HospitalDischargeReport.header.informationRecipient</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INDEX('HospitalDischargeRep-ConceptMap'!$H$10:$L$264,O31+1,P31)</f>
        <v>* group[=].element[=].display = ##34#A.1.4-Information recipient [Required]##34#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INDEX('HospitalDischargeRep-ConceptMap'!$H$10:$L$264,O32+1,P32)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INDEX('HospitalDischargeRep-ConceptMap'!$H$10:$L$264,O33+1,P33)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INDEX('HospitalDischargeRep-ConceptMap'!$H$10:$L$264,O34+1,P34)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INDEX('HospitalDischargeRep-ConceptMap'!$H$10:$L$264,O35+1,P35)</f>
        <v>* group[=].element[+].code = #HospitalDischargeReport.header.author</v>
      </c>
    </row>
    <row r="36" spans="1:17" s="2" customFormat="1" ht="29.5" x14ac:dyDescent="0.75">
      <c r="A36"/>
      <c r="B36" s="11"/>
      <c r="C36"/>
      <c r="F36" s="47"/>
      <c r="G36" s="47"/>
      <c r="I36" s="47"/>
      <c r="J36" s="47"/>
      <c r="K36" s="47"/>
      <c r="L36" s="55"/>
      <c r="N36" s="11">
        <v>27</v>
      </c>
      <c r="O36" s="11">
        <f t="shared" si="5"/>
        <v>5</v>
      </c>
      <c r="P36" s="11">
        <f t="shared" si="6"/>
        <v>2</v>
      </c>
      <c r="Q36" s="12" t="str" cm="1">
        <f t="array" ref="Q36">INDEX('HospitalDischargeRep-ConceptMap'!$H$10:$L$264,O36+1,P36)</f>
        <v>* group[=].element[=].display = ##34#A.1.5-Author (by whom the Hospital discharge report was authored) [Mandatory]##34#</v>
      </c>
    </row>
    <row r="37" spans="1:17" s="2" customFormat="1" x14ac:dyDescent="0.75">
      <c r="A37"/>
      <c r="B37" s="11"/>
      <c r="C37"/>
      <c r="F37" s="47"/>
      <c r="G37" s="47"/>
      <c r="I37" s="47"/>
      <c r="J37" s="47"/>
      <c r="K37" s="47"/>
      <c r="L37" s="47"/>
      <c r="N37" s="11">
        <v>28</v>
      </c>
      <c r="O37" s="11">
        <f t="shared" si="5"/>
        <v>5</v>
      </c>
      <c r="P37" s="11">
        <f t="shared" si="6"/>
        <v>3</v>
      </c>
      <c r="Q37" s="12" t="e" cm="1">
        <f t="array" ref="Q37">INDEX('HospitalDischargeRep-ConceptMap'!$H$10:$L$264,O37+1,P37)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INDEX('HospitalDischargeRep-ConceptMap'!$H$10:$L$264,O38+1,P38)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INDEX('HospitalDischargeRep-ConceptMap'!$H$10:$L$264,O39+1,P39)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INDEX('HospitalDischargeRep-ConceptMap'!$H$10:$L$264,O40+1,P40)</f>
        <v>* group[=].element[+].code = #HospitalDischargeReport.header.attester</v>
      </c>
    </row>
    <row r="41" spans="1:17" s="2" customFormat="1" x14ac:dyDescent="0.75">
      <c r="A41"/>
      <c r="B41" s="11"/>
      <c r="C41"/>
      <c r="F41" s="47"/>
      <c r="G41" s="47"/>
      <c r="I41" s="47"/>
      <c r="J41" s="47"/>
      <c r="K41" s="47"/>
      <c r="L41" s="47"/>
      <c r="N41" s="11">
        <v>32</v>
      </c>
      <c r="O41" s="11">
        <f t="shared" si="5"/>
        <v>6</v>
      </c>
      <c r="P41" s="11">
        <f t="shared" si="6"/>
        <v>2</v>
      </c>
      <c r="Q41" s="12" t="str" cm="1">
        <f t="array" ref="Q41">INDEX('HospitalDischargeRep-ConceptMap'!$H$10:$L$264,O41+1,P41)</f>
        <v>* group[=].element[=].display = ##34#A.1.6-Attester [Required]##34#</v>
      </c>
    </row>
    <row r="42" spans="1:17" s="2" customFormat="1" x14ac:dyDescent="0.75">
      <c r="A42"/>
      <c r="B42" s="11"/>
      <c r="C42"/>
      <c r="F42" s="47"/>
      <c r="G42" s="47"/>
      <c r="I42" s="47"/>
      <c r="J42" s="47"/>
      <c r="K42" s="47"/>
      <c r="L42" s="47"/>
      <c r="N42" s="11">
        <v>33</v>
      </c>
      <c r="O42" s="11">
        <f t="shared" si="5"/>
        <v>6</v>
      </c>
      <c r="P42" s="11">
        <f t="shared" si="6"/>
        <v>3</v>
      </c>
      <c r="Q42" s="12" t="e" cm="1">
        <f t="array" ref="Q42">INDEX('HospitalDischargeRep-ConceptMap'!$H$10:$L$264,O42+1,P42)</f>
        <v>#REF!</v>
      </c>
    </row>
    <row r="43" spans="1:17" x14ac:dyDescent="0.75">
      <c r="F43" s="47"/>
      <c r="G43" s="47"/>
      <c r="I43" s="47"/>
      <c r="J43" s="47"/>
      <c r="K43" s="47"/>
      <c r="L43" s="47"/>
      <c r="N43" s="11">
        <v>34</v>
      </c>
      <c r="O43" s="11">
        <f t="shared" si="5"/>
        <v>6</v>
      </c>
      <c r="P43" s="11">
        <f t="shared" si="6"/>
        <v>4</v>
      </c>
      <c r="Q43" s="12" t="e" cm="1">
        <f t="array" ref="Q43">INDEX('HospitalDischargeRep-ConceptMap'!$H$10:$L$264,O43+1,P43)</f>
        <v>#REF!</v>
      </c>
    </row>
    <row r="44" spans="1:17" x14ac:dyDescent="0.75">
      <c r="F44" s="47"/>
      <c r="G44" s="47"/>
      <c r="I44" s="47"/>
      <c r="J44" s="47"/>
      <c r="K44" s="47"/>
      <c r="L44" s="47"/>
      <c r="N44" s="11">
        <v>35</v>
      </c>
      <c r="O44" s="11">
        <f t="shared" si="5"/>
        <v>6</v>
      </c>
      <c r="P44" s="11">
        <f t="shared" si="6"/>
        <v>5</v>
      </c>
      <c r="Q44" s="12" t="str" cm="1">
        <f t="array" ref="Q44">INDEX('HospitalDischargeRep-ConceptMap'!$H$10:$L$264,O44+1,P44)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INDEX('HospitalDischargeRep-ConceptMap'!$H$10:$L$264,O45+1,P45)</f>
        <v>* group[=].element[+].code = #HospitalDischargeReport.header.legalAuthenticator</v>
      </c>
    </row>
    <row r="46" spans="1:17" x14ac:dyDescent="0.75">
      <c r="F46" s="47"/>
      <c r="G46" s="47"/>
      <c r="I46" s="47"/>
      <c r="J46" s="47"/>
      <c r="K46" s="47"/>
      <c r="L46" s="47"/>
      <c r="N46" s="11">
        <v>37</v>
      </c>
      <c r="O46" s="11">
        <f t="shared" si="5"/>
        <v>7</v>
      </c>
      <c r="P46" s="11">
        <f t="shared" si="6"/>
        <v>2</v>
      </c>
      <c r="Q46" s="12" t="str" cm="1">
        <f t="array" ref="Q46">INDEX('HospitalDischargeRep-ConceptMap'!$H$10:$L$264,O46+1,P46)</f>
        <v>* group[=].element[=].display = ##34#A.1.7-Legal authenticator [Required]##34#</v>
      </c>
    </row>
    <row r="47" spans="1:17" x14ac:dyDescent="0.75">
      <c r="B47" t="s">
        <v>94</v>
      </c>
      <c r="C47" t="s">
        <v>95</v>
      </c>
      <c r="D47" t="s">
        <v>96</v>
      </c>
      <c r="E47" t="s">
        <v>97</v>
      </c>
      <c r="N47" s="11">
        <v>38</v>
      </c>
      <c r="O47" s="11">
        <f t="shared" si="5"/>
        <v>7</v>
      </c>
      <c r="P47" s="11">
        <f t="shared" si="6"/>
        <v>3</v>
      </c>
      <c r="Q47" s="12" t="str" cm="1">
        <f t="array" ref="Q47">INDEX('HospitalDischargeRep-ConceptMap'!$H$10:$L$264,O47+1,P47)</f>
        <v>//-- unmatched</v>
      </c>
    </row>
    <row r="48" spans="1:17" x14ac:dyDescent="0.75">
      <c r="N48" s="11">
        <v>39</v>
      </c>
      <c r="O48" s="11">
        <f t="shared" si="5"/>
        <v>7</v>
      </c>
      <c r="P48" s="11">
        <f t="shared" si="6"/>
        <v>4</v>
      </c>
      <c r="Q48" s="12" t="str" cm="1">
        <f t="array" ref="Q48">INDEX('HospitalDischargeRep-ConceptMap'!$H$10:$L$264,O48+1,P48)</f>
        <v>//-- unmatched</v>
      </c>
    </row>
    <row r="49" spans="14:17" x14ac:dyDescent="0.75">
      <c r="N49" s="11">
        <v>40</v>
      </c>
      <c r="O49" s="11">
        <f t="shared" si="5"/>
        <v>7</v>
      </c>
      <c r="P49" s="11">
        <f t="shared" si="6"/>
        <v>5</v>
      </c>
      <c r="Q49" s="12" t="str" cm="1">
        <f t="array" ref="Q49">INDEX('HospitalDischargeRep-ConceptMap'!$H$10:$L$264,O49+1,P49)</f>
        <v>* group[=].element[=].target.equivalence = #unmatched</v>
      </c>
    </row>
    <row r="50" spans="14:17" x14ac:dyDescent="0.75">
      <c r="N50" s="11">
        <v>41</v>
      </c>
      <c r="O50" s="11">
        <f t="shared" si="5"/>
        <v>8</v>
      </c>
      <c r="P50" s="11">
        <f t="shared" si="6"/>
        <v>1</v>
      </c>
      <c r="Q50" s="12" cm="1">
        <f t="array" ref="Q50">INDEX('HospitalDischargeRep-ConceptMap'!$H$10:$L$264,O50+1,P50)</f>
        <v>0</v>
      </c>
    </row>
    <row r="51" spans="14:17" x14ac:dyDescent="0.75">
      <c r="N51" s="11">
        <v>42</v>
      </c>
      <c r="O51" s="11">
        <f t="shared" si="5"/>
        <v>8</v>
      </c>
      <c r="P51" s="11">
        <f t="shared" si="6"/>
        <v>2</v>
      </c>
      <c r="Q51" s="12" cm="1">
        <f t="array" ref="Q51">INDEX('HospitalDischargeRep-ConceptMap'!$H$10:$L$264,O51+1,P51)</f>
        <v>0</v>
      </c>
    </row>
    <row r="52" spans="14:17" x14ac:dyDescent="0.75">
      <c r="N52" s="11">
        <v>43</v>
      </c>
      <c r="O52" s="11">
        <f t="shared" si="5"/>
        <v>8</v>
      </c>
      <c r="P52" s="11">
        <f t="shared" si="6"/>
        <v>3</v>
      </c>
      <c r="Q52" s="12" cm="1">
        <f t="array" ref="Q52">INDEX('HospitalDischargeRep-ConceptMap'!$H$10:$L$264,O52+1,P52)</f>
        <v>0</v>
      </c>
    </row>
    <row r="53" spans="14:17" x14ac:dyDescent="0.75">
      <c r="N53" s="11">
        <v>44</v>
      </c>
      <c r="O53" s="11">
        <f t="shared" si="5"/>
        <v>8</v>
      </c>
      <c r="P53" s="11">
        <f t="shared" si="6"/>
        <v>4</v>
      </c>
      <c r="Q53" s="12" cm="1">
        <f t="array" ref="Q53">INDEX('HospitalDischargeRep-ConceptMap'!$H$10:$L$264,O53+1,P53)</f>
        <v>0</v>
      </c>
    </row>
    <row r="54" spans="14:17" x14ac:dyDescent="0.75">
      <c r="N54" s="11">
        <v>45</v>
      </c>
      <c r="O54" s="11">
        <f t="shared" si="5"/>
        <v>8</v>
      </c>
      <c r="P54" s="11">
        <f t="shared" si="6"/>
        <v>5</v>
      </c>
      <c r="Q54" s="12" cm="1">
        <f t="array" ref="Q54">INDEX('HospitalDischargeRep-ConceptMap'!$H$10:$L$264,O54+1,P54)</f>
        <v>0</v>
      </c>
    </row>
    <row r="55" spans="14:17" x14ac:dyDescent="0.75">
      <c r="N55" s="11">
        <v>46</v>
      </c>
      <c r="O55" s="11">
        <f t="shared" si="5"/>
        <v>9</v>
      </c>
      <c r="P55" s="11">
        <f t="shared" si="6"/>
        <v>1</v>
      </c>
      <c r="Q55" s="12" cm="1">
        <f t="array" ref="Q55">INDEX('HospitalDischargeRep-ConceptMap'!$H$10:$L$264,O55+1,P55)</f>
        <v>0</v>
      </c>
    </row>
    <row r="56" spans="14:17" x14ac:dyDescent="0.75">
      <c r="N56" s="11">
        <v>47</v>
      </c>
      <c r="O56" s="11">
        <f t="shared" si="5"/>
        <v>9</v>
      </c>
      <c r="P56" s="11">
        <f t="shared" si="6"/>
        <v>2</v>
      </c>
      <c r="Q56" s="12" cm="1">
        <f t="array" ref="Q56">INDEX('HospitalDischargeRep-ConceptMap'!$H$10:$L$264,O56+1,P56)</f>
        <v>0</v>
      </c>
    </row>
    <row r="57" spans="14:17" x14ac:dyDescent="0.75">
      <c r="N57" s="11">
        <v>48</v>
      </c>
      <c r="O57" s="11">
        <f t="shared" si="5"/>
        <v>9</v>
      </c>
      <c r="P57" s="11">
        <f t="shared" si="6"/>
        <v>3</v>
      </c>
      <c r="Q57" s="12" cm="1">
        <f t="array" ref="Q57">INDEX('HospitalDischargeRep-ConceptMap'!$H$10:$L$264,O57+1,P57)</f>
        <v>0</v>
      </c>
    </row>
    <row r="58" spans="14:17" x14ac:dyDescent="0.75">
      <c r="N58" s="11">
        <v>49</v>
      </c>
      <c r="O58" s="11">
        <f t="shared" si="5"/>
        <v>9</v>
      </c>
      <c r="P58" s="11">
        <f t="shared" si="6"/>
        <v>4</v>
      </c>
      <c r="Q58" s="12" cm="1">
        <f t="array" ref="Q58">INDEX('HospitalDischargeRep-ConceptMap'!$H$10:$L$264,O58+1,P58)</f>
        <v>0</v>
      </c>
    </row>
    <row r="59" spans="14:17" x14ac:dyDescent="0.75">
      <c r="N59" s="11">
        <v>50</v>
      </c>
      <c r="O59" s="11">
        <f t="shared" si="5"/>
        <v>9</v>
      </c>
      <c r="P59" s="11">
        <f t="shared" si="6"/>
        <v>5</v>
      </c>
      <c r="Q59" s="12" cm="1">
        <f t="array" ref="Q59">INDEX('HospitalDischargeRep-ConceptMap'!$H$10:$L$264,O59+1,P59)</f>
        <v>0</v>
      </c>
    </row>
    <row r="60" spans="14:17" x14ac:dyDescent="0.75">
      <c r="N60" s="11">
        <v>51</v>
      </c>
      <c r="O60" s="11">
        <f t="shared" si="5"/>
        <v>10</v>
      </c>
      <c r="P60" s="11">
        <f t="shared" si="6"/>
        <v>1</v>
      </c>
      <c r="Q60" s="12" cm="1">
        <f t="array" ref="Q60">INDEX('HospitalDischargeRep-ConceptMap'!$H$10:$L$264,O60+1,P60)</f>
        <v>0</v>
      </c>
    </row>
    <row r="61" spans="14:17" x14ac:dyDescent="0.75">
      <c r="N61" s="11">
        <v>52</v>
      </c>
      <c r="O61" s="11">
        <f t="shared" si="5"/>
        <v>10</v>
      </c>
      <c r="P61" s="11">
        <f t="shared" si="6"/>
        <v>2</v>
      </c>
      <c r="Q61" s="12" cm="1">
        <f t="array" ref="Q61">INDEX('HospitalDischargeRep-ConceptMap'!$H$10:$L$264,O61+1,P61)</f>
        <v>0</v>
      </c>
    </row>
    <row r="62" spans="14:17" x14ac:dyDescent="0.75">
      <c r="N62" s="11">
        <v>53</v>
      </c>
      <c r="O62" s="11">
        <f t="shared" si="5"/>
        <v>10</v>
      </c>
      <c r="P62" s="11">
        <f t="shared" si="6"/>
        <v>3</v>
      </c>
      <c r="Q62" s="12" cm="1">
        <f t="array" ref="Q62">INDEX('HospitalDischargeRep-ConceptMap'!$H$10:$L$264,O62+1,P62)</f>
        <v>0</v>
      </c>
    </row>
    <row r="63" spans="14:17" x14ac:dyDescent="0.75">
      <c r="N63" s="11">
        <v>54</v>
      </c>
      <c r="O63" s="11">
        <f t="shared" si="5"/>
        <v>10</v>
      </c>
      <c r="P63" s="11">
        <f t="shared" si="6"/>
        <v>4</v>
      </c>
      <c r="Q63" s="12" cm="1">
        <f t="array" ref="Q63">INDEX('HospitalDischargeRep-ConceptMap'!$H$10:$L$264,O63+1,P63)</f>
        <v>0</v>
      </c>
    </row>
    <row r="64" spans="14:17" x14ac:dyDescent="0.75">
      <c r="N64" s="11">
        <v>55</v>
      </c>
      <c r="O64" s="11">
        <f t="shared" si="5"/>
        <v>10</v>
      </c>
      <c r="P64" s="11">
        <f t="shared" si="6"/>
        <v>5</v>
      </c>
      <c r="Q64" s="12" cm="1">
        <f t="array" ref="Q64">INDEX('HospitalDischargeRep-ConceptMap'!$H$10:$L$264,O64+1,P64)</f>
        <v>0</v>
      </c>
    </row>
    <row r="65" spans="14:17" x14ac:dyDescent="0.75">
      <c r="N65" s="11">
        <v>56</v>
      </c>
      <c r="O65" s="11">
        <f t="shared" si="5"/>
        <v>11</v>
      </c>
      <c r="P65" s="11">
        <f t="shared" si="6"/>
        <v>1</v>
      </c>
      <c r="Q65" s="12" cm="1">
        <f t="array" ref="Q65">INDEX('HospitalDischargeRep-ConceptMap'!$H$10:$L$264,O65+1,P65)</f>
        <v>0</v>
      </c>
    </row>
    <row r="66" spans="14:17" x14ac:dyDescent="0.75">
      <c r="N66" s="11">
        <v>57</v>
      </c>
      <c r="O66" s="11">
        <f t="shared" si="5"/>
        <v>11</v>
      </c>
      <c r="P66" s="11">
        <f t="shared" si="6"/>
        <v>2</v>
      </c>
      <c r="Q66" s="12" cm="1">
        <f t="array" ref="Q66">INDEX('HospitalDischargeRep-ConceptMap'!$H$10:$L$264,O66+1,P66)</f>
        <v>0</v>
      </c>
    </row>
    <row r="67" spans="14:17" x14ac:dyDescent="0.75">
      <c r="N67" s="11">
        <v>58</v>
      </c>
      <c r="O67" s="11">
        <f t="shared" si="5"/>
        <v>11</v>
      </c>
      <c r="P67" s="11">
        <f t="shared" si="6"/>
        <v>3</v>
      </c>
      <c r="Q67" s="12" cm="1">
        <f t="array" ref="Q67">INDEX('HospitalDischargeRep-ConceptMap'!$H$10:$L$264,O67+1,P67)</f>
        <v>0</v>
      </c>
    </row>
    <row r="68" spans="14:17" x14ac:dyDescent="0.75">
      <c r="N68" s="11">
        <v>59</v>
      </c>
      <c r="O68" s="11">
        <f t="shared" si="5"/>
        <v>11</v>
      </c>
      <c r="P68" s="11">
        <f t="shared" si="6"/>
        <v>4</v>
      </c>
      <c r="Q68" s="12" cm="1">
        <f t="array" ref="Q68">INDEX('HospitalDischargeRep-ConceptMap'!$H$10:$L$264,O68+1,P68)</f>
        <v>0</v>
      </c>
    </row>
    <row r="69" spans="14:17" x14ac:dyDescent="0.75">
      <c r="N69" s="11">
        <v>60</v>
      </c>
      <c r="O69" s="11">
        <f t="shared" si="5"/>
        <v>11</v>
      </c>
      <c r="P69" s="11">
        <f t="shared" si="6"/>
        <v>5</v>
      </c>
      <c r="Q69" s="12" cm="1">
        <f t="array" ref="Q69">INDEX('HospitalDischargeRep-ConceptMap'!$H$10:$L$264,O69+1,P69)</f>
        <v>0</v>
      </c>
    </row>
    <row r="70" spans="14:17" x14ac:dyDescent="0.75">
      <c r="N70" s="11">
        <v>61</v>
      </c>
      <c r="O70" s="11">
        <f t="shared" si="5"/>
        <v>12</v>
      </c>
      <c r="P70" s="11">
        <f t="shared" si="6"/>
        <v>1</v>
      </c>
      <c r="Q70" s="12" cm="1">
        <f t="array" ref="Q70">INDEX('HospitalDischargeRep-ConceptMap'!$H$10:$L$264,O70+1,P70)</f>
        <v>0</v>
      </c>
    </row>
    <row r="71" spans="14:17" x14ac:dyDescent="0.75">
      <c r="N71" s="11">
        <v>62</v>
      </c>
      <c r="O71" s="11">
        <f t="shared" si="5"/>
        <v>12</v>
      </c>
      <c r="P71" s="11">
        <f t="shared" si="6"/>
        <v>2</v>
      </c>
      <c r="Q71" s="12" cm="1">
        <f t="array" ref="Q71">INDEX('HospitalDischargeRep-ConceptMap'!$H$10:$L$264,O71+1,P71)</f>
        <v>0</v>
      </c>
    </row>
    <row r="72" spans="14:17" x14ac:dyDescent="0.75">
      <c r="N72" s="11">
        <v>63</v>
      </c>
      <c r="O72" s="11">
        <f t="shared" si="5"/>
        <v>12</v>
      </c>
      <c r="P72" s="11">
        <f t="shared" si="6"/>
        <v>3</v>
      </c>
      <c r="Q72" s="12" cm="1">
        <f t="array" ref="Q72">INDEX('HospitalDischargeRep-ConceptMap'!$H$10:$L$264,O72+1,P72)</f>
        <v>0</v>
      </c>
    </row>
    <row r="73" spans="14:17" x14ac:dyDescent="0.75">
      <c r="N73" s="11">
        <v>64</v>
      </c>
      <c r="O73" s="11">
        <f t="shared" si="5"/>
        <v>12</v>
      </c>
      <c r="P73" s="11">
        <f t="shared" si="6"/>
        <v>4</v>
      </c>
      <c r="Q73" s="12" cm="1">
        <f t="array" ref="Q73">INDEX('HospitalDischargeRep-ConceptMap'!$H$10:$L$264,O73+1,P73)</f>
        <v>0</v>
      </c>
    </row>
    <row r="74" spans="14:17" x14ac:dyDescent="0.75">
      <c r="N74" s="11">
        <v>65</v>
      </c>
      <c r="O74" s="11">
        <f t="shared" si="5"/>
        <v>12</v>
      </c>
      <c r="P74" s="11">
        <f t="shared" si="6"/>
        <v>5</v>
      </c>
      <c r="Q74" s="12" cm="1">
        <f t="array" ref="Q74">INDEX('HospitalDischargeRep-ConceptMap'!$H$10:$L$264,O74+1,P74)</f>
        <v>0</v>
      </c>
    </row>
    <row r="75" spans="14:17" x14ac:dyDescent="0.75">
      <c r="N75" s="11">
        <v>66</v>
      </c>
      <c r="O75" s="11">
        <f t="shared" ref="O75:O138" si="7">IF(MOD(N75,$O$3)=0,N75/$O$3-1,INT(N75/$O$3))</f>
        <v>13</v>
      </c>
      <c r="P75" s="11">
        <f t="shared" ref="P75:P138" si="8">IF(MOD(N75,$O$3)=0,$O$3,MOD(N75,$O$3))</f>
        <v>1</v>
      </c>
      <c r="Q75" s="12" cm="1">
        <f t="array" ref="Q75">INDEX('HospitalDischargeRep-ConceptMap'!$H$10:$L$264,O75+1,P75)</f>
        <v>0</v>
      </c>
    </row>
    <row r="76" spans="14:17" x14ac:dyDescent="0.75">
      <c r="N76" s="11">
        <v>67</v>
      </c>
      <c r="O76" s="11">
        <f t="shared" si="7"/>
        <v>13</v>
      </c>
      <c r="P76" s="11">
        <f t="shared" si="8"/>
        <v>2</v>
      </c>
      <c r="Q76" s="12" cm="1">
        <f t="array" ref="Q76">INDEX('HospitalDischargeRep-ConceptMap'!$H$10:$L$264,O76+1,P76)</f>
        <v>0</v>
      </c>
    </row>
    <row r="77" spans="14:17" x14ac:dyDescent="0.75">
      <c r="N77" s="11">
        <v>68</v>
      </c>
      <c r="O77" s="11">
        <f t="shared" si="7"/>
        <v>13</v>
      </c>
      <c r="P77" s="11">
        <f t="shared" si="8"/>
        <v>3</v>
      </c>
      <c r="Q77" s="12" cm="1">
        <f t="array" ref="Q77">INDEX('HospitalDischargeRep-ConceptMap'!$H$10:$L$264,O77+1,P77)</f>
        <v>0</v>
      </c>
    </row>
    <row r="78" spans="14:17" x14ac:dyDescent="0.75">
      <c r="N78" s="11">
        <v>69</v>
      </c>
      <c r="O78" s="11">
        <f t="shared" si="7"/>
        <v>13</v>
      </c>
      <c r="P78" s="11">
        <f t="shared" si="8"/>
        <v>4</v>
      </c>
      <c r="Q78" s="12" cm="1">
        <f t="array" ref="Q78">INDEX('HospitalDischargeRep-ConceptMap'!$H$10:$L$264,O78+1,P78)</f>
        <v>0</v>
      </c>
    </row>
    <row r="79" spans="14:17" x14ac:dyDescent="0.75">
      <c r="N79" s="11">
        <v>70</v>
      </c>
      <c r="O79" s="11">
        <f t="shared" si="7"/>
        <v>13</v>
      </c>
      <c r="P79" s="11">
        <f t="shared" si="8"/>
        <v>5</v>
      </c>
      <c r="Q79" s="12" cm="1">
        <f t="array" ref="Q79">INDEX('HospitalDischargeRep-ConceptMap'!$H$10:$L$264,O79+1,P79)</f>
        <v>0</v>
      </c>
    </row>
    <row r="80" spans="14:17" x14ac:dyDescent="0.75">
      <c r="N80" s="11">
        <v>71</v>
      </c>
      <c r="O80" s="11">
        <f t="shared" si="7"/>
        <v>14</v>
      </c>
      <c r="P80" s="11">
        <f t="shared" si="8"/>
        <v>1</v>
      </c>
      <c r="Q80" s="12" cm="1">
        <f t="array" ref="Q80">INDEX('HospitalDischargeRep-ConceptMap'!$H$10:$L$264,O80+1,P80)</f>
        <v>0</v>
      </c>
    </row>
    <row r="81" spans="14:17" x14ac:dyDescent="0.75">
      <c r="N81" s="11">
        <v>72</v>
      </c>
      <c r="O81" s="11">
        <f t="shared" si="7"/>
        <v>14</v>
      </c>
      <c r="P81" s="11">
        <f t="shared" si="8"/>
        <v>2</v>
      </c>
      <c r="Q81" s="12" cm="1">
        <f t="array" ref="Q81">INDEX('HospitalDischargeRep-ConceptMap'!$H$10:$L$264,O81+1,P81)</f>
        <v>0</v>
      </c>
    </row>
    <row r="82" spans="14:17" x14ac:dyDescent="0.75">
      <c r="N82" s="11">
        <v>73</v>
      </c>
      <c r="O82" s="11">
        <f t="shared" si="7"/>
        <v>14</v>
      </c>
      <c r="P82" s="11">
        <f t="shared" si="8"/>
        <v>3</v>
      </c>
      <c r="Q82" s="12" cm="1">
        <f t="array" ref="Q82">INDEX('HospitalDischargeRep-ConceptMap'!$H$10:$L$264,O82+1,P82)</f>
        <v>0</v>
      </c>
    </row>
    <row r="83" spans="14:17" x14ac:dyDescent="0.75">
      <c r="N83" s="11">
        <v>74</v>
      </c>
      <c r="O83" s="11">
        <f t="shared" si="7"/>
        <v>14</v>
      </c>
      <c r="P83" s="11">
        <f t="shared" si="8"/>
        <v>4</v>
      </c>
      <c r="Q83" s="12" cm="1">
        <f t="array" ref="Q83">INDEX('HospitalDischargeRep-ConceptMap'!$H$10:$L$264,O83+1,P83)</f>
        <v>0</v>
      </c>
    </row>
    <row r="84" spans="14:17" x14ac:dyDescent="0.75">
      <c r="N84" s="11">
        <v>75</v>
      </c>
      <c r="O84" s="11">
        <f t="shared" si="7"/>
        <v>14</v>
      </c>
      <c r="P84" s="11">
        <f t="shared" si="8"/>
        <v>5</v>
      </c>
      <c r="Q84" s="12" cm="1">
        <f t="array" ref="Q84">INDEX('HospitalDischargeRep-ConceptMap'!$H$10:$L$264,O84+1,P84)</f>
        <v>0</v>
      </c>
    </row>
    <row r="85" spans="14:17" x14ac:dyDescent="0.75">
      <c r="N85" s="11">
        <v>76</v>
      </c>
      <c r="O85" s="11">
        <f t="shared" si="7"/>
        <v>15</v>
      </c>
      <c r="P85" s="11">
        <f t="shared" si="8"/>
        <v>1</v>
      </c>
      <c r="Q85" s="12" cm="1">
        <f t="array" ref="Q85">INDEX('HospitalDischargeRep-ConceptMap'!$H$10:$L$264,O85+1,P85)</f>
        <v>0</v>
      </c>
    </row>
    <row r="86" spans="14:17" x14ac:dyDescent="0.75">
      <c r="N86" s="11">
        <v>77</v>
      </c>
      <c r="O86" s="11">
        <f t="shared" si="7"/>
        <v>15</v>
      </c>
      <c r="P86" s="11">
        <f t="shared" si="8"/>
        <v>2</v>
      </c>
      <c r="Q86" s="12" cm="1">
        <f t="array" ref="Q86">INDEX('HospitalDischargeRep-ConceptMap'!$H$10:$L$264,O86+1,P86)</f>
        <v>0</v>
      </c>
    </row>
    <row r="87" spans="14:17" x14ac:dyDescent="0.75">
      <c r="N87" s="11">
        <v>78</v>
      </c>
      <c r="O87" s="11">
        <f t="shared" si="7"/>
        <v>15</v>
      </c>
      <c r="P87" s="11">
        <f t="shared" si="8"/>
        <v>3</v>
      </c>
      <c r="Q87" s="12" cm="1">
        <f t="array" ref="Q87">INDEX('HospitalDischargeRep-ConceptMap'!$H$10:$L$264,O87+1,P87)</f>
        <v>0</v>
      </c>
    </row>
    <row r="88" spans="14:17" x14ac:dyDescent="0.75">
      <c r="N88" s="11">
        <v>79</v>
      </c>
      <c r="O88" s="11">
        <f t="shared" si="7"/>
        <v>15</v>
      </c>
      <c r="P88" s="11">
        <f t="shared" si="8"/>
        <v>4</v>
      </c>
      <c r="Q88" s="12" cm="1">
        <f t="array" ref="Q88">INDEX('HospitalDischargeRep-ConceptMap'!$H$10:$L$264,O88+1,P88)</f>
        <v>0</v>
      </c>
    </row>
    <row r="89" spans="14:17" x14ac:dyDescent="0.75">
      <c r="N89" s="11">
        <v>80</v>
      </c>
      <c r="O89" s="11">
        <f t="shared" si="7"/>
        <v>15</v>
      </c>
      <c r="P89" s="11">
        <f t="shared" si="8"/>
        <v>5</v>
      </c>
      <c r="Q89" s="12" cm="1">
        <f t="array" ref="Q89">INDEX('HospitalDischargeRep-ConceptMap'!$H$10:$L$264,O89+1,P89)</f>
        <v>0</v>
      </c>
    </row>
    <row r="90" spans="14:17" x14ac:dyDescent="0.75">
      <c r="N90" s="11">
        <v>81</v>
      </c>
      <c r="O90" s="11">
        <f t="shared" si="7"/>
        <v>16</v>
      </c>
      <c r="P90" s="11">
        <f t="shared" si="8"/>
        <v>1</v>
      </c>
      <c r="Q90" s="12" cm="1">
        <f t="array" ref="Q90">INDEX('HospitalDischargeRep-ConceptMap'!$H$10:$L$264,O90+1,P90)</f>
        <v>0</v>
      </c>
    </row>
    <row r="91" spans="14:17" x14ac:dyDescent="0.75">
      <c r="N91" s="11">
        <v>82</v>
      </c>
      <c r="O91" s="11">
        <f t="shared" si="7"/>
        <v>16</v>
      </c>
      <c r="P91" s="11">
        <f t="shared" si="8"/>
        <v>2</v>
      </c>
      <c r="Q91" s="12" cm="1">
        <f t="array" ref="Q91">INDEX('HospitalDischargeRep-ConceptMap'!$H$10:$L$264,O91+1,P91)</f>
        <v>0</v>
      </c>
    </row>
    <row r="92" spans="14:17" x14ac:dyDescent="0.75">
      <c r="N92" s="11">
        <v>83</v>
      </c>
      <c r="O92" s="11">
        <f t="shared" si="7"/>
        <v>16</v>
      </c>
      <c r="P92" s="11">
        <f t="shared" si="8"/>
        <v>3</v>
      </c>
      <c r="Q92" s="12" cm="1">
        <f t="array" ref="Q92">INDEX('HospitalDischargeRep-ConceptMap'!$H$10:$L$264,O92+1,P92)</f>
        <v>0</v>
      </c>
    </row>
    <row r="93" spans="14:17" x14ac:dyDescent="0.75">
      <c r="N93" s="11">
        <v>84</v>
      </c>
      <c r="O93" s="11">
        <f t="shared" si="7"/>
        <v>16</v>
      </c>
      <c r="P93" s="11">
        <f t="shared" si="8"/>
        <v>4</v>
      </c>
      <c r="Q93" s="12" cm="1">
        <f t="array" ref="Q93">INDEX('HospitalDischargeRep-ConceptMap'!$H$10:$L$264,O93+1,P93)</f>
        <v>0</v>
      </c>
    </row>
    <row r="94" spans="14:17" x14ac:dyDescent="0.75">
      <c r="N94" s="11">
        <v>85</v>
      </c>
      <c r="O94" s="11">
        <f t="shared" si="7"/>
        <v>16</v>
      </c>
      <c r="P94" s="11">
        <f t="shared" si="8"/>
        <v>5</v>
      </c>
      <c r="Q94" s="12" cm="1">
        <f t="array" ref="Q94">INDEX('HospitalDischargeRep-ConceptMap'!$H$10:$L$264,O94+1,P94)</f>
        <v>0</v>
      </c>
    </row>
    <row r="95" spans="14:17" x14ac:dyDescent="0.75">
      <c r="N95" s="11">
        <v>86</v>
      </c>
      <c r="O95" s="11">
        <f t="shared" si="7"/>
        <v>17</v>
      </c>
      <c r="P95" s="11">
        <f t="shared" si="8"/>
        <v>1</v>
      </c>
      <c r="Q95" s="12" cm="1">
        <f t="array" ref="Q95">INDEX('HospitalDischargeRep-ConceptMap'!$H$10:$L$264,O95+1,P95)</f>
        <v>0</v>
      </c>
    </row>
    <row r="96" spans="14:17" x14ac:dyDescent="0.75">
      <c r="N96" s="11">
        <v>87</v>
      </c>
      <c r="O96" s="11">
        <f t="shared" si="7"/>
        <v>17</v>
      </c>
      <c r="P96" s="11">
        <f t="shared" si="8"/>
        <v>2</v>
      </c>
      <c r="Q96" s="12" cm="1">
        <f t="array" ref="Q96">INDEX('HospitalDischargeRep-ConceptMap'!$H$10:$L$264,O96+1,P96)</f>
        <v>0</v>
      </c>
    </row>
    <row r="97" spans="14:17" x14ac:dyDescent="0.75">
      <c r="N97" s="11">
        <v>88</v>
      </c>
      <c r="O97" s="11">
        <f t="shared" si="7"/>
        <v>17</v>
      </c>
      <c r="P97" s="11">
        <f t="shared" si="8"/>
        <v>3</v>
      </c>
      <c r="Q97" s="12" cm="1">
        <f t="array" ref="Q97">INDEX('HospitalDischargeRep-ConceptMap'!$H$10:$L$264,O97+1,P97)</f>
        <v>0</v>
      </c>
    </row>
    <row r="98" spans="14:17" x14ac:dyDescent="0.75">
      <c r="N98" s="11">
        <v>89</v>
      </c>
      <c r="O98" s="11">
        <f t="shared" si="7"/>
        <v>17</v>
      </c>
      <c r="P98" s="11">
        <f t="shared" si="8"/>
        <v>4</v>
      </c>
      <c r="Q98" s="12" cm="1">
        <f t="array" ref="Q98">INDEX('HospitalDischargeRep-ConceptMap'!$H$10:$L$264,O98+1,P98)</f>
        <v>0</v>
      </c>
    </row>
    <row r="99" spans="14:17" x14ac:dyDescent="0.75">
      <c r="N99" s="11">
        <v>90</v>
      </c>
      <c r="O99" s="11">
        <f t="shared" si="7"/>
        <v>17</v>
      </c>
      <c r="P99" s="11">
        <f t="shared" si="8"/>
        <v>5</v>
      </c>
      <c r="Q99" s="12" cm="1">
        <f t="array" ref="Q99">INDEX('HospitalDischargeRep-ConceptMap'!$H$10:$L$264,O99+1,P99)</f>
        <v>0</v>
      </c>
    </row>
    <row r="100" spans="14:17" x14ac:dyDescent="0.75">
      <c r="N100" s="11">
        <v>91</v>
      </c>
      <c r="O100" s="11">
        <f t="shared" si="7"/>
        <v>18</v>
      </c>
      <c r="P100" s="11">
        <f t="shared" si="8"/>
        <v>1</v>
      </c>
      <c r="Q100" s="12" cm="1">
        <f t="array" ref="Q100">INDEX('HospitalDischargeRep-ConceptMap'!$H$10:$L$264,O100+1,P100)</f>
        <v>0</v>
      </c>
    </row>
    <row r="101" spans="14:17" x14ac:dyDescent="0.75">
      <c r="N101" s="11">
        <v>92</v>
      </c>
      <c r="O101" s="11">
        <f t="shared" si="7"/>
        <v>18</v>
      </c>
      <c r="P101" s="11">
        <f t="shared" si="8"/>
        <v>2</v>
      </c>
      <c r="Q101" s="12" cm="1">
        <f t="array" ref="Q101">INDEX('HospitalDischargeRep-ConceptMap'!U85:Y339,1+O101,P101)</f>
        <v>0</v>
      </c>
    </row>
    <row r="102" spans="14:17" x14ac:dyDescent="0.75">
      <c r="N102" s="11">
        <v>93</v>
      </c>
      <c r="O102" s="11">
        <f t="shared" si="7"/>
        <v>18</v>
      </c>
      <c r="P102" s="11">
        <f t="shared" si="8"/>
        <v>3</v>
      </c>
      <c r="Q102" s="12" cm="1">
        <f t="array" ref="Q102">INDEX('HospitalDischargeRep-ConceptMap'!U86:Y340,1+O102,P102)</f>
        <v>0</v>
      </c>
    </row>
    <row r="103" spans="14:17" x14ac:dyDescent="0.75">
      <c r="N103" s="11">
        <v>94</v>
      </c>
      <c r="O103" s="11">
        <f t="shared" si="7"/>
        <v>18</v>
      </c>
      <c r="P103" s="11">
        <f t="shared" si="8"/>
        <v>4</v>
      </c>
      <c r="Q103" s="12" cm="1">
        <f t="array" ref="Q103">INDEX('HospitalDischargeRep-ConceptMap'!U87:Y341,1+O103,P103)</f>
        <v>0</v>
      </c>
    </row>
    <row r="104" spans="14:17" x14ac:dyDescent="0.75">
      <c r="N104" s="11">
        <v>95</v>
      </c>
      <c r="O104" s="11">
        <f t="shared" si="7"/>
        <v>18</v>
      </c>
      <c r="P104" s="11">
        <f t="shared" si="8"/>
        <v>5</v>
      </c>
      <c r="Q104" s="12" cm="1">
        <f t="array" ref="Q104">INDEX('HospitalDischargeRep-ConceptMap'!U88:Y342,1+O104,P104)</f>
        <v>0</v>
      </c>
    </row>
    <row r="105" spans="14:17" x14ac:dyDescent="0.75">
      <c r="N105" s="11">
        <v>96</v>
      </c>
      <c r="O105" s="11">
        <f t="shared" si="7"/>
        <v>19</v>
      </c>
      <c r="P105" s="11">
        <f t="shared" si="8"/>
        <v>1</v>
      </c>
      <c r="Q105" s="12" cm="1">
        <f t="array" ref="Q105">INDEX('HospitalDischargeRep-ConceptMap'!U89:Y343,1+O105,P105)</f>
        <v>0</v>
      </c>
    </row>
    <row r="106" spans="14:17" x14ac:dyDescent="0.75">
      <c r="N106" s="11">
        <v>97</v>
      </c>
      <c r="O106" s="11">
        <f t="shared" si="7"/>
        <v>19</v>
      </c>
      <c r="P106" s="11">
        <f t="shared" si="8"/>
        <v>2</v>
      </c>
      <c r="Q106" s="12" cm="1">
        <f t="array" ref="Q106">INDEX('HospitalDischargeRep-ConceptMap'!U90:Y344,1+O106,P106)</f>
        <v>0</v>
      </c>
    </row>
    <row r="107" spans="14:17" x14ac:dyDescent="0.75">
      <c r="N107" s="11">
        <v>98</v>
      </c>
      <c r="O107" s="11">
        <f t="shared" si="7"/>
        <v>19</v>
      </c>
      <c r="P107" s="11">
        <f t="shared" si="8"/>
        <v>3</v>
      </c>
      <c r="Q107" s="12" cm="1">
        <f t="array" ref="Q107">INDEX('HospitalDischargeRep-ConceptMap'!U91:Y345,1+O107,P107)</f>
        <v>0</v>
      </c>
    </row>
    <row r="108" spans="14:17" x14ac:dyDescent="0.75">
      <c r="N108" s="11">
        <v>99</v>
      </c>
      <c r="O108" s="11">
        <f t="shared" si="7"/>
        <v>19</v>
      </c>
      <c r="P108" s="11">
        <f t="shared" si="8"/>
        <v>4</v>
      </c>
      <c r="Q108" s="12" cm="1">
        <f t="array" ref="Q108">INDEX('HospitalDischargeRep-ConceptMap'!U92:Y346,1+O108,P108)</f>
        <v>0</v>
      </c>
    </row>
    <row r="109" spans="14:17" x14ac:dyDescent="0.75">
      <c r="N109" s="11">
        <v>100</v>
      </c>
      <c r="O109" s="11">
        <f t="shared" si="7"/>
        <v>19</v>
      </c>
      <c r="P109" s="11">
        <f t="shared" si="8"/>
        <v>5</v>
      </c>
      <c r="Q109" s="12" cm="1">
        <f t="array" ref="Q109">INDEX('HospitalDischargeRep-ConceptMap'!U93:Y347,1+O109,P109)</f>
        <v>0</v>
      </c>
    </row>
    <row r="110" spans="14:17" x14ac:dyDescent="0.75">
      <c r="N110" s="11">
        <v>101</v>
      </c>
      <c r="O110" s="11">
        <f t="shared" si="7"/>
        <v>20</v>
      </c>
      <c r="P110" s="11">
        <f t="shared" si="8"/>
        <v>1</v>
      </c>
      <c r="Q110" s="12" cm="1">
        <f t="array" ref="Q110">INDEX('HospitalDischargeRep-ConceptMap'!U94:Y348,1+O110,P110)</f>
        <v>0</v>
      </c>
    </row>
    <row r="111" spans="14:17" x14ac:dyDescent="0.75">
      <c r="N111" s="11">
        <v>102</v>
      </c>
      <c r="O111" s="11">
        <f t="shared" si="7"/>
        <v>20</v>
      </c>
      <c r="P111" s="11">
        <f t="shared" si="8"/>
        <v>2</v>
      </c>
      <c r="Q111" s="12" cm="1">
        <f t="array" ref="Q111">INDEX('HospitalDischargeRep-ConceptMap'!U95:Y349,1+O111,P111)</f>
        <v>0</v>
      </c>
    </row>
    <row r="112" spans="14:17" x14ac:dyDescent="0.75">
      <c r="N112" s="11">
        <v>103</v>
      </c>
      <c r="O112" s="11">
        <f t="shared" si="7"/>
        <v>20</v>
      </c>
      <c r="P112" s="11">
        <f t="shared" si="8"/>
        <v>3</v>
      </c>
      <c r="Q112" s="12" cm="1">
        <f t="array" ref="Q112">INDEX('HospitalDischargeRep-ConceptMap'!U96:Y350,1+O112,P112)</f>
        <v>0</v>
      </c>
    </row>
    <row r="113" spans="14:17" x14ac:dyDescent="0.75">
      <c r="N113" s="11">
        <v>104</v>
      </c>
      <c r="O113" s="11">
        <f t="shared" si="7"/>
        <v>20</v>
      </c>
      <c r="P113" s="11">
        <f t="shared" si="8"/>
        <v>4</v>
      </c>
      <c r="Q113" s="12" cm="1">
        <f t="array" ref="Q113">INDEX('HospitalDischargeRep-ConceptMap'!U97:Y351,1+O113,P113)</f>
        <v>0</v>
      </c>
    </row>
    <row r="114" spans="14:17" x14ac:dyDescent="0.75">
      <c r="N114" s="11">
        <v>105</v>
      </c>
      <c r="O114" s="11">
        <f t="shared" si="7"/>
        <v>20</v>
      </c>
      <c r="P114" s="11">
        <f t="shared" si="8"/>
        <v>5</v>
      </c>
      <c r="Q114" s="12" cm="1">
        <f t="array" ref="Q114">INDEX('HospitalDischargeRep-ConceptMap'!U98:Y352,1+O114,P114)</f>
        <v>0</v>
      </c>
    </row>
    <row r="115" spans="14:17" x14ac:dyDescent="0.75">
      <c r="N115" s="11">
        <v>106</v>
      </c>
      <c r="O115" s="11">
        <f t="shared" si="7"/>
        <v>21</v>
      </c>
      <c r="P115" s="11">
        <f t="shared" si="8"/>
        <v>1</v>
      </c>
      <c r="Q115" s="12" cm="1">
        <f t="array" ref="Q115">INDEX('HospitalDischargeRep-ConceptMap'!U99:Y353,1+O115,P115)</f>
        <v>0</v>
      </c>
    </row>
    <row r="116" spans="14:17" x14ac:dyDescent="0.75">
      <c r="N116" s="11">
        <v>107</v>
      </c>
      <c r="O116" s="11">
        <f t="shared" si="7"/>
        <v>21</v>
      </c>
      <c r="P116" s="11">
        <f t="shared" si="8"/>
        <v>2</v>
      </c>
      <c r="Q116" s="12" cm="1">
        <f t="array" ref="Q116">INDEX('HospitalDischargeRep-ConceptMap'!U100:Y354,1+O116,P116)</f>
        <v>0</v>
      </c>
    </row>
    <row r="117" spans="14:17" x14ac:dyDescent="0.75">
      <c r="N117" s="11">
        <v>108</v>
      </c>
      <c r="O117" s="11">
        <f t="shared" si="7"/>
        <v>21</v>
      </c>
      <c r="P117" s="11">
        <f t="shared" si="8"/>
        <v>3</v>
      </c>
      <c r="Q117" s="12" cm="1">
        <f t="array" ref="Q117">INDEX('HospitalDischargeRep-ConceptMap'!U101:Y355,1+O117,P117)</f>
        <v>0</v>
      </c>
    </row>
    <row r="118" spans="14:17" x14ac:dyDescent="0.75">
      <c r="N118" s="11">
        <v>109</v>
      </c>
      <c r="O118" s="11">
        <f t="shared" si="7"/>
        <v>21</v>
      </c>
      <c r="P118" s="11">
        <f t="shared" si="8"/>
        <v>4</v>
      </c>
      <c r="Q118" s="12" cm="1">
        <f t="array" ref="Q118">INDEX('HospitalDischargeRep-ConceptMap'!U102:Y356,1+O118,P118)</f>
        <v>0</v>
      </c>
    </row>
    <row r="119" spans="14:17" x14ac:dyDescent="0.75">
      <c r="N119" s="11">
        <v>110</v>
      </c>
      <c r="O119" s="11">
        <f t="shared" si="7"/>
        <v>21</v>
      </c>
      <c r="P119" s="11">
        <f t="shared" si="8"/>
        <v>5</v>
      </c>
      <c r="Q119" s="12" cm="1">
        <f t="array" ref="Q119">INDEX('HospitalDischargeRep-ConceptMap'!U103:Y357,1+O119,P119)</f>
        <v>0</v>
      </c>
    </row>
    <row r="120" spans="14:17" x14ac:dyDescent="0.75">
      <c r="N120" s="11">
        <v>111</v>
      </c>
      <c r="O120" s="11">
        <f t="shared" si="7"/>
        <v>22</v>
      </c>
      <c r="P120" s="11">
        <f t="shared" si="8"/>
        <v>1</v>
      </c>
      <c r="Q120" s="12" cm="1">
        <f t="array" ref="Q120">INDEX('HospitalDischargeRep-ConceptMap'!U104:Y358,1+O120,P120)</f>
        <v>0</v>
      </c>
    </row>
    <row r="121" spans="14:17" x14ac:dyDescent="0.75">
      <c r="N121" s="11">
        <v>112</v>
      </c>
      <c r="O121" s="11">
        <f t="shared" si="7"/>
        <v>22</v>
      </c>
      <c r="P121" s="11">
        <f t="shared" si="8"/>
        <v>2</v>
      </c>
      <c r="Q121" s="12" cm="1">
        <f t="array" ref="Q121">INDEX('HospitalDischargeRep-ConceptMap'!U105:Y359,1+O121,P121)</f>
        <v>0</v>
      </c>
    </row>
    <row r="122" spans="14:17" x14ac:dyDescent="0.75">
      <c r="N122" s="11">
        <v>113</v>
      </c>
      <c r="O122" s="11">
        <f t="shared" si="7"/>
        <v>22</v>
      </c>
      <c r="P122" s="11">
        <f t="shared" si="8"/>
        <v>3</v>
      </c>
      <c r="Q122" s="12" cm="1">
        <f t="array" ref="Q122">INDEX('HospitalDischargeRep-ConceptMap'!U106:Y360,1+O122,P122)</f>
        <v>0</v>
      </c>
    </row>
    <row r="123" spans="14:17" x14ac:dyDescent="0.75">
      <c r="N123" s="11">
        <v>114</v>
      </c>
      <c r="O123" s="11">
        <f t="shared" si="7"/>
        <v>22</v>
      </c>
      <c r="P123" s="11">
        <f t="shared" si="8"/>
        <v>4</v>
      </c>
      <c r="Q123" s="12" cm="1">
        <f t="array" ref="Q123">INDEX('HospitalDischargeRep-ConceptMap'!U107:Y361,1+O123,P123)</f>
        <v>0</v>
      </c>
    </row>
    <row r="124" spans="14:17" x14ac:dyDescent="0.75">
      <c r="N124" s="11">
        <v>115</v>
      </c>
      <c r="O124" s="11">
        <f t="shared" si="7"/>
        <v>22</v>
      </c>
      <c r="P124" s="11">
        <f t="shared" si="8"/>
        <v>5</v>
      </c>
      <c r="Q124" s="12" cm="1">
        <f t="array" ref="Q124">INDEX('HospitalDischargeRep-ConceptMap'!U108:Y362,1+O124,P124)</f>
        <v>0</v>
      </c>
    </row>
    <row r="125" spans="14:17" x14ac:dyDescent="0.75">
      <c r="N125" s="11">
        <v>116</v>
      </c>
      <c r="O125" s="11">
        <f t="shared" si="7"/>
        <v>23</v>
      </c>
      <c r="P125" s="11">
        <f t="shared" si="8"/>
        <v>1</v>
      </c>
      <c r="Q125" s="12" cm="1">
        <f t="array" ref="Q125">INDEX('HospitalDischargeRep-ConceptMap'!U109:Y363,1+O125,P125)</f>
        <v>0</v>
      </c>
    </row>
    <row r="126" spans="14:17" x14ac:dyDescent="0.75">
      <c r="N126" s="11">
        <v>117</v>
      </c>
      <c r="O126" s="11">
        <f t="shared" si="7"/>
        <v>23</v>
      </c>
      <c r="P126" s="11">
        <f t="shared" si="8"/>
        <v>2</v>
      </c>
      <c r="Q126" s="12" cm="1">
        <f t="array" ref="Q126">INDEX('HospitalDischargeRep-ConceptMap'!U110:Y364,1+O126,P126)</f>
        <v>0</v>
      </c>
    </row>
    <row r="127" spans="14:17" x14ac:dyDescent="0.75">
      <c r="N127" s="11">
        <v>118</v>
      </c>
      <c r="O127" s="11">
        <f t="shared" si="7"/>
        <v>23</v>
      </c>
      <c r="P127" s="11">
        <f t="shared" si="8"/>
        <v>3</v>
      </c>
      <c r="Q127" s="12" cm="1">
        <f t="array" ref="Q127">INDEX('HospitalDischargeRep-ConceptMap'!U111:Y365,1+O127,P127)</f>
        <v>0</v>
      </c>
    </row>
    <row r="128" spans="14:17" x14ac:dyDescent="0.75">
      <c r="N128" s="11">
        <v>119</v>
      </c>
      <c r="O128" s="11">
        <f t="shared" si="7"/>
        <v>23</v>
      </c>
      <c r="P128" s="11">
        <f t="shared" si="8"/>
        <v>4</v>
      </c>
      <c r="Q128" s="12" cm="1">
        <f t="array" ref="Q128">INDEX('HospitalDischargeRep-ConceptMap'!U112:Y366,1+O128,P128)</f>
        <v>0</v>
      </c>
    </row>
    <row r="129" spans="14:17" x14ac:dyDescent="0.75">
      <c r="N129" s="11">
        <v>120</v>
      </c>
      <c r="O129" s="11">
        <f t="shared" si="7"/>
        <v>23</v>
      </c>
      <c r="P129" s="11">
        <f t="shared" si="8"/>
        <v>5</v>
      </c>
      <c r="Q129" s="12" cm="1">
        <f t="array" ref="Q129">INDEX('HospitalDischargeRep-ConceptMap'!U113:Y367,1+O129,P129)</f>
        <v>0</v>
      </c>
    </row>
    <row r="130" spans="14:17" x14ac:dyDescent="0.75">
      <c r="N130" s="11">
        <v>121</v>
      </c>
      <c r="O130" s="11">
        <f t="shared" si="7"/>
        <v>24</v>
      </c>
      <c r="P130" s="11">
        <f t="shared" si="8"/>
        <v>1</v>
      </c>
      <c r="Q130" s="12" cm="1">
        <f t="array" ref="Q130">INDEX('HospitalDischargeRep-ConceptMap'!U114:Y368,1+O130,P130)</f>
        <v>0</v>
      </c>
    </row>
    <row r="131" spans="14:17" x14ac:dyDescent="0.75">
      <c r="N131" s="11">
        <v>122</v>
      </c>
      <c r="O131" s="11">
        <f t="shared" si="7"/>
        <v>24</v>
      </c>
      <c r="P131" s="11">
        <f t="shared" si="8"/>
        <v>2</v>
      </c>
      <c r="Q131" s="12" cm="1">
        <f t="array" ref="Q131">INDEX('HospitalDischargeRep-ConceptMap'!U115:Y369,1+O131,P131)</f>
        <v>0</v>
      </c>
    </row>
    <row r="132" spans="14:17" x14ac:dyDescent="0.75">
      <c r="N132" s="11">
        <v>123</v>
      </c>
      <c r="O132" s="11">
        <f t="shared" si="7"/>
        <v>24</v>
      </c>
      <c r="P132" s="11">
        <f t="shared" si="8"/>
        <v>3</v>
      </c>
      <c r="Q132" s="12" cm="1">
        <f t="array" ref="Q132">INDEX('HospitalDischargeRep-ConceptMap'!U116:Y370,1+O132,P132)</f>
        <v>0</v>
      </c>
    </row>
    <row r="133" spans="14:17" x14ac:dyDescent="0.75">
      <c r="N133" s="11">
        <v>124</v>
      </c>
      <c r="O133" s="11">
        <f t="shared" si="7"/>
        <v>24</v>
      </c>
      <c r="P133" s="11">
        <f t="shared" si="8"/>
        <v>4</v>
      </c>
      <c r="Q133" s="12" cm="1">
        <f t="array" ref="Q133">INDEX('HospitalDischargeRep-ConceptMap'!U117:Y371,1+O133,P133)</f>
        <v>0</v>
      </c>
    </row>
    <row r="134" spans="14:17" x14ac:dyDescent="0.75">
      <c r="N134" s="11">
        <v>125</v>
      </c>
      <c r="O134" s="11">
        <f t="shared" si="7"/>
        <v>24</v>
      </c>
      <c r="P134" s="11">
        <f t="shared" si="8"/>
        <v>5</v>
      </c>
      <c r="Q134" s="12" cm="1">
        <f t="array" ref="Q134">INDEX('HospitalDischargeRep-ConceptMap'!U118:Y372,1+O134,P134)</f>
        <v>0</v>
      </c>
    </row>
    <row r="135" spans="14:17" x14ac:dyDescent="0.75">
      <c r="N135" s="11">
        <v>126</v>
      </c>
      <c r="O135" s="11">
        <f t="shared" si="7"/>
        <v>25</v>
      </c>
      <c r="P135" s="11">
        <f t="shared" si="8"/>
        <v>1</v>
      </c>
      <c r="Q135" s="12" cm="1">
        <f t="array" ref="Q135">INDEX('HospitalDischargeRep-ConceptMap'!U119:Y373,1+O135,P135)</f>
        <v>0</v>
      </c>
    </row>
    <row r="136" spans="14:17" x14ac:dyDescent="0.75">
      <c r="N136" s="11">
        <v>127</v>
      </c>
      <c r="O136" s="11">
        <f t="shared" si="7"/>
        <v>25</v>
      </c>
      <c r="P136" s="11">
        <f t="shared" si="8"/>
        <v>2</v>
      </c>
      <c r="Q136" s="12" cm="1">
        <f t="array" ref="Q136">INDEX('HospitalDischargeRep-ConceptMap'!U120:Y374,1+O136,P136)</f>
        <v>0</v>
      </c>
    </row>
    <row r="137" spans="14:17" x14ac:dyDescent="0.75">
      <c r="N137" s="11">
        <v>128</v>
      </c>
      <c r="O137" s="11">
        <f t="shared" si="7"/>
        <v>25</v>
      </c>
      <c r="P137" s="11">
        <f t="shared" si="8"/>
        <v>3</v>
      </c>
      <c r="Q137" s="12" cm="1">
        <f t="array" ref="Q137">INDEX('HospitalDischargeRep-ConceptMap'!U121:Y375,1+O137,P137)</f>
        <v>0</v>
      </c>
    </row>
    <row r="138" spans="14:17" x14ac:dyDescent="0.75">
      <c r="N138" s="11">
        <v>129</v>
      </c>
      <c r="O138" s="11">
        <f t="shared" si="7"/>
        <v>25</v>
      </c>
      <c r="P138" s="11">
        <f t="shared" si="8"/>
        <v>4</v>
      </c>
      <c r="Q138" s="12" cm="1">
        <f t="array" ref="Q138">INDEX('HospitalDischargeRep-ConceptMap'!U122:Y376,1+O138,P138)</f>
        <v>0</v>
      </c>
    </row>
    <row r="139" spans="14:17" x14ac:dyDescent="0.75">
      <c r="N139" s="11">
        <v>130</v>
      </c>
      <c r="O139" s="11">
        <f t="shared" ref="O139:O184" si="9">IF(MOD(N139,$O$3)=0,N139/$O$3-1,INT(N139/$O$3))</f>
        <v>25</v>
      </c>
      <c r="P139" s="11">
        <f t="shared" ref="P139:P184" si="10">IF(MOD(N139,$O$3)=0,$O$3,MOD(N139,$O$3))</f>
        <v>5</v>
      </c>
      <c r="Q139" s="12" cm="1">
        <f t="array" ref="Q139">INDEX('HospitalDischargeRep-ConceptMap'!U123:Y377,1+O139,P139)</f>
        <v>0</v>
      </c>
    </row>
    <row r="140" spans="14:17" x14ac:dyDescent="0.75">
      <c r="N140" s="11">
        <v>131</v>
      </c>
      <c r="O140" s="11">
        <f t="shared" si="9"/>
        <v>26</v>
      </c>
      <c r="P140" s="11">
        <f t="shared" si="10"/>
        <v>1</v>
      </c>
      <c r="Q140" s="12" cm="1">
        <f t="array" ref="Q140">INDEX('HospitalDischargeRep-ConceptMap'!U124:Y378,1+O140,P140)</f>
        <v>0</v>
      </c>
    </row>
    <row r="141" spans="14:17" x14ac:dyDescent="0.75">
      <c r="N141" s="11">
        <v>132</v>
      </c>
      <c r="O141" s="11">
        <f t="shared" si="9"/>
        <v>26</v>
      </c>
      <c r="P141" s="11">
        <f t="shared" si="10"/>
        <v>2</v>
      </c>
      <c r="Q141" s="12" cm="1">
        <f t="array" ref="Q141">INDEX('HospitalDischargeRep-ConceptMap'!U125:Y379,1+O141,P141)</f>
        <v>0</v>
      </c>
    </row>
    <row r="142" spans="14:17" x14ac:dyDescent="0.75">
      <c r="N142" s="11">
        <v>133</v>
      </c>
      <c r="O142" s="11">
        <f t="shared" si="9"/>
        <v>26</v>
      </c>
      <c r="P142" s="11">
        <f t="shared" si="10"/>
        <v>3</v>
      </c>
      <c r="Q142" s="12" cm="1">
        <f t="array" ref="Q142">INDEX('HospitalDischargeRep-ConceptMap'!U126:Y380,1+O142,P142)</f>
        <v>0</v>
      </c>
    </row>
    <row r="143" spans="14:17" x14ac:dyDescent="0.75">
      <c r="N143" s="11">
        <v>134</v>
      </c>
      <c r="O143" s="11">
        <f t="shared" si="9"/>
        <v>26</v>
      </c>
      <c r="P143" s="11">
        <f t="shared" si="10"/>
        <v>4</v>
      </c>
      <c r="Q143" s="12" cm="1">
        <f t="array" ref="Q143">INDEX('HospitalDischargeRep-ConceptMap'!U127:Y381,1+O143,P143)</f>
        <v>0</v>
      </c>
    </row>
    <row r="144" spans="14:17" x14ac:dyDescent="0.75">
      <c r="N144" s="11">
        <v>135</v>
      </c>
      <c r="O144" s="11">
        <f t="shared" si="9"/>
        <v>26</v>
      </c>
      <c r="P144" s="11">
        <f t="shared" si="10"/>
        <v>5</v>
      </c>
      <c r="Q144" s="12" cm="1">
        <f t="array" ref="Q144">INDEX('HospitalDischargeRep-ConceptMap'!U128:Y382,1+O144,P144)</f>
        <v>0</v>
      </c>
    </row>
    <row r="145" spans="14:17" x14ac:dyDescent="0.75">
      <c r="N145" s="11">
        <v>136</v>
      </c>
      <c r="O145" s="11">
        <f t="shared" si="9"/>
        <v>27</v>
      </c>
      <c r="P145" s="11">
        <f t="shared" si="10"/>
        <v>1</v>
      </c>
      <c r="Q145" s="12" cm="1">
        <f t="array" ref="Q145">INDEX('HospitalDischargeRep-ConceptMap'!U129:Y383,1+O145,P145)</f>
        <v>0</v>
      </c>
    </row>
    <row r="146" spans="14:17" x14ac:dyDescent="0.75">
      <c r="N146" s="11">
        <v>137</v>
      </c>
      <c r="O146" s="11">
        <f t="shared" si="9"/>
        <v>27</v>
      </c>
      <c r="P146" s="11">
        <f t="shared" si="10"/>
        <v>2</v>
      </c>
      <c r="Q146" s="12" cm="1">
        <f t="array" ref="Q146">INDEX('HospitalDischargeRep-ConceptMap'!U130:Y384,1+O146,P146)</f>
        <v>0</v>
      </c>
    </row>
    <row r="147" spans="14:17" x14ac:dyDescent="0.75">
      <c r="N147" s="11">
        <v>138</v>
      </c>
      <c r="O147" s="11">
        <f t="shared" si="9"/>
        <v>27</v>
      </c>
      <c r="P147" s="11">
        <f t="shared" si="10"/>
        <v>3</v>
      </c>
      <c r="Q147" s="12" cm="1">
        <f t="array" ref="Q147">INDEX('HospitalDischargeRep-ConceptMap'!U131:Y385,1+O147,P147)</f>
        <v>0</v>
      </c>
    </row>
    <row r="148" spans="14:17" x14ac:dyDescent="0.75">
      <c r="N148" s="11">
        <v>139</v>
      </c>
      <c r="O148" s="11">
        <f t="shared" si="9"/>
        <v>27</v>
      </c>
      <c r="P148" s="11">
        <f t="shared" si="10"/>
        <v>4</v>
      </c>
      <c r="Q148" s="12" cm="1">
        <f t="array" ref="Q148">INDEX('HospitalDischargeRep-ConceptMap'!U132:Y386,1+O148,P148)</f>
        <v>0</v>
      </c>
    </row>
    <row r="149" spans="14:17" x14ac:dyDescent="0.75">
      <c r="N149" s="11">
        <v>140</v>
      </c>
      <c r="O149" s="11">
        <f t="shared" si="9"/>
        <v>27</v>
      </c>
      <c r="P149" s="11">
        <f t="shared" si="10"/>
        <v>5</v>
      </c>
      <c r="Q149" s="12" cm="1">
        <f t="array" ref="Q149">INDEX('HospitalDischargeRep-ConceptMap'!U133:Y387,1+O149,P149)</f>
        <v>0</v>
      </c>
    </row>
    <row r="150" spans="14:17" x14ac:dyDescent="0.75">
      <c r="N150" s="11">
        <v>141</v>
      </c>
      <c r="O150" s="11">
        <f t="shared" si="9"/>
        <v>28</v>
      </c>
      <c r="P150" s="11">
        <f t="shared" si="10"/>
        <v>1</v>
      </c>
      <c r="Q150" s="12" cm="1">
        <f t="array" ref="Q150">INDEX('HospitalDischargeRep-ConceptMap'!U134:Y388,1+O150,P150)</f>
        <v>0</v>
      </c>
    </row>
    <row r="151" spans="14:17" x14ac:dyDescent="0.75">
      <c r="N151" s="11">
        <v>142</v>
      </c>
      <c r="O151" s="11">
        <f t="shared" si="9"/>
        <v>28</v>
      </c>
      <c r="P151" s="11">
        <f t="shared" si="10"/>
        <v>2</v>
      </c>
      <c r="Q151" s="12" cm="1">
        <f t="array" ref="Q151">INDEX('HospitalDischargeRep-ConceptMap'!U135:Y389,1+O151,P151)</f>
        <v>0</v>
      </c>
    </row>
    <row r="152" spans="14:17" x14ac:dyDescent="0.75">
      <c r="N152" s="11">
        <v>143</v>
      </c>
      <c r="O152" s="11">
        <f t="shared" si="9"/>
        <v>28</v>
      </c>
      <c r="P152" s="11">
        <f t="shared" si="10"/>
        <v>3</v>
      </c>
      <c r="Q152" s="12" cm="1">
        <f t="array" ref="Q152">INDEX('HospitalDischargeRep-ConceptMap'!U136:Y390,1+O152,P152)</f>
        <v>0</v>
      </c>
    </row>
    <row r="153" spans="14:17" x14ac:dyDescent="0.75">
      <c r="N153" s="11">
        <v>144</v>
      </c>
      <c r="O153" s="11">
        <f t="shared" si="9"/>
        <v>28</v>
      </c>
      <c r="P153" s="11">
        <f t="shared" si="10"/>
        <v>4</v>
      </c>
      <c r="Q153" s="12" cm="1">
        <f t="array" ref="Q153">INDEX('HospitalDischargeRep-ConceptMap'!U137:Y391,1+O153,P153)</f>
        <v>0</v>
      </c>
    </row>
    <row r="154" spans="14:17" x14ac:dyDescent="0.75">
      <c r="N154" s="11">
        <v>145</v>
      </c>
      <c r="O154" s="11">
        <f t="shared" si="9"/>
        <v>28</v>
      </c>
      <c r="P154" s="11">
        <f t="shared" si="10"/>
        <v>5</v>
      </c>
      <c r="Q154" s="12" cm="1">
        <f t="array" ref="Q154">INDEX('HospitalDischargeRep-ConceptMap'!U138:Y392,1+O154,P154)</f>
        <v>0</v>
      </c>
    </row>
    <row r="155" spans="14:17" x14ac:dyDescent="0.75">
      <c r="N155" s="11">
        <v>146</v>
      </c>
      <c r="O155" s="11">
        <f t="shared" si="9"/>
        <v>29</v>
      </c>
      <c r="P155" s="11">
        <f t="shared" si="10"/>
        <v>1</v>
      </c>
      <c r="Q155" s="12" cm="1">
        <f t="array" ref="Q155">INDEX('HospitalDischargeRep-ConceptMap'!U139:Y393,1+O155,P155)</f>
        <v>0</v>
      </c>
    </row>
    <row r="156" spans="14:17" x14ac:dyDescent="0.75">
      <c r="N156" s="11">
        <v>147</v>
      </c>
      <c r="O156" s="11">
        <f t="shared" si="9"/>
        <v>29</v>
      </c>
      <c r="P156" s="11">
        <f t="shared" si="10"/>
        <v>2</v>
      </c>
      <c r="Q156" s="12" cm="1">
        <f t="array" ref="Q156">INDEX('HospitalDischargeRep-ConceptMap'!U140:Y394,1+O156,P156)</f>
        <v>0</v>
      </c>
    </row>
    <row r="157" spans="14:17" x14ac:dyDescent="0.75">
      <c r="N157" s="11">
        <v>148</v>
      </c>
      <c r="O157" s="11">
        <f t="shared" si="9"/>
        <v>29</v>
      </c>
      <c r="P157" s="11">
        <f t="shared" si="10"/>
        <v>3</v>
      </c>
      <c r="Q157" s="12" cm="1">
        <f t="array" ref="Q157">INDEX('HospitalDischargeRep-ConceptMap'!U141:Y395,1+O157,P157)</f>
        <v>0</v>
      </c>
    </row>
    <row r="158" spans="14:17" x14ac:dyDescent="0.75">
      <c r="N158" s="11">
        <v>149</v>
      </c>
      <c r="O158" s="11">
        <f t="shared" si="9"/>
        <v>29</v>
      </c>
      <c r="P158" s="11">
        <f t="shared" si="10"/>
        <v>4</v>
      </c>
      <c r="Q158" s="12" cm="1">
        <f t="array" ref="Q158">INDEX('HospitalDischargeRep-ConceptMap'!U142:Y396,1+O158,P158)</f>
        <v>0</v>
      </c>
    </row>
    <row r="159" spans="14:17" x14ac:dyDescent="0.75">
      <c r="N159" s="11">
        <v>150</v>
      </c>
      <c r="O159" s="11">
        <f t="shared" si="9"/>
        <v>29</v>
      </c>
      <c r="P159" s="11">
        <f t="shared" si="10"/>
        <v>5</v>
      </c>
      <c r="Q159" s="12" cm="1">
        <f t="array" ref="Q159">INDEX('HospitalDischargeRep-ConceptMap'!U143:Y397,1+O159,P159)</f>
        <v>0</v>
      </c>
    </row>
    <row r="160" spans="14:17" x14ac:dyDescent="0.75">
      <c r="N160" s="11">
        <v>151</v>
      </c>
      <c r="O160" s="11">
        <f t="shared" si="9"/>
        <v>30</v>
      </c>
      <c r="P160" s="11">
        <f t="shared" si="10"/>
        <v>1</v>
      </c>
      <c r="Q160" s="12" cm="1">
        <f t="array" ref="Q160">INDEX('HospitalDischargeRep-ConceptMap'!U144:Y398,1+O160,P160)</f>
        <v>0</v>
      </c>
    </row>
    <row r="161" spans="14:17" x14ac:dyDescent="0.75">
      <c r="N161" s="11">
        <v>152</v>
      </c>
      <c r="O161" s="11">
        <f t="shared" si="9"/>
        <v>30</v>
      </c>
      <c r="P161" s="11">
        <f t="shared" si="10"/>
        <v>2</v>
      </c>
      <c r="Q161" s="12" cm="1">
        <f t="array" ref="Q161">INDEX('HospitalDischargeRep-ConceptMap'!U145:Y399,1+O161,P161)</f>
        <v>0</v>
      </c>
    </row>
    <row r="162" spans="14:17" x14ac:dyDescent="0.75">
      <c r="N162" s="11">
        <v>153</v>
      </c>
      <c r="O162" s="11">
        <f t="shared" si="9"/>
        <v>30</v>
      </c>
      <c r="P162" s="11">
        <f t="shared" si="10"/>
        <v>3</v>
      </c>
      <c r="Q162" s="12" cm="1">
        <f t="array" ref="Q162">INDEX('HospitalDischargeRep-ConceptMap'!U146:Y400,1+O162,P162)</f>
        <v>0</v>
      </c>
    </row>
    <row r="163" spans="14:17" x14ac:dyDescent="0.75">
      <c r="N163" s="11">
        <v>154</v>
      </c>
      <c r="O163" s="11">
        <f t="shared" si="9"/>
        <v>30</v>
      </c>
      <c r="P163" s="11">
        <f t="shared" si="10"/>
        <v>4</v>
      </c>
      <c r="Q163" s="12" cm="1">
        <f t="array" ref="Q163">INDEX('HospitalDischargeRep-ConceptMap'!U147:Y401,1+O163,P163)</f>
        <v>0</v>
      </c>
    </row>
    <row r="164" spans="14:17" x14ac:dyDescent="0.75">
      <c r="N164" s="11">
        <v>155</v>
      </c>
      <c r="O164" s="11">
        <f t="shared" si="9"/>
        <v>30</v>
      </c>
      <c r="P164" s="11">
        <f t="shared" si="10"/>
        <v>5</v>
      </c>
      <c r="Q164" s="12" cm="1">
        <f t="array" ref="Q164">INDEX('HospitalDischargeRep-ConceptMap'!U148:Y402,1+O164,P164)</f>
        <v>0</v>
      </c>
    </row>
    <row r="165" spans="14:17" x14ac:dyDescent="0.75">
      <c r="N165" s="11">
        <v>156</v>
      </c>
      <c r="O165" s="11">
        <f t="shared" si="9"/>
        <v>31</v>
      </c>
      <c r="P165" s="11">
        <f t="shared" si="10"/>
        <v>1</v>
      </c>
      <c r="Q165" s="12" cm="1">
        <f t="array" ref="Q165">INDEX('HospitalDischargeRep-ConceptMap'!U149:Y403,1+O165,P165)</f>
        <v>0</v>
      </c>
    </row>
    <row r="166" spans="14:17" x14ac:dyDescent="0.75">
      <c r="N166" s="11">
        <v>157</v>
      </c>
      <c r="O166" s="11">
        <f t="shared" si="9"/>
        <v>31</v>
      </c>
      <c r="P166" s="11">
        <f t="shared" si="10"/>
        <v>2</v>
      </c>
      <c r="Q166" s="12" cm="1">
        <f t="array" ref="Q166">INDEX('HospitalDischargeRep-ConceptMap'!U150:Y404,1+O166,P166)</f>
        <v>0</v>
      </c>
    </row>
    <row r="167" spans="14:17" x14ac:dyDescent="0.75">
      <c r="N167" s="11">
        <v>158</v>
      </c>
      <c r="O167" s="11">
        <f t="shared" si="9"/>
        <v>31</v>
      </c>
      <c r="P167" s="11">
        <f t="shared" si="10"/>
        <v>3</v>
      </c>
      <c r="Q167" s="12" cm="1">
        <f t="array" ref="Q167">INDEX('HospitalDischargeRep-ConceptMap'!U151:Y405,1+O167,P167)</f>
        <v>0</v>
      </c>
    </row>
    <row r="168" spans="14:17" x14ac:dyDescent="0.75">
      <c r="N168" s="11">
        <v>159</v>
      </c>
      <c r="O168" s="11">
        <f t="shared" si="9"/>
        <v>31</v>
      </c>
      <c r="P168" s="11">
        <f t="shared" si="10"/>
        <v>4</v>
      </c>
      <c r="Q168" s="12" cm="1">
        <f t="array" ref="Q168">INDEX('HospitalDischargeRep-ConceptMap'!U152:Y406,1+O168,P168)</f>
        <v>0</v>
      </c>
    </row>
    <row r="169" spans="14:17" x14ac:dyDescent="0.75">
      <c r="N169" s="11">
        <v>160</v>
      </c>
      <c r="O169" s="11">
        <f t="shared" si="9"/>
        <v>31</v>
      </c>
      <c r="P169" s="11">
        <f t="shared" si="10"/>
        <v>5</v>
      </c>
      <c r="Q169" s="12" cm="1">
        <f t="array" ref="Q169">INDEX('HospitalDischargeRep-ConceptMap'!U153:Y407,1+O169,P169)</f>
        <v>0</v>
      </c>
    </row>
    <row r="170" spans="14:17" x14ac:dyDescent="0.75">
      <c r="N170" s="11">
        <v>161</v>
      </c>
      <c r="O170" s="11">
        <f t="shared" si="9"/>
        <v>32</v>
      </c>
      <c r="P170" s="11">
        <f t="shared" si="10"/>
        <v>1</v>
      </c>
      <c r="Q170" s="12" cm="1">
        <f t="array" ref="Q170">INDEX('HospitalDischargeRep-ConceptMap'!U154:Y408,1+O170,P170)</f>
        <v>0</v>
      </c>
    </row>
    <row r="171" spans="14:17" x14ac:dyDescent="0.75">
      <c r="N171" s="11">
        <v>162</v>
      </c>
      <c r="O171" s="11">
        <f t="shared" si="9"/>
        <v>32</v>
      </c>
      <c r="P171" s="11">
        <f t="shared" si="10"/>
        <v>2</v>
      </c>
      <c r="Q171" s="12" cm="1">
        <f t="array" ref="Q171">INDEX('HospitalDischargeRep-ConceptMap'!U155:Y409,1+O171,P171)</f>
        <v>0</v>
      </c>
    </row>
    <row r="172" spans="14:17" x14ac:dyDescent="0.75">
      <c r="N172" s="11">
        <v>163</v>
      </c>
      <c r="O172" s="11">
        <f t="shared" si="9"/>
        <v>32</v>
      </c>
      <c r="P172" s="11">
        <f t="shared" si="10"/>
        <v>3</v>
      </c>
      <c r="Q172" s="12" cm="1">
        <f t="array" ref="Q172">INDEX('HospitalDischargeRep-ConceptMap'!U156:Y410,1+O172,P172)</f>
        <v>0</v>
      </c>
    </row>
    <row r="173" spans="14:17" x14ac:dyDescent="0.75">
      <c r="N173" s="11">
        <v>164</v>
      </c>
      <c r="O173" s="11">
        <f t="shared" si="9"/>
        <v>32</v>
      </c>
      <c r="P173" s="11">
        <f t="shared" si="10"/>
        <v>4</v>
      </c>
      <c r="Q173" s="12" cm="1">
        <f t="array" ref="Q173">INDEX('HospitalDischargeRep-ConceptMap'!U157:Y411,1+O173,P173)</f>
        <v>0</v>
      </c>
    </row>
    <row r="174" spans="14:17" x14ac:dyDescent="0.75">
      <c r="N174" s="11">
        <v>165</v>
      </c>
      <c r="O174" s="11">
        <f t="shared" si="9"/>
        <v>32</v>
      </c>
      <c r="P174" s="11">
        <f t="shared" si="10"/>
        <v>5</v>
      </c>
      <c r="Q174" s="12" cm="1">
        <f t="array" ref="Q174">INDEX('HospitalDischargeRep-ConceptMap'!U158:Y412,1+O174,P174)</f>
        <v>0</v>
      </c>
    </row>
    <row r="175" spans="14:17" x14ac:dyDescent="0.75">
      <c r="N175" s="11">
        <v>166</v>
      </c>
      <c r="O175" s="11">
        <f t="shared" si="9"/>
        <v>33</v>
      </c>
      <c r="P175" s="11">
        <f t="shared" si="10"/>
        <v>1</v>
      </c>
      <c r="Q175" s="12" cm="1">
        <f t="array" ref="Q175">INDEX('HospitalDischargeRep-ConceptMap'!U159:Y413,1+O175,P175)</f>
        <v>0</v>
      </c>
    </row>
    <row r="176" spans="14:17" x14ac:dyDescent="0.75">
      <c r="N176" s="11">
        <v>167</v>
      </c>
      <c r="O176" s="11">
        <f t="shared" si="9"/>
        <v>33</v>
      </c>
      <c r="P176" s="11">
        <f t="shared" si="10"/>
        <v>2</v>
      </c>
      <c r="Q176" s="12" cm="1">
        <f t="array" ref="Q176">INDEX('HospitalDischargeRep-ConceptMap'!U160:Y414,1+O176,P176)</f>
        <v>0</v>
      </c>
    </row>
    <row r="177" spans="14:17" x14ac:dyDescent="0.75">
      <c r="N177" s="11">
        <v>168</v>
      </c>
      <c r="O177" s="11">
        <f t="shared" si="9"/>
        <v>33</v>
      </c>
      <c r="P177" s="11">
        <f t="shared" si="10"/>
        <v>3</v>
      </c>
      <c r="Q177" s="12" cm="1">
        <f t="array" ref="Q177">INDEX('HospitalDischargeRep-ConceptMap'!U161:Y415,1+O177,P177)</f>
        <v>0</v>
      </c>
    </row>
    <row r="178" spans="14:17" x14ac:dyDescent="0.75">
      <c r="N178" s="11">
        <v>169</v>
      </c>
      <c r="O178" s="11">
        <f t="shared" si="9"/>
        <v>33</v>
      </c>
      <c r="P178" s="11">
        <f t="shared" si="10"/>
        <v>4</v>
      </c>
      <c r="Q178" s="12" cm="1">
        <f t="array" ref="Q178">INDEX('HospitalDischargeRep-ConceptMap'!U162:Y416,1+O178,P178)</f>
        <v>0</v>
      </c>
    </row>
    <row r="179" spans="14:17" x14ac:dyDescent="0.75">
      <c r="N179" s="11">
        <v>170</v>
      </c>
      <c r="O179" s="11">
        <f t="shared" si="9"/>
        <v>33</v>
      </c>
      <c r="P179" s="11">
        <f t="shared" si="10"/>
        <v>5</v>
      </c>
      <c r="Q179" s="12" cm="1">
        <f t="array" ref="Q179">INDEX('HospitalDischargeRep-ConceptMap'!U163:Y417,1+O179,P179)</f>
        <v>0</v>
      </c>
    </row>
    <row r="180" spans="14:17" x14ac:dyDescent="0.75">
      <c r="N180" s="11">
        <v>171</v>
      </c>
      <c r="O180" s="11">
        <f t="shared" si="9"/>
        <v>34</v>
      </c>
      <c r="P180" s="11">
        <f t="shared" si="10"/>
        <v>1</v>
      </c>
      <c r="Q180" s="12" cm="1">
        <f t="array" ref="Q180">INDEX('HospitalDischargeRep-ConceptMap'!U164:Y418,1+O180,P180)</f>
        <v>0</v>
      </c>
    </row>
    <row r="181" spans="14:17" x14ac:dyDescent="0.75">
      <c r="N181" s="11">
        <v>172</v>
      </c>
      <c r="O181" s="11">
        <f t="shared" si="9"/>
        <v>34</v>
      </c>
      <c r="P181" s="11">
        <f t="shared" si="10"/>
        <v>2</v>
      </c>
      <c r="Q181" s="12" cm="1">
        <f t="array" ref="Q181">INDEX('HospitalDischargeRep-ConceptMap'!U165:Y419,1+O181,P181)</f>
        <v>0</v>
      </c>
    </row>
    <row r="182" spans="14:17" x14ac:dyDescent="0.75">
      <c r="N182" s="11">
        <v>173</v>
      </c>
      <c r="O182" s="11">
        <f t="shared" si="9"/>
        <v>34</v>
      </c>
      <c r="P182" s="11">
        <f t="shared" si="10"/>
        <v>3</v>
      </c>
      <c r="Q182" s="12" cm="1">
        <f t="array" ref="Q182">INDEX('HospitalDischargeRep-ConceptMap'!U166:Y420,1+O182,P182)</f>
        <v>0</v>
      </c>
    </row>
    <row r="183" spans="14:17" x14ac:dyDescent="0.75">
      <c r="N183" s="11">
        <v>174</v>
      </c>
      <c r="O183" s="11">
        <f t="shared" si="9"/>
        <v>34</v>
      </c>
      <c r="P183" s="11">
        <f t="shared" si="10"/>
        <v>4</v>
      </c>
      <c r="Q183" s="12" cm="1">
        <f t="array" ref="Q183">INDEX('HospitalDischargeRep-ConceptMap'!U167:Y421,1+O183,P183)</f>
        <v>0</v>
      </c>
    </row>
    <row r="184" spans="14:17" x14ac:dyDescent="0.75">
      <c r="N184" s="11">
        <v>175</v>
      </c>
      <c r="O184" s="11">
        <f t="shared" si="9"/>
        <v>34</v>
      </c>
      <c r="P184" s="11">
        <f t="shared" si="10"/>
        <v>5</v>
      </c>
      <c r="Q184" s="12" cm="1">
        <f t="array" ref="Q184">INDEX('HospitalDischargeRep-ConceptMap'!U168:Y422,1+O184,P184)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IF('HospitalDischargeRep-ConceptMap'!Q10=0,"//---END",'HospitalDischargeRep-ConceptMap'!Q10)</f>
        <v>* group[=].element[+].code = #HospitalDischargeReport</v>
      </c>
    </row>
    <row r="21" spans="2:7" x14ac:dyDescent="0.75">
      <c r="B21" s="12" t="str">
        <f>IF('HospitalDischargeRep-ConceptMap'!Q11=0,"//---END",'HospitalDischargeRep-ConceptMap'!Q11)</f>
        <v>* group[=].element[=].display = ##34#Hospital Discharge Report (eHN)##34#</v>
      </c>
    </row>
    <row r="22" spans="2:7" x14ac:dyDescent="0.75">
      <c r="B22" s="12" t="e">
        <f>IF('HospitalDischargeRep-ConceptMap'!Q12=0,"//---END",'HospitalDischargeRep-ConceptMap'!Q12)</f>
        <v>#REF!</v>
      </c>
    </row>
    <row r="23" spans="2:7" x14ac:dyDescent="0.75">
      <c r="B23" s="12" t="e">
        <f>IF('HospitalDischargeRep-ConceptMap'!Q13=0,"//---END",'HospitalDischargeRep-ConceptMap'!Q13)</f>
        <v>#REF!</v>
      </c>
    </row>
    <row r="24" spans="2:7" x14ac:dyDescent="0.75">
      <c r="B24" s="12" t="str">
        <f>IF('HospitalDischargeRep-ConceptMap'!Q14=0,"//---END",'HospitalDischargeRep-ConceptMap'!Q14)</f>
        <v>* group[=].element[=].target.equivalence = #equivalent</v>
      </c>
    </row>
    <row r="25" spans="2:7" x14ac:dyDescent="0.75">
      <c r="B25" s="12" t="str">
        <f>IF('HospitalDischargeRep-ConceptMap'!Q15=0,"//---END",'HospitalDischargeRep-ConceptMap'!Q15)</f>
        <v>* group[=].element[+].code = #HospitalDischargeReport.header</v>
      </c>
      <c r="G25" s="7"/>
    </row>
    <row r="26" spans="2:7" x14ac:dyDescent="0.75">
      <c r="B26" s="12" t="str">
        <f>IF('HospitalDischargeRep-ConceptMap'!Q16=0,"//---END",'HospitalDischargeRep-ConceptMap'!Q16)</f>
        <v>* group[=].element[=].display = ##34#A.1-Report header data element [Mandatory]##34#</v>
      </c>
    </row>
    <row r="27" spans="2:7" x14ac:dyDescent="0.75">
      <c r="B27" s="12" t="e">
        <f>IF('HospitalDischargeRep-ConceptMap'!Q17=0,"//---END",'HospitalDischargeRep-ConceptMap'!Q17)</f>
        <v>#REF!</v>
      </c>
    </row>
    <row r="28" spans="2:7" x14ac:dyDescent="0.75">
      <c r="B28" s="12" t="e">
        <f>IF('HospitalDischargeRep-ConceptMap'!Q18=0,"//---END",'HospitalDischargeRep-ConceptMap'!Q18)</f>
        <v>#REF!</v>
      </c>
    </row>
    <row r="29" spans="2:7" x14ac:dyDescent="0.75">
      <c r="B29" s="12" t="str">
        <f>IF('HospitalDischargeRep-ConceptMap'!Q19=0,"//---END",'HospitalDischargeRep-ConceptMap'!Q19)</f>
        <v>* group[=].element[=].target.equivalence = #relatedto</v>
      </c>
    </row>
    <row r="30" spans="2:7" x14ac:dyDescent="0.75">
      <c r="B30" s="12" t="str">
        <f>IF('HospitalDischargeRep-ConceptMap'!Q20=0,"//---END",'HospitalDischargeRep-ConceptMap'!Q20)</f>
        <v>* group[=].element[+].code = #HospitalDischargeReport.header.subject-identification</v>
      </c>
    </row>
    <row r="31" spans="2:7" x14ac:dyDescent="0.75">
      <c r="B31" s="12" t="str">
        <f>IF('HospitalDischargeRep-ConceptMap'!Q21=0,"//---END",'HospitalDischargeRep-ConceptMap'!Q21)</f>
        <v>* group[=].element[=].display = ##34#A.1.1-Identification of the patient/subject [Mandatory]##34#</v>
      </c>
    </row>
    <row r="32" spans="2:7" x14ac:dyDescent="0.75">
      <c r="B32" s="12" t="e">
        <f>IF('HospitalDischargeRep-ConceptMap'!Q22=0,"//---END",'HospitalDischargeRep-ConceptMap'!Q22)</f>
        <v>#REF!</v>
      </c>
    </row>
    <row r="33" spans="2:2" x14ac:dyDescent="0.75">
      <c r="B33" s="12" t="e">
        <f>IF('HospitalDischargeRep-ConceptMap'!Q23=0,"//---END",'HospitalDischargeRep-ConceptMap'!Q23)</f>
        <v>#REF!</v>
      </c>
    </row>
    <row r="34" spans="2:2" x14ac:dyDescent="0.75">
      <c r="B34" s="12" t="str">
        <f>IF('HospitalDischargeRep-ConceptMap'!Q24=0,"//---END",'HospitalDischargeRep-ConceptMap'!Q24)</f>
        <v>* group[=].element[=].target.equivalence = #equivalent</v>
      </c>
    </row>
    <row r="35" spans="2:2" x14ac:dyDescent="0.75">
      <c r="B35" s="12" t="str">
        <f>IF('HospitalDischargeRep-ConceptMap'!Q25=0,"//---END",'HospitalDischargeRep-ConceptMap'!Q25)</f>
        <v>* group[=].element[+].code = #HospitalDischargeReport.header.payer</v>
      </c>
    </row>
    <row r="36" spans="2:2" x14ac:dyDescent="0.75">
      <c r="B36" s="12" t="str">
        <f>IF('HospitalDischargeRep-ConceptMap'!Q26=0,"//---END",'HospitalDischargeRep-ConceptMap'!Q26)</f>
        <v>* group[=].element[=].display = ##34#A.1.3-Health insurance and payment information [Required]##34#</v>
      </c>
    </row>
    <row r="37" spans="2:2" x14ac:dyDescent="0.75">
      <c r="B37" s="12" t="str">
        <f>IF('HospitalDischargeRep-ConceptMap'!Q27=0,"//---END",'HospitalDischargeRep-ConceptMap'!Q27)</f>
        <v>//-- unmatched</v>
      </c>
    </row>
    <row r="38" spans="2:2" x14ac:dyDescent="0.75">
      <c r="B38" s="12" t="str">
        <f>IF('HospitalDischargeRep-ConceptMap'!Q28=0,"//---END",'HospitalDischargeRep-ConceptMap'!Q28)</f>
        <v>//-- unmatched</v>
      </c>
    </row>
    <row r="39" spans="2:2" x14ac:dyDescent="0.75">
      <c r="B39" s="12" t="str">
        <f>IF('HospitalDischargeRep-ConceptMap'!Q29=0,"//---END",'HospitalDischargeRep-ConceptMap'!Q29)</f>
        <v>* group[=].element[=].target.equivalence = #unmatched</v>
      </c>
    </row>
    <row r="40" spans="2:2" x14ac:dyDescent="0.75">
      <c r="B40" s="12" t="str">
        <f>IF('HospitalDischargeRep-ConceptMap'!Q30=0,"//---END",'HospitalDischargeRep-ConceptMap'!Q30)</f>
        <v>* group[=].element[+].code = #HospitalDischargeReport.header.informationRecipient</v>
      </c>
    </row>
    <row r="41" spans="2:2" x14ac:dyDescent="0.75">
      <c r="B41" s="12" t="str">
        <f>IF('HospitalDischargeRep-ConceptMap'!Q31=0,"//---END",'HospitalDischargeRep-ConceptMap'!Q31)</f>
        <v>* group[=].element[=].display = ##34#A.1.4-Information recipient [Required]##34#</v>
      </c>
    </row>
    <row r="42" spans="2:2" x14ac:dyDescent="0.75">
      <c r="B42" s="12" t="str">
        <f>IF('HospitalDischargeRep-ConceptMap'!Q32=0,"//---END",'HospitalDischargeRep-ConceptMap'!Q32)</f>
        <v>//-- unmatched</v>
      </c>
    </row>
    <row r="43" spans="2:2" x14ac:dyDescent="0.75">
      <c r="B43" s="12" t="str">
        <f>IF('HospitalDischargeRep-ConceptMap'!Q33=0,"//---END",'HospitalDischargeRep-ConceptMap'!Q33)</f>
        <v>//-- unmatched</v>
      </c>
    </row>
    <row r="44" spans="2:2" x14ac:dyDescent="0.75">
      <c r="B44" s="12" t="str">
        <f>IF('HospitalDischargeRep-ConceptMap'!Q34=0,"//---END",'HospitalDischargeRep-ConceptMap'!Q34)</f>
        <v>* group[=].element[=].target.equivalence = #unmatched</v>
      </c>
    </row>
    <row r="45" spans="2:2" x14ac:dyDescent="0.75">
      <c r="B45" s="12" t="str">
        <f>IF('HospitalDischargeRep-ConceptMap'!Q35=0,"//---END",'HospitalDischargeRep-ConceptMap'!Q35)</f>
        <v>* group[=].element[+].code = #HospitalDischargeReport.header.author</v>
      </c>
    </row>
    <row r="46" spans="2:2" x14ac:dyDescent="0.75">
      <c r="B46" s="12" t="str">
        <f>IF('HospitalDischargeRep-ConceptMap'!Q36=0,"//---END",'HospitalDischargeRep-ConceptMap'!Q36)</f>
        <v>* group[=].element[=].display = ##34#A.1.5-Author (by whom the Hospital discharge report was authored) [Mandatory]##34#</v>
      </c>
    </row>
    <row r="47" spans="2:2" x14ac:dyDescent="0.75">
      <c r="B47" s="12" t="e">
        <f>IF('HospitalDischargeRep-ConceptMap'!Q37=0,"//---END",'HospitalDischargeRep-ConceptMap'!Q37)</f>
        <v>#REF!</v>
      </c>
    </row>
    <row r="48" spans="2:2" x14ac:dyDescent="0.75">
      <c r="B48" s="12" t="e">
        <f>IF('HospitalDischargeRep-ConceptMap'!Q38=0,"//---END",'HospitalDischargeRep-ConceptMap'!Q38)</f>
        <v>#REF!</v>
      </c>
    </row>
    <row r="49" spans="2:2" x14ac:dyDescent="0.75">
      <c r="B49" s="12" t="str">
        <f>IF('HospitalDischargeRep-ConceptMap'!Q39=0,"//---END",'HospitalDischargeRep-ConceptMap'!Q39)</f>
        <v>* group[=].element[=].target.equivalence = #narrower</v>
      </c>
    </row>
    <row r="50" spans="2:2" x14ac:dyDescent="0.75">
      <c r="B50" s="12" t="str">
        <f>IF('HospitalDischargeRep-ConceptMap'!Q40=0,"//---END",'HospitalDischargeRep-ConceptMap'!Q40)</f>
        <v>* group[=].element[+].code = #HospitalDischargeReport.header.attester</v>
      </c>
    </row>
    <row r="51" spans="2:2" x14ac:dyDescent="0.75">
      <c r="B51" s="12" t="str">
        <f>IF('HospitalDischargeRep-ConceptMap'!Q41=0,"//---END",'HospitalDischargeRep-ConceptMap'!Q41)</f>
        <v>* group[=].element[=].display = ##34#A.1.6-Attester [Required]##34#</v>
      </c>
    </row>
    <row r="52" spans="2:2" x14ac:dyDescent="0.75">
      <c r="B52" s="12" t="e">
        <f>IF('HospitalDischargeRep-ConceptMap'!Q42=0,"//---END",'HospitalDischargeRep-ConceptMap'!Q42)</f>
        <v>#REF!</v>
      </c>
    </row>
    <row r="53" spans="2:2" x14ac:dyDescent="0.75">
      <c r="B53" s="12" t="e">
        <f>IF('HospitalDischargeRep-ConceptMap'!Q43=0,"//---END",'HospitalDischargeRep-ConceptMap'!Q43)</f>
        <v>#REF!</v>
      </c>
    </row>
    <row r="54" spans="2:2" x14ac:dyDescent="0.75">
      <c r="B54" s="12" t="str">
        <f>IF('HospitalDischargeRep-ConceptMap'!Q44=0,"//---END",'HospitalDischargeRep-ConceptMap'!Q44)</f>
        <v>* group[=].element[=].target.equivalence = #wider</v>
      </c>
    </row>
    <row r="55" spans="2:2" x14ac:dyDescent="0.75">
      <c r="B55" s="12" t="str">
        <f>IF('HospitalDischargeRep-ConceptMap'!Q45=0,"//---END",'HospitalDischargeRep-ConceptMap'!Q45)</f>
        <v>* group[=].element[+].code = #HospitalDischargeReport.header.legalAuthenticator</v>
      </c>
    </row>
    <row r="56" spans="2:2" x14ac:dyDescent="0.75">
      <c r="B56" s="12" t="str">
        <f>IF('HospitalDischargeRep-ConceptMap'!Q46=0,"//---END",'HospitalDischargeRep-ConceptMap'!Q46)</f>
        <v>* group[=].element[=].display = ##34#A.1.7-Legal authenticator [Required]##34#</v>
      </c>
    </row>
    <row r="57" spans="2:2" x14ac:dyDescent="0.75">
      <c r="B57" s="12" t="str">
        <f>IF('HospitalDischargeRep-ConceptMap'!Q47=0,"//---END",'HospitalDischargeRep-ConceptMap'!Q47)</f>
        <v>//-- unmatched</v>
      </c>
    </row>
    <row r="58" spans="2:2" x14ac:dyDescent="0.75">
      <c r="B58" s="12" t="str">
        <f>IF('HospitalDischargeRep-ConceptMap'!Q48=0,"//---END",'HospitalDischargeRep-ConceptMap'!Q48)</f>
        <v>//-- unmatched</v>
      </c>
    </row>
    <row r="59" spans="2:2" x14ac:dyDescent="0.75">
      <c r="B59" s="12" t="str">
        <f>IF('HospitalDischargeRep-ConceptMap'!Q49=0,"//---END",'HospitalDischargeRep-ConceptMap'!Q49)</f>
        <v>* group[=].element[=].target.equivalence = #unmatched</v>
      </c>
    </row>
    <row r="60" spans="2:2" x14ac:dyDescent="0.75">
      <c r="B60" s="12" t="str">
        <f>IF('HospitalDischargeRep-ConceptMap'!Q50=0,"//---END",'HospitalDischargeRep-ConceptMap'!Q50)</f>
        <v>//---END</v>
      </c>
    </row>
    <row r="61" spans="2:2" x14ac:dyDescent="0.75">
      <c r="B61" s="12" t="str">
        <f>IF('HospitalDischargeRep-ConceptMap'!Q51=0,"//---END",'HospitalDischargeRep-ConceptMap'!Q51)</f>
        <v>//---END</v>
      </c>
    </row>
    <row r="62" spans="2:2" x14ac:dyDescent="0.75">
      <c r="B62" s="12" t="str">
        <f>IF('HospitalDischargeRep-ConceptMap'!Q52=0,"//---END",'HospitalDischargeRep-ConceptMap'!Q52)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C51" sqref="C51"/>
    </sheetView>
  </sheetViews>
  <sheetFormatPr defaultColWidth="9.1328125" defaultRowHeight="14.75" x14ac:dyDescent="0.75"/>
  <cols>
    <col min="1" max="1" width="14.54296875" style="146" customWidth="1"/>
    <col min="2" max="2" width="87.90625" style="146" customWidth="1"/>
    <col min="3" max="3" width="63" style="146" customWidth="1"/>
    <col min="4" max="4" width="39.26953125" style="146" customWidth="1"/>
    <col min="5" max="6" width="39.26953125" style="79" customWidth="1"/>
    <col min="7" max="16384" width="9.1328125" style="79"/>
  </cols>
  <sheetData>
    <row r="1" spans="1:6" ht="16.25" thickBot="1" x14ac:dyDescent="0.9">
      <c r="A1" s="77" t="s">
        <v>876</v>
      </c>
      <c r="B1" s="78" t="s">
        <v>877</v>
      </c>
      <c r="C1" s="78" t="s">
        <v>3</v>
      </c>
      <c r="D1" s="78" t="s">
        <v>878</v>
      </c>
      <c r="E1" s="78" t="s">
        <v>879</v>
      </c>
      <c r="F1" s="78" t="s">
        <v>880</v>
      </c>
    </row>
    <row r="2" spans="1:6" ht="16.25" thickBot="1" x14ac:dyDescent="0.9">
      <c r="A2" s="80" t="s">
        <v>881</v>
      </c>
      <c r="B2" s="197" t="s">
        <v>882</v>
      </c>
      <c r="C2" s="198"/>
      <c r="D2" s="199"/>
      <c r="E2" s="84" t="s">
        <v>883</v>
      </c>
      <c r="F2" s="84" t="s">
        <v>884</v>
      </c>
    </row>
    <row r="3" spans="1:6" ht="16.5" thickBot="1" x14ac:dyDescent="0.9">
      <c r="A3" s="80" t="s">
        <v>885</v>
      </c>
      <c r="B3" s="197" t="s">
        <v>886</v>
      </c>
      <c r="C3" s="198"/>
      <c r="D3" s="199"/>
      <c r="E3" s="85" t="s">
        <v>883</v>
      </c>
      <c r="F3" s="85" t="s">
        <v>884</v>
      </c>
    </row>
    <row r="4" spans="1:6" ht="32.25" thickBot="1" x14ac:dyDescent="0.9">
      <c r="A4" s="86" t="s">
        <v>887</v>
      </c>
      <c r="B4" s="87" t="s">
        <v>888</v>
      </c>
      <c r="C4" s="85" t="s">
        <v>889</v>
      </c>
      <c r="D4" s="88"/>
      <c r="E4" s="85" t="s">
        <v>890</v>
      </c>
      <c r="F4" s="85" t="s">
        <v>884</v>
      </c>
    </row>
    <row r="5" spans="1:6" ht="32.25" thickBot="1" x14ac:dyDescent="0.9">
      <c r="A5" s="86" t="s">
        <v>891</v>
      </c>
      <c r="B5" s="87" t="s">
        <v>892</v>
      </c>
      <c r="C5" s="85" t="s">
        <v>893</v>
      </c>
      <c r="D5" s="88"/>
      <c r="E5" s="85" t="s">
        <v>890</v>
      </c>
      <c r="F5" s="85" t="s">
        <v>884</v>
      </c>
    </row>
    <row r="6" spans="1:6" ht="48" thickBot="1" x14ac:dyDescent="0.9">
      <c r="A6" s="86" t="s">
        <v>894</v>
      </c>
      <c r="B6" s="87" t="s">
        <v>895</v>
      </c>
      <c r="C6" s="85" t="s">
        <v>896</v>
      </c>
      <c r="D6" s="88"/>
      <c r="E6" s="85" t="s">
        <v>883</v>
      </c>
      <c r="F6" s="85" t="s">
        <v>59</v>
      </c>
    </row>
    <row r="7" spans="1:6" ht="48" thickBot="1" x14ac:dyDescent="0.9">
      <c r="A7" s="86" t="s">
        <v>897</v>
      </c>
      <c r="B7" s="87" t="s">
        <v>898</v>
      </c>
      <c r="C7" s="85" t="s">
        <v>899</v>
      </c>
      <c r="D7" s="88"/>
      <c r="E7" s="85" t="s">
        <v>890</v>
      </c>
      <c r="F7" s="85" t="s">
        <v>59</v>
      </c>
    </row>
    <row r="8" spans="1:6" ht="16.5" thickBot="1" x14ac:dyDescent="0.9">
      <c r="A8" s="86" t="s">
        <v>900</v>
      </c>
      <c r="B8" s="87" t="s">
        <v>901</v>
      </c>
      <c r="C8" s="85" t="s">
        <v>902</v>
      </c>
      <c r="D8" s="89" t="s">
        <v>903</v>
      </c>
      <c r="E8" s="85" t="s">
        <v>904</v>
      </c>
      <c r="F8" s="85" t="s">
        <v>59</v>
      </c>
    </row>
    <row r="9" spans="1:6" ht="48" thickBot="1" x14ac:dyDescent="0.9">
      <c r="A9" s="86" t="s">
        <v>905</v>
      </c>
      <c r="B9" s="87" t="s">
        <v>60</v>
      </c>
      <c r="C9" s="85" t="s">
        <v>906</v>
      </c>
      <c r="D9" s="89" t="s">
        <v>907</v>
      </c>
      <c r="E9" s="85" t="s">
        <v>883</v>
      </c>
      <c r="F9" s="85" t="s">
        <v>884</v>
      </c>
    </row>
    <row r="10" spans="1:6" ht="32.25" thickBot="1" x14ac:dyDescent="0.9">
      <c r="A10" s="86" t="s">
        <v>908</v>
      </c>
      <c r="B10" s="90" t="s">
        <v>909</v>
      </c>
      <c r="C10" s="85" t="s">
        <v>910</v>
      </c>
      <c r="D10" s="85" t="s">
        <v>911</v>
      </c>
      <c r="E10" s="85" t="s">
        <v>904</v>
      </c>
      <c r="F10" s="85" t="s">
        <v>912</v>
      </c>
    </row>
    <row r="11" spans="1:6" ht="16.5" thickBot="1" x14ac:dyDescent="0.9">
      <c r="A11" s="80" t="s">
        <v>913</v>
      </c>
      <c r="B11" s="197" t="s">
        <v>914</v>
      </c>
      <c r="C11" s="198"/>
      <c r="D11" s="199"/>
      <c r="E11" s="85" t="s">
        <v>915</v>
      </c>
      <c r="F11" s="85" t="s">
        <v>59</v>
      </c>
    </row>
    <row r="12" spans="1:6" ht="16.25" thickBot="1" x14ac:dyDescent="0.9">
      <c r="A12" s="80" t="s">
        <v>916</v>
      </c>
      <c r="B12" s="197" t="s">
        <v>917</v>
      </c>
      <c r="C12" s="198"/>
      <c r="D12" s="199"/>
      <c r="E12" s="88"/>
      <c r="F12" s="88"/>
    </row>
    <row r="13" spans="1:6" ht="95.25" thickBot="1" x14ac:dyDescent="0.9">
      <c r="A13" s="86" t="s">
        <v>918</v>
      </c>
      <c r="B13" s="91" t="s">
        <v>919</v>
      </c>
      <c r="C13" s="85" t="s">
        <v>920</v>
      </c>
      <c r="D13" s="89" t="s">
        <v>903</v>
      </c>
      <c r="E13" s="85" t="s">
        <v>904</v>
      </c>
      <c r="F13" s="85" t="s">
        <v>59</v>
      </c>
    </row>
    <row r="14" spans="1:6" ht="32.25" thickBot="1" x14ac:dyDescent="0.9">
      <c r="A14" s="86" t="s">
        <v>921</v>
      </c>
      <c r="B14" s="91" t="s">
        <v>922</v>
      </c>
      <c r="C14" s="85" t="s">
        <v>923</v>
      </c>
      <c r="D14" s="88"/>
      <c r="E14" s="85" t="s">
        <v>904</v>
      </c>
      <c r="F14" s="85" t="s">
        <v>59</v>
      </c>
    </row>
    <row r="15" spans="1:6" ht="16.5" thickBot="1" x14ac:dyDescent="0.9">
      <c r="A15" s="80" t="s">
        <v>924</v>
      </c>
      <c r="B15" s="197" t="s">
        <v>925</v>
      </c>
      <c r="C15" s="198"/>
      <c r="D15" s="199"/>
      <c r="E15" s="85" t="s">
        <v>904</v>
      </c>
      <c r="F15" s="85" t="s">
        <v>912</v>
      </c>
    </row>
    <row r="16" spans="1:6" ht="48" thickBot="1" x14ac:dyDescent="0.9">
      <c r="A16" s="86" t="s">
        <v>926</v>
      </c>
      <c r="B16" s="92" t="s">
        <v>927</v>
      </c>
      <c r="C16" s="85" t="s">
        <v>928</v>
      </c>
      <c r="D16" s="88"/>
      <c r="E16" s="85" t="s">
        <v>904</v>
      </c>
      <c r="F16" s="85" t="s">
        <v>59</v>
      </c>
    </row>
    <row r="17" spans="1:6" ht="31.5" x14ac:dyDescent="0.75">
      <c r="A17" s="174" t="s">
        <v>929</v>
      </c>
      <c r="B17" s="158" t="s">
        <v>930</v>
      </c>
      <c r="C17" s="95" t="s">
        <v>931</v>
      </c>
      <c r="D17" s="176"/>
      <c r="E17" s="174" t="s">
        <v>883</v>
      </c>
      <c r="F17" s="174" t="s">
        <v>59</v>
      </c>
    </row>
    <row r="18" spans="1:6" ht="31.5" x14ac:dyDescent="0.75">
      <c r="A18" s="178"/>
      <c r="B18" s="171"/>
      <c r="C18" s="95" t="s">
        <v>932</v>
      </c>
      <c r="D18" s="218"/>
      <c r="E18" s="178"/>
      <c r="F18" s="178"/>
    </row>
    <row r="19" spans="1:6" ht="48" thickBot="1" x14ac:dyDescent="0.9">
      <c r="A19" s="175"/>
      <c r="B19" s="159"/>
      <c r="C19" s="85" t="s">
        <v>933</v>
      </c>
      <c r="D19" s="177"/>
      <c r="E19" s="175"/>
      <c r="F19" s="175"/>
    </row>
    <row r="20" spans="1:6" ht="32.25" thickBot="1" x14ac:dyDescent="0.9">
      <c r="A20" s="86" t="s">
        <v>934</v>
      </c>
      <c r="B20" s="92" t="s">
        <v>935</v>
      </c>
      <c r="C20" s="85" t="s">
        <v>936</v>
      </c>
      <c r="D20" s="85" t="s">
        <v>937</v>
      </c>
      <c r="E20" s="85" t="s">
        <v>904</v>
      </c>
      <c r="F20" s="85" t="s">
        <v>59</v>
      </c>
    </row>
    <row r="21" spans="1:6" ht="16.5" thickBot="1" x14ac:dyDescent="0.9">
      <c r="A21" s="86" t="s">
        <v>938</v>
      </c>
      <c r="B21" s="92" t="s">
        <v>939</v>
      </c>
      <c r="C21" s="85" t="s">
        <v>940</v>
      </c>
      <c r="D21" s="88"/>
      <c r="E21" s="85" t="s">
        <v>915</v>
      </c>
      <c r="F21" s="85" t="s">
        <v>59</v>
      </c>
    </row>
    <row r="22" spans="1:6" ht="95.25" thickBot="1" x14ac:dyDescent="0.9">
      <c r="A22" s="86" t="s">
        <v>941</v>
      </c>
      <c r="B22" s="92" t="s">
        <v>919</v>
      </c>
      <c r="C22" s="85" t="s">
        <v>920</v>
      </c>
      <c r="D22" s="88"/>
      <c r="E22" s="85" t="s">
        <v>915</v>
      </c>
      <c r="F22" s="85" t="s">
        <v>912</v>
      </c>
    </row>
    <row r="23" spans="1:6" ht="32.25" thickBot="1" x14ac:dyDescent="0.9">
      <c r="A23" s="86" t="s">
        <v>942</v>
      </c>
      <c r="B23" s="92" t="s">
        <v>922</v>
      </c>
      <c r="C23" s="85" t="s">
        <v>923</v>
      </c>
      <c r="D23" s="88"/>
      <c r="E23" s="85" t="s">
        <v>904</v>
      </c>
      <c r="F23" s="85" t="s">
        <v>59</v>
      </c>
    </row>
    <row r="24" spans="1:6" ht="16.5" thickBot="1" x14ac:dyDescent="0.9">
      <c r="A24" s="80" t="s">
        <v>943</v>
      </c>
      <c r="B24" s="197" t="s">
        <v>944</v>
      </c>
      <c r="C24" s="198"/>
      <c r="D24" s="199"/>
      <c r="E24" s="85" t="s">
        <v>904</v>
      </c>
      <c r="F24" s="85" t="s">
        <v>59</v>
      </c>
    </row>
    <row r="25" spans="1:6" ht="32.25" thickBot="1" x14ac:dyDescent="0.9">
      <c r="A25" s="86" t="s">
        <v>945</v>
      </c>
      <c r="B25" s="90" t="s">
        <v>946</v>
      </c>
      <c r="C25" s="85" t="s">
        <v>947</v>
      </c>
      <c r="D25" s="89" t="s">
        <v>948</v>
      </c>
      <c r="E25" s="88"/>
      <c r="F25" s="85" t="s">
        <v>59</v>
      </c>
    </row>
    <row r="26" spans="1:6" ht="16.5" thickBot="1" x14ac:dyDescent="0.9">
      <c r="A26" s="86" t="s">
        <v>949</v>
      </c>
      <c r="B26" s="90" t="s">
        <v>950</v>
      </c>
      <c r="C26" s="85" t="s">
        <v>951</v>
      </c>
      <c r="D26" s="89" t="s">
        <v>952</v>
      </c>
      <c r="E26" s="85" t="s">
        <v>915</v>
      </c>
      <c r="F26" s="85" t="s">
        <v>59</v>
      </c>
    </row>
    <row r="27" spans="1:6" ht="48" thickBot="1" x14ac:dyDescent="0.9">
      <c r="A27" s="86" t="s">
        <v>953</v>
      </c>
      <c r="B27" s="90" t="s">
        <v>927</v>
      </c>
      <c r="C27" s="85" t="s">
        <v>954</v>
      </c>
      <c r="D27" s="99"/>
      <c r="E27" s="85" t="s">
        <v>904</v>
      </c>
      <c r="F27" s="85" t="s">
        <v>912</v>
      </c>
    </row>
    <row r="28" spans="1:6" ht="32.25" thickBot="1" x14ac:dyDescent="0.9">
      <c r="A28" s="86" t="s">
        <v>955</v>
      </c>
      <c r="B28" s="87" t="s">
        <v>956</v>
      </c>
      <c r="C28" s="85" t="s">
        <v>957</v>
      </c>
      <c r="D28" s="88"/>
      <c r="E28" s="85" t="s">
        <v>890</v>
      </c>
      <c r="F28" s="85" t="s">
        <v>884</v>
      </c>
    </row>
    <row r="29" spans="1:6" ht="32.25" thickBot="1" x14ac:dyDescent="0.9">
      <c r="A29" s="86" t="s">
        <v>958</v>
      </c>
      <c r="B29" s="87" t="s">
        <v>892</v>
      </c>
      <c r="C29" s="85" t="s">
        <v>959</v>
      </c>
      <c r="D29" s="88"/>
      <c r="E29" s="85" t="s">
        <v>890</v>
      </c>
      <c r="F29" s="85" t="s">
        <v>884</v>
      </c>
    </row>
    <row r="30" spans="1:6" ht="95.25" thickBot="1" x14ac:dyDescent="0.9">
      <c r="A30" s="86" t="s">
        <v>960</v>
      </c>
      <c r="B30" s="90" t="s">
        <v>919</v>
      </c>
      <c r="C30" s="85" t="s">
        <v>961</v>
      </c>
      <c r="D30" s="99"/>
      <c r="E30" s="85" t="s">
        <v>915</v>
      </c>
      <c r="F30" s="85" t="s">
        <v>912</v>
      </c>
    </row>
    <row r="31" spans="1:6" ht="32.25" thickBot="1" x14ac:dyDescent="0.9">
      <c r="A31" s="86" t="s">
        <v>962</v>
      </c>
      <c r="B31" s="90" t="s">
        <v>922</v>
      </c>
      <c r="C31" s="85" t="s">
        <v>923</v>
      </c>
      <c r="D31" s="88"/>
      <c r="E31" s="85" t="s">
        <v>904</v>
      </c>
      <c r="F31" s="85" t="s">
        <v>59</v>
      </c>
    </row>
    <row r="32" spans="1:6" ht="16.5" thickBot="1" x14ac:dyDescent="0.9">
      <c r="A32" s="80" t="s">
        <v>963</v>
      </c>
      <c r="B32" s="197" t="s">
        <v>964</v>
      </c>
      <c r="C32" s="198"/>
      <c r="D32" s="199"/>
      <c r="E32" s="85" t="s">
        <v>915</v>
      </c>
      <c r="F32" s="85" t="s">
        <v>59</v>
      </c>
    </row>
    <row r="33" spans="1:6" ht="16.5" thickBot="1" x14ac:dyDescent="0.9">
      <c r="A33" s="86" t="s">
        <v>965</v>
      </c>
      <c r="B33" s="87" t="s">
        <v>966</v>
      </c>
      <c r="C33" s="85" t="s">
        <v>967</v>
      </c>
      <c r="D33" s="88"/>
      <c r="E33" s="85" t="s">
        <v>915</v>
      </c>
      <c r="F33" s="85" t="s">
        <v>884</v>
      </c>
    </row>
    <row r="34" spans="1:6" ht="16.5" thickBot="1" x14ac:dyDescent="0.9">
      <c r="A34" s="86" t="s">
        <v>968</v>
      </c>
      <c r="B34" s="87" t="s">
        <v>969</v>
      </c>
      <c r="C34" s="85" t="s">
        <v>970</v>
      </c>
      <c r="D34" s="88"/>
      <c r="E34" s="85" t="s">
        <v>915</v>
      </c>
      <c r="F34" s="85" t="s">
        <v>59</v>
      </c>
    </row>
    <row r="35" spans="1:6" ht="32.25" thickBot="1" x14ac:dyDescent="0.9">
      <c r="A35" s="86" t="s">
        <v>971</v>
      </c>
      <c r="B35" s="87" t="s">
        <v>972</v>
      </c>
      <c r="C35" s="85" t="s">
        <v>973</v>
      </c>
      <c r="D35" s="88"/>
      <c r="E35" s="85" t="s">
        <v>915</v>
      </c>
      <c r="F35" s="85" t="s">
        <v>884</v>
      </c>
    </row>
    <row r="36" spans="1:6" ht="16.5" thickBot="1" x14ac:dyDescent="0.9">
      <c r="A36" s="80" t="s">
        <v>974</v>
      </c>
      <c r="B36" s="197" t="s">
        <v>975</v>
      </c>
      <c r="C36" s="198"/>
      <c r="D36" s="199"/>
      <c r="E36" s="85" t="s">
        <v>904</v>
      </c>
      <c r="F36" s="85" t="s">
        <v>59</v>
      </c>
    </row>
    <row r="37" spans="1:6" ht="79.5" thickBot="1" x14ac:dyDescent="0.9">
      <c r="A37" s="86" t="s">
        <v>976</v>
      </c>
      <c r="B37" s="90" t="s">
        <v>977</v>
      </c>
      <c r="C37" s="85" t="s">
        <v>978</v>
      </c>
      <c r="D37" s="88"/>
      <c r="E37" s="85" t="s">
        <v>915</v>
      </c>
      <c r="F37" s="85" t="s">
        <v>59</v>
      </c>
    </row>
    <row r="38" spans="1:6" ht="16.5" thickBot="1" x14ac:dyDescent="0.9">
      <c r="A38" s="86" t="s">
        <v>979</v>
      </c>
      <c r="B38" s="90" t="s">
        <v>980</v>
      </c>
      <c r="C38" s="85" t="s">
        <v>981</v>
      </c>
      <c r="D38" s="88"/>
      <c r="E38" s="85" t="s">
        <v>915</v>
      </c>
      <c r="F38" s="85" t="s">
        <v>59</v>
      </c>
    </row>
    <row r="39" spans="1:6" ht="48" thickBot="1" x14ac:dyDescent="0.9">
      <c r="A39" s="86" t="s">
        <v>982</v>
      </c>
      <c r="B39" s="90" t="s">
        <v>983</v>
      </c>
      <c r="C39" s="85" t="s">
        <v>984</v>
      </c>
      <c r="D39" s="88"/>
      <c r="E39" s="85" t="s">
        <v>904</v>
      </c>
      <c r="F39" s="85" t="s">
        <v>59</v>
      </c>
    </row>
    <row r="40" spans="1:6" ht="16.5" thickBot="1" x14ac:dyDescent="0.9">
      <c r="A40" s="86" t="s">
        <v>985</v>
      </c>
      <c r="B40" s="90" t="s">
        <v>986</v>
      </c>
      <c r="C40" s="85" t="s">
        <v>987</v>
      </c>
      <c r="D40" s="88"/>
      <c r="E40" s="85" t="s">
        <v>915</v>
      </c>
      <c r="F40" s="85" t="s">
        <v>59</v>
      </c>
    </row>
    <row r="41" spans="1:6" ht="16.5" thickBot="1" x14ac:dyDescent="0.9">
      <c r="A41" s="80" t="s">
        <v>988</v>
      </c>
      <c r="B41" s="197" t="s">
        <v>989</v>
      </c>
      <c r="C41" s="198"/>
      <c r="D41" s="199"/>
      <c r="E41" s="85" t="s">
        <v>890</v>
      </c>
      <c r="F41" s="85" t="s">
        <v>884</v>
      </c>
    </row>
    <row r="42" spans="1:6" ht="63.75" thickBot="1" x14ac:dyDescent="0.9">
      <c r="A42" s="86" t="s">
        <v>990</v>
      </c>
      <c r="B42" s="92" t="s">
        <v>991</v>
      </c>
      <c r="C42" s="85" t="s">
        <v>992</v>
      </c>
      <c r="D42" s="88"/>
      <c r="E42" s="85" t="s">
        <v>890</v>
      </c>
      <c r="F42" s="85" t="s">
        <v>884</v>
      </c>
    </row>
    <row r="43" spans="1:6" ht="16.5" thickBot="1" x14ac:dyDescent="0.9">
      <c r="A43" s="86" t="s">
        <v>993</v>
      </c>
      <c r="B43" s="92" t="s">
        <v>994</v>
      </c>
      <c r="C43" s="85" t="s">
        <v>981</v>
      </c>
      <c r="D43" s="88"/>
      <c r="E43" s="85" t="s">
        <v>883</v>
      </c>
      <c r="F43" s="85" t="s">
        <v>884</v>
      </c>
    </row>
    <row r="44" spans="1:6" ht="48" thickBot="1" x14ac:dyDescent="0.9">
      <c r="A44" s="86" t="s">
        <v>995</v>
      </c>
      <c r="B44" s="92" t="s">
        <v>996</v>
      </c>
      <c r="C44" s="85" t="s">
        <v>984</v>
      </c>
      <c r="D44" s="88"/>
      <c r="E44" s="85" t="s">
        <v>904</v>
      </c>
      <c r="F44" s="85" t="s">
        <v>59</v>
      </c>
    </row>
    <row r="45" spans="1:6" ht="48" thickBot="1" x14ac:dyDescent="0.9">
      <c r="A45" s="86" t="s">
        <v>997</v>
      </c>
      <c r="B45" s="92" t="s">
        <v>998</v>
      </c>
      <c r="C45" s="85" t="s">
        <v>984</v>
      </c>
      <c r="D45" s="88"/>
      <c r="E45" s="85" t="s">
        <v>883</v>
      </c>
      <c r="F45" s="85" t="s">
        <v>884</v>
      </c>
    </row>
    <row r="46" spans="1:6" ht="16.5" thickBot="1" x14ac:dyDescent="0.9">
      <c r="A46" s="86" t="s">
        <v>999</v>
      </c>
      <c r="B46" s="92" t="s">
        <v>1000</v>
      </c>
      <c r="C46" s="85" t="s">
        <v>1001</v>
      </c>
      <c r="D46" s="88"/>
      <c r="E46" s="85" t="s">
        <v>883</v>
      </c>
      <c r="F46" s="85" t="s">
        <v>884</v>
      </c>
    </row>
    <row r="47" spans="1:6" ht="16.5" thickBot="1" x14ac:dyDescent="0.9">
      <c r="A47" s="80" t="s">
        <v>1002</v>
      </c>
      <c r="B47" s="197" t="s">
        <v>1003</v>
      </c>
      <c r="C47" s="198"/>
      <c r="D47" s="199"/>
      <c r="E47" s="85" t="s">
        <v>904</v>
      </c>
      <c r="F47" s="85" t="s">
        <v>59</v>
      </c>
    </row>
    <row r="48" spans="1:6" ht="63.75" thickBot="1" x14ac:dyDescent="0.9">
      <c r="A48" s="86" t="s">
        <v>1004</v>
      </c>
      <c r="B48" s="90" t="s">
        <v>1005</v>
      </c>
      <c r="C48" s="85" t="s">
        <v>992</v>
      </c>
      <c r="D48" s="88"/>
      <c r="E48" s="85" t="s">
        <v>890</v>
      </c>
      <c r="F48" s="85" t="s">
        <v>884</v>
      </c>
    </row>
    <row r="49" spans="1:6" ht="16.5" thickBot="1" x14ac:dyDescent="0.9">
      <c r="A49" s="86" t="s">
        <v>1006</v>
      </c>
      <c r="B49" s="85" t="s">
        <v>1007</v>
      </c>
      <c r="C49" s="85" t="s">
        <v>981</v>
      </c>
      <c r="D49" s="88"/>
      <c r="E49" s="85" t="s">
        <v>883</v>
      </c>
      <c r="F49" s="85" t="s">
        <v>884</v>
      </c>
    </row>
    <row r="50" spans="1:6" ht="48" thickBot="1" x14ac:dyDescent="0.9">
      <c r="A50" s="86" t="s">
        <v>1008</v>
      </c>
      <c r="B50" s="90" t="s">
        <v>1009</v>
      </c>
      <c r="C50" s="85" t="s">
        <v>984</v>
      </c>
      <c r="D50" s="88"/>
      <c r="E50" s="85" t="s">
        <v>904</v>
      </c>
      <c r="F50" s="85" t="s">
        <v>59</v>
      </c>
    </row>
    <row r="51" spans="1:6" ht="16.5" thickBot="1" x14ac:dyDescent="0.9">
      <c r="A51" s="86" t="s">
        <v>1010</v>
      </c>
      <c r="B51" s="90" t="s">
        <v>1011</v>
      </c>
      <c r="C51" s="85" t="s">
        <v>987</v>
      </c>
      <c r="D51" s="88"/>
      <c r="E51" s="85" t="s">
        <v>883</v>
      </c>
      <c r="F51" s="85" t="s">
        <v>884</v>
      </c>
    </row>
    <row r="52" spans="1:6" ht="16.5" thickBot="1" x14ac:dyDescent="0.9">
      <c r="A52" s="86" t="s">
        <v>1012</v>
      </c>
      <c r="B52" s="90" t="s">
        <v>1013</v>
      </c>
      <c r="C52" s="85" t="s">
        <v>1014</v>
      </c>
      <c r="D52" s="88"/>
      <c r="E52" s="85" t="s">
        <v>883</v>
      </c>
      <c r="F52" s="85" t="s">
        <v>884</v>
      </c>
    </row>
    <row r="53" spans="1:6" ht="16.5" thickBot="1" x14ac:dyDescent="0.9">
      <c r="A53" s="80" t="s">
        <v>1015</v>
      </c>
      <c r="B53" s="197" t="s">
        <v>1016</v>
      </c>
      <c r="C53" s="198"/>
      <c r="D53" s="199"/>
      <c r="E53" s="85" t="s">
        <v>915</v>
      </c>
      <c r="F53" s="85" t="s">
        <v>59</v>
      </c>
    </row>
    <row r="54" spans="1:6" ht="63.75" thickBot="1" x14ac:dyDescent="0.9">
      <c r="A54" s="86" t="s">
        <v>1017</v>
      </c>
      <c r="B54" s="90" t="s">
        <v>1018</v>
      </c>
      <c r="C54" s="85" t="s">
        <v>992</v>
      </c>
      <c r="D54" s="88"/>
      <c r="E54" s="85" t="s">
        <v>890</v>
      </c>
      <c r="F54" s="85" t="s">
        <v>884</v>
      </c>
    </row>
    <row r="55" spans="1:6" ht="16.5" thickBot="1" x14ac:dyDescent="0.9">
      <c r="A55" s="86" t="s">
        <v>1019</v>
      </c>
      <c r="B55" s="85" t="s">
        <v>1020</v>
      </c>
      <c r="C55" s="85" t="s">
        <v>981</v>
      </c>
      <c r="D55" s="88"/>
      <c r="E55" s="85" t="s">
        <v>883</v>
      </c>
      <c r="F55" s="85" t="s">
        <v>884</v>
      </c>
    </row>
    <row r="56" spans="1:6" ht="48" thickBot="1" x14ac:dyDescent="0.9">
      <c r="A56" s="98"/>
      <c r="B56" s="90" t="s">
        <v>1021</v>
      </c>
      <c r="C56" s="85" t="s">
        <v>984</v>
      </c>
      <c r="D56" s="88"/>
      <c r="E56" s="85" t="s">
        <v>904</v>
      </c>
      <c r="F56" s="85" t="s">
        <v>59</v>
      </c>
    </row>
    <row r="57" spans="1:6" ht="16.5" thickBot="1" x14ac:dyDescent="0.9">
      <c r="A57" s="86" t="s">
        <v>1022</v>
      </c>
      <c r="B57" s="90" t="s">
        <v>1023</v>
      </c>
      <c r="C57" s="85" t="s">
        <v>987</v>
      </c>
      <c r="D57" s="88"/>
      <c r="E57" s="85" t="s">
        <v>883</v>
      </c>
      <c r="F57" s="85" t="s">
        <v>884</v>
      </c>
    </row>
    <row r="58" spans="1:6" ht="16.5" thickBot="1" x14ac:dyDescent="0.9">
      <c r="A58" s="86" t="s">
        <v>1024</v>
      </c>
      <c r="B58" s="90" t="s">
        <v>1025</v>
      </c>
      <c r="C58" s="85" t="s">
        <v>1026</v>
      </c>
      <c r="D58" s="88"/>
      <c r="E58" s="85" t="s">
        <v>883</v>
      </c>
      <c r="F58" s="85" t="s">
        <v>884</v>
      </c>
    </row>
    <row r="59" spans="1:6" ht="16.5" thickBot="1" x14ac:dyDescent="0.9">
      <c r="A59" s="80" t="s">
        <v>1027</v>
      </c>
      <c r="B59" s="197" t="s">
        <v>1028</v>
      </c>
      <c r="C59" s="198"/>
      <c r="D59" s="199"/>
      <c r="E59" s="85" t="s">
        <v>883</v>
      </c>
      <c r="F59" s="85" t="s">
        <v>884</v>
      </c>
    </row>
    <row r="60" spans="1:6" ht="16.5" thickBot="1" x14ac:dyDescent="0.9">
      <c r="A60" s="86" t="s">
        <v>1029</v>
      </c>
      <c r="B60" s="90" t="s">
        <v>1030</v>
      </c>
      <c r="C60" s="85" t="s">
        <v>1031</v>
      </c>
      <c r="D60" s="88"/>
      <c r="E60" s="85" t="s">
        <v>883</v>
      </c>
      <c r="F60" s="85" t="s">
        <v>884</v>
      </c>
    </row>
    <row r="61" spans="1:6" ht="32.25" thickBot="1" x14ac:dyDescent="0.9">
      <c r="A61" s="86" t="s">
        <v>1032</v>
      </c>
      <c r="B61" s="90" t="s">
        <v>1033</v>
      </c>
      <c r="C61" s="85" t="s">
        <v>1034</v>
      </c>
      <c r="D61" s="89" t="s">
        <v>1035</v>
      </c>
      <c r="E61" s="85" t="s">
        <v>883</v>
      </c>
      <c r="F61" s="85" t="s">
        <v>884</v>
      </c>
    </row>
    <row r="62" spans="1:6" ht="16.5" thickBot="1" x14ac:dyDescent="0.9">
      <c r="A62" s="86" t="s">
        <v>1036</v>
      </c>
      <c r="B62" s="90" t="s">
        <v>1037</v>
      </c>
      <c r="C62" s="85" t="s">
        <v>1038</v>
      </c>
      <c r="D62" s="85" t="s">
        <v>1039</v>
      </c>
      <c r="E62" s="85" t="s">
        <v>883</v>
      </c>
      <c r="F62" s="85" t="s">
        <v>884</v>
      </c>
    </row>
    <row r="63" spans="1:6" ht="16.5" thickBot="1" x14ac:dyDescent="0.9">
      <c r="A63" s="86" t="s">
        <v>1040</v>
      </c>
      <c r="B63" s="90" t="s">
        <v>1041</v>
      </c>
      <c r="C63" s="85" t="s">
        <v>1042</v>
      </c>
      <c r="D63" s="88"/>
      <c r="E63" s="85" t="s">
        <v>883</v>
      </c>
      <c r="F63" s="85" t="s">
        <v>884</v>
      </c>
    </row>
    <row r="64" spans="1:6" ht="16.5" thickBot="1" x14ac:dyDescent="0.9">
      <c r="A64" s="86" t="s">
        <v>1043</v>
      </c>
      <c r="B64" s="90" t="s">
        <v>1044</v>
      </c>
      <c r="C64" s="85" t="s">
        <v>1045</v>
      </c>
      <c r="D64" s="88"/>
      <c r="E64" s="85" t="s">
        <v>883</v>
      </c>
      <c r="F64" s="85" t="s">
        <v>884</v>
      </c>
    </row>
    <row r="65" spans="1:6" ht="16.5" thickBot="1" x14ac:dyDescent="0.9">
      <c r="A65" s="86" t="s">
        <v>1046</v>
      </c>
      <c r="B65" s="90" t="s">
        <v>1047</v>
      </c>
      <c r="C65" s="85" t="s">
        <v>1048</v>
      </c>
      <c r="D65" s="88"/>
      <c r="E65" s="85" t="s">
        <v>883</v>
      </c>
      <c r="F65" s="85" t="s">
        <v>912</v>
      </c>
    </row>
    <row r="66" spans="1:6" ht="16.5" thickBot="1" x14ac:dyDescent="0.9">
      <c r="A66" s="86" t="s">
        <v>1049</v>
      </c>
      <c r="B66" s="90" t="s">
        <v>1050</v>
      </c>
      <c r="C66" s="85" t="s">
        <v>1051</v>
      </c>
      <c r="D66" s="89" t="s">
        <v>1052</v>
      </c>
      <c r="E66" s="85" t="s">
        <v>883</v>
      </c>
      <c r="F66" s="85" t="s">
        <v>884</v>
      </c>
    </row>
    <row r="67" spans="1:6" ht="32.25" thickBot="1" x14ac:dyDescent="0.9">
      <c r="A67" s="86" t="s">
        <v>1053</v>
      </c>
      <c r="B67" s="90" t="s">
        <v>1054</v>
      </c>
      <c r="C67" s="85" t="s">
        <v>1055</v>
      </c>
      <c r="D67" s="85" t="s">
        <v>911</v>
      </c>
      <c r="E67" s="85" t="s">
        <v>883</v>
      </c>
      <c r="F67" s="85" t="s">
        <v>59</v>
      </c>
    </row>
    <row r="68" spans="1:6" ht="16.5" thickBot="1" x14ac:dyDescent="0.9">
      <c r="A68" s="86" t="s">
        <v>1056</v>
      </c>
      <c r="B68" s="90" t="s">
        <v>69</v>
      </c>
      <c r="C68" s="85" t="s">
        <v>1057</v>
      </c>
      <c r="D68" s="88"/>
      <c r="E68" s="85" t="s">
        <v>915</v>
      </c>
      <c r="F68" s="85" t="s">
        <v>59</v>
      </c>
    </row>
    <row r="69" spans="1:6" ht="16.5" thickBot="1" x14ac:dyDescent="0.9">
      <c r="A69" s="80" t="s">
        <v>1058</v>
      </c>
      <c r="B69" s="197" t="s">
        <v>1059</v>
      </c>
      <c r="C69" s="198"/>
      <c r="D69" s="199"/>
      <c r="E69" s="85" t="s">
        <v>915</v>
      </c>
      <c r="F69" s="85" t="s">
        <v>59</v>
      </c>
    </row>
    <row r="70" spans="1:6" ht="16.5" thickBot="1" x14ac:dyDescent="0.9">
      <c r="A70" s="86" t="s">
        <v>1060</v>
      </c>
      <c r="B70" s="90" t="s">
        <v>1061</v>
      </c>
      <c r="C70" s="85" t="s">
        <v>1062</v>
      </c>
      <c r="D70" s="88"/>
      <c r="E70" s="85" t="s">
        <v>904</v>
      </c>
      <c r="F70" s="85" t="s">
        <v>59</v>
      </c>
    </row>
    <row r="71" spans="1:6" ht="16.5" thickBot="1" x14ac:dyDescent="0.9">
      <c r="A71" s="86" t="s">
        <v>1063</v>
      </c>
      <c r="B71" s="90" t="s">
        <v>1064</v>
      </c>
      <c r="C71" s="85" t="s">
        <v>1065</v>
      </c>
      <c r="D71" s="88"/>
      <c r="E71" s="85" t="s">
        <v>915</v>
      </c>
      <c r="F71" s="85" t="s">
        <v>59</v>
      </c>
    </row>
    <row r="72" spans="1:6" ht="16.5" thickBot="1" x14ac:dyDescent="0.9">
      <c r="A72" s="80" t="s">
        <v>1066</v>
      </c>
      <c r="B72" s="197" t="s">
        <v>1067</v>
      </c>
      <c r="C72" s="198"/>
      <c r="D72" s="199"/>
      <c r="E72" s="85" t="s">
        <v>915</v>
      </c>
      <c r="F72" s="85" t="s">
        <v>59</v>
      </c>
    </row>
    <row r="73" spans="1:6" ht="16.5" thickBot="1" x14ac:dyDescent="0.9">
      <c r="A73" s="80" t="s">
        <v>1068</v>
      </c>
      <c r="B73" s="84" t="s">
        <v>1069</v>
      </c>
      <c r="C73" s="85" t="s">
        <v>1070</v>
      </c>
      <c r="D73" s="88"/>
      <c r="E73" s="85" t="s">
        <v>890</v>
      </c>
      <c r="F73" s="85" t="s">
        <v>884</v>
      </c>
    </row>
    <row r="74" spans="1:6" ht="16.5" thickBot="1" x14ac:dyDescent="0.9">
      <c r="A74" s="86" t="s">
        <v>1071</v>
      </c>
      <c r="B74" s="90" t="s">
        <v>1072</v>
      </c>
      <c r="C74" s="85" t="s">
        <v>1073</v>
      </c>
      <c r="D74" s="88"/>
      <c r="E74" s="85" t="s">
        <v>883</v>
      </c>
      <c r="F74" s="85" t="s">
        <v>884</v>
      </c>
    </row>
    <row r="75" spans="1:6" ht="32.25" thickBot="1" x14ac:dyDescent="0.9">
      <c r="A75" s="86" t="s">
        <v>1074</v>
      </c>
      <c r="B75" s="90" t="s">
        <v>67</v>
      </c>
      <c r="C75" s="85" t="s">
        <v>1075</v>
      </c>
      <c r="D75" s="89" t="s">
        <v>1076</v>
      </c>
      <c r="E75" s="85" t="s">
        <v>883</v>
      </c>
      <c r="F75" s="85" t="s">
        <v>884</v>
      </c>
    </row>
    <row r="76" spans="1:6" ht="16.5" thickBot="1" x14ac:dyDescent="0.9">
      <c r="A76" s="86" t="s">
        <v>1077</v>
      </c>
      <c r="B76" s="85" t="s">
        <v>169</v>
      </c>
      <c r="C76" s="85" t="s">
        <v>1078</v>
      </c>
      <c r="D76" s="88"/>
      <c r="E76" s="85" t="s">
        <v>915</v>
      </c>
      <c r="F76" s="85" t="s">
        <v>912</v>
      </c>
    </row>
    <row r="77" spans="1:6" ht="15.75" x14ac:dyDescent="0.75">
      <c r="A77" s="174" t="s">
        <v>1079</v>
      </c>
      <c r="B77" s="160" t="s">
        <v>1080</v>
      </c>
      <c r="C77" s="174" t="s">
        <v>1081</v>
      </c>
      <c r="D77" s="95" t="s">
        <v>1082</v>
      </c>
      <c r="E77" s="174" t="s">
        <v>904</v>
      </c>
      <c r="F77" s="174" t="s">
        <v>59</v>
      </c>
    </row>
    <row r="78" spans="1:6" x14ac:dyDescent="0.75">
      <c r="A78" s="178"/>
      <c r="B78" s="161"/>
      <c r="C78" s="178"/>
      <c r="D78" s="101"/>
      <c r="E78" s="178"/>
      <c r="F78" s="178"/>
    </row>
    <row r="79" spans="1:6" ht="15.75" x14ac:dyDescent="0.75">
      <c r="A79" s="178"/>
      <c r="B79" s="161"/>
      <c r="C79" s="178"/>
      <c r="D79" s="102" t="s">
        <v>1083</v>
      </c>
      <c r="E79" s="178"/>
      <c r="F79" s="178"/>
    </row>
    <row r="80" spans="1:6" x14ac:dyDescent="0.75">
      <c r="A80" s="178"/>
      <c r="B80" s="161"/>
      <c r="C80" s="178"/>
      <c r="D80" s="101"/>
      <c r="E80" s="178"/>
      <c r="F80" s="178"/>
    </row>
    <row r="81" spans="1:6" ht="16.5" thickBot="1" x14ac:dyDescent="0.9">
      <c r="A81" s="175"/>
      <c r="B81" s="162"/>
      <c r="C81" s="175"/>
      <c r="D81" s="103" t="s">
        <v>1084</v>
      </c>
      <c r="E81" s="175"/>
      <c r="F81" s="175"/>
    </row>
    <row r="82" spans="1:6" ht="32.25" thickBot="1" x14ac:dyDescent="0.9">
      <c r="A82" s="86" t="s">
        <v>1085</v>
      </c>
      <c r="B82" s="90" t="s">
        <v>1086</v>
      </c>
      <c r="C82" s="85" t="s">
        <v>1087</v>
      </c>
      <c r="D82" s="88"/>
      <c r="E82" s="85" t="s">
        <v>883</v>
      </c>
      <c r="F82" s="85" t="s">
        <v>59</v>
      </c>
    </row>
    <row r="83" spans="1:6" ht="16.5" thickBot="1" x14ac:dyDescent="0.9">
      <c r="A83" s="80" t="s">
        <v>1088</v>
      </c>
      <c r="B83" s="197" t="s">
        <v>1089</v>
      </c>
      <c r="C83" s="198"/>
      <c r="D83" s="199"/>
      <c r="E83" s="85" t="s">
        <v>883</v>
      </c>
      <c r="F83" s="85" t="s">
        <v>884</v>
      </c>
    </row>
    <row r="84" spans="1:6" ht="48" thickBot="1" x14ac:dyDescent="0.9">
      <c r="A84" s="86" t="s">
        <v>1090</v>
      </c>
      <c r="B84" s="104" t="s">
        <v>1091</v>
      </c>
      <c r="C84" s="85" t="s">
        <v>1092</v>
      </c>
      <c r="D84" s="88"/>
      <c r="E84" s="85" t="s">
        <v>890</v>
      </c>
      <c r="F84" s="85" t="s">
        <v>884</v>
      </c>
    </row>
    <row r="85" spans="1:6" ht="16.5" thickBot="1" x14ac:dyDescent="0.9">
      <c r="A85" s="86" t="s">
        <v>1093</v>
      </c>
      <c r="B85" s="105" t="s">
        <v>1094</v>
      </c>
      <c r="C85" s="85" t="s">
        <v>1095</v>
      </c>
      <c r="D85" s="88"/>
      <c r="E85" s="85" t="s">
        <v>915</v>
      </c>
      <c r="F85" s="85" t="s">
        <v>912</v>
      </c>
    </row>
    <row r="86" spans="1:6" ht="15.75" x14ac:dyDescent="0.75">
      <c r="A86" s="174" t="s">
        <v>1096</v>
      </c>
      <c r="B86" s="202" t="s">
        <v>1097</v>
      </c>
      <c r="C86" s="174" t="s">
        <v>1098</v>
      </c>
      <c r="D86" s="95" t="s">
        <v>1099</v>
      </c>
      <c r="E86" s="174" t="s">
        <v>883</v>
      </c>
      <c r="F86" s="174" t="s">
        <v>884</v>
      </c>
    </row>
    <row r="87" spans="1:6" ht="15.75" x14ac:dyDescent="0.75">
      <c r="A87" s="178"/>
      <c r="B87" s="217"/>
      <c r="C87" s="178"/>
      <c r="D87" s="107" t="s">
        <v>77</v>
      </c>
      <c r="E87" s="178"/>
      <c r="F87" s="178"/>
    </row>
    <row r="88" spans="1:6" ht="16.5" thickBot="1" x14ac:dyDescent="0.9">
      <c r="A88" s="175"/>
      <c r="B88" s="203"/>
      <c r="C88" s="175"/>
      <c r="D88" s="85" t="s">
        <v>1100</v>
      </c>
      <c r="E88" s="175"/>
      <c r="F88" s="175"/>
    </row>
    <row r="89" spans="1:6" ht="48" thickBot="1" x14ac:dyDescent="0.9">
      <c r="A89" s="86" t="s">
        <v>1101</v>
      </c>
      <c r="B89" s="105" t="s">
        <v>1102</v>
      </c>
      <c r="C89" s="85" t="s">
        <v>1103</v>
      </c>
      <c r="D89" s="85" t="s">
        <v>1104</v>
      </c>
      <c r="E89" s="85" t="s">
        <v>915</v>
      </c>
      <c r="F89" s="85" t="s">
        <v>59</v>
      </c>
    </row>
    <row r="90" spans="1:6" ht="63.75" thickBot="1" x14ac:dyDescent="0.9">
      <c r="A90" s="86" t="s">
        <v>1105</v>
      </c>
      <c r="B90" s="105" t="s">
        <v>1106</v>
      </c>
      <c r="C90" s="85" t="s">
        <v>1107</v>
      </c>
      <c r="D90" s="85" t="s">
        <v>1099</v>
      </c>
      <c r="E90" s="85" t="s">
        <v>904</v>
      </c>
      <c r="F90" s="85" t="s">
        <v>59</v>
      </c>
    </row>
    <row r="91" spans="1:6" ht="32.25" thickBot="1" x14ac:dyDescent="0.9">
      <c r="A91" s="86" t="s">
        <v>1108</v>
      </c>
      <c r="B91" s="90" t="s">
        <v>1109</v>
      </c>
      <c r="C91" s="85" t="s">
        <v>1110</v>
      </c>
      <c r="D91" s="85" t="s">
        <v>1099</v>
      </c>
      <c r="E91" s="85" t="s">
        <v>915</v>
      </c>
      <c r="F91" s="85" t="s">
        <v>59</v>
      </c>
    </row>
    <row r="92" spans="1:6" ht="48" thickBot="1" x14ac:dyDescent="0.9">
      <c r="A92" s="86" t="s">
        <v>1111</v>
      </c>
      <c r="B92" s="91" t="s">
        <v>1112</v>
      </c>
      <c r="C92" s="85" t="s">
        <v>1113</v>
      </c>
      <c r="D92" s="89" t="s">
        <v>1114</v>
      </c>
      <c r="E92" s="85" t="s">
        <v>915</v>
      </c>
      <c r="F92" s="85" t="s">
        <v>59</v>
      </c>
    </row>
    <row r="93" spans="1:6" ht="32.25" thickBot="1" x14ac:dyDescent="0.9">
      <c r="A93" s="86" t="s">
        <v>1115</v>
      </c>
      <c r="B93" s="90" t="s">
        <v>1116</v>
      </c>
      <c r="C93" s="85" t="s">
        <v>1117</v>
      </c>
      <c r="D93" s="88"/>
      <c r="E93" s="85" t="s">
        <v>915</v>
      </c>
      <c r="F93" s="85" t="s">
        <v>59</v>
      </c>
    </row>
    <row r="94" spans="1:6" ht="32.25" thickBot="1" x14ac:dyDescent="0.9">
      <c r="A94" s="86" t="s">
        <v>1118</v>
      </c>
      <c r="B94" s="90" t="s">
        <v>72</v>
      </c>
      <c r="C94" s="85" t="s">
        <v>1119</v>
      </c>
      <c r="D94" s="85" t="s">
        <v>1120</v>
      </c>
      <c r="E94" s="85" t="s">
        <v>915</v>
      </c>
      <c r="F94" s="85" t="s">
        <v>59</v>
      </c>
    </row>
    <row r="95" spans="1:6" ht="48" thickBot="1" x14ac:dyDescent="0.9">
      <c r="A95" s="86" t="s">
        <v>1121</v>
      </c>
      <c r="B95" s="105" t="s">
        <v>1122</v>
      </c>
      <c r="C95" s="85" t="s">
        <v>1123</v>
      </c>
      <c r="D95" s="87" t="s">
        <v>1099</v>
      </c>
      <c r="E95" s="85" t="s">
        <v>915</v>
      </c>
      <c r="F95" s="85" t="s">
        <v>59</v>
      </c>
    </row>
    <row r="96" spans="1:6" ht="16.5" thickBot="1" x14ac:dyDescent="0.9">
      <c r="A96" s="86" t="s">
        <v>1124</v>
      </c>
      <c r="B96" s="90" t="s">
        <v>1125</v>
      </c>
      <c r="C96" s="85" t="s">
        <v>1126</v>
      </c>
      <c r="D96" s="88"/>
      <c r="E96" s="85" t="s">
        <v>915</v>
      </c>
      <c r="F96" s="85" t="s">
        <v>912</v>
      </c>
    </row>
    <row r="97" spans="1:6" ht="16.5" thickBot="1" x14ac:dyDescent="0.9">
      <c r="A97" s="80" t="s">
        <v>1127</v>
      </c>
      <c r="B97" s="197" t="s">
        <v>1128</v>
      </c>
      <c r="C97" s="198"/>
      <c r="D97" s="199"/>
      <c r="E97" s="85" t="s">
        <v>904</v>
      </c>
      <c r="F97" s="85" t="s">
        <v>59</v>
      </c>
    </row>
    <row r="98" spans="1:6" ht="63" x14ac:dyDescent="0.75">
      <c r="A98" s="174" t="s">
        <v>1129</v>
      </c>
      <c r="B98" s="160" t="s">
        <v>1130</v>
      </c>
      <c r="C98" s="95" t="s">
        <v>1131</v>
      </c>
      <c r="D98" s="95" t="s">
        <v>1099</v>
      </c>
      <c r="E98" s="174" t="s">
        <v>915</v>
      </c>
      <c r="F98" s="174" t="s">
        <v>59</v>
      </c>
    </row>
    <row r="99" spans="1:6" ht="48" thickBot="1" x14ac:dyDescent="0.9">
      <c r="A99" s="175"/>
      <c r="B99" s="162"/>
      <c r="C99" s="85" t="s">
        <v>1132</v>
      </c>
      <c r="D99" s="85" t="s">
        <v>1035</v>
      </c>
      <c r="E99" s="175"/>
      <c r="F99" s="175"/>
    </row>
    <row r="100" spans="1:6" ht="15.75" x14ac:dyDescent="0.75">
      <c r="A100" s="174" t="s">
        <v>1133</v>
      </c>
      <c r="B100" s="160" t="s">
        <v>1134</v>
      </c>
      <c r="C100" s="174" t="s">
        <v>1135</v>
      </c>
      <c r="D100" s="95" t="s">
        <v>1136</v>
      </c>
      <c r="E100" s="174" t="s">
        <v>904</v>
      </c>
      <c r="F100" s="174" t="s">
        <v>59</v>
      </c>
    </row>
    <row r="101" spans="1:6" ht="15.75" x14ac:dyDescent="0.75">
      <c r="A101" s="178"/>
      <c r="B101" s="161"/>
      <c r="C101" s="178"/>
      <c r="D101" s="95" t="s">
        <v>1099</v>
      </c>
      <c r="E101" s="178"/>
      <c r="F101" s="178"/>
    </row>
    <row r="102" spans="1:6" ht="16.5" thickBot="1" x14ac:dyDescent="0.9">
      <c r="A102" s="175"/>
      <c r="B102" s="162"/>
      <c r="C102" s="175"/>
      <c r="D102" s="85" t="s">
        <v>1137</v>
      </c>
      <c r="E102" s="175"/>
      <c r="F102" s="175"/>
    </row>
    <row r="103" spans="1:6" ht="32.25" thickBot="1" x14ac:dyDescent="0.9">
      <c r="A103" s="86" t="s">
        <v>1138</v>
      </c>
      <c r="B103" s="90" t="s">
        <v>1139</v>
      </c>
      <c r="C103" s="85" t="s">
        <v>1140</v>
      </c>
      <c r="D103" s="88"/>
      <c r="E103" s="85" t="s">
        <v>904</v>
      </c>
      <c r="F103" s="85" t="s">
        <v>59</v>
      </c>
    </row>
    <row r="104" spans="1:6" ht="32.25" thickBot="1" x14ac:dyDescent="0.9">
      <c r="A104" s="86" t="s">
        <v>1141</v>
      </c>
      <c r="B104" s="90" t="s">
        <v>169</v>
      </c>
      <c r="C104" s="85" t="s">
        <v>1142</v>
      </c>
      <c r="D104" s="88"/>
      <c r="E104" s="85" t="s">
        <v>915</v>
      </c>
      <c r="F104" s="85" t="s">
        <v>912</v>
      </c>
    </row>
    <row r="105" spans="1:6" ht="16.5" thickBot="1" x14ac:dyDescent="0.9">
      <c r="A105" s="86" t="s">
        <v>1143</v>
      </c>
      <c r="B105" s="90" t="s">
        <v>1144</v>
      </c>
      <c r="C105" s="85" t="s">
        <v>1145</v>
      </c>
      <c r="D105" s="85" t="s">
        <v>1099</v>
      </c>
      <c r="E105" s="85" t="s">
        <v>915</v>
      </c>
      <c r="F105" s="85" t="s">
        <v>59</v>
      </c>
    </row>
    <row r="106" spans="1:6" ht="32.25" thickBot="1" x14ac:dyDescent="0.9">
      <c r="A106" s="86" t="s">
        <v>1146</v>
      </c>
      <c r="B106" s="90" t="s">
        <v>1147</v>
      </c>
      <c r="C106" s="85" t="s">
        <v>1148</v>
      </c>
      <c r="D106" s="88"/>
      <c r="E106" s="85" t="s">
        <v>915</v>
      </c>
      <c r="F106" s="85" t="s">
        <v>59</v>
      </c>
    </row>
    <row r="107" spans="1:6" ht="16.5" thickBot="1" x14ac:dyDescent="0.9">
      <c r="A107" s="80" t="s">
        <v>1149</v>
      </c>
      <c r="B107" s="197" t="s">
        <v>1150</v>
      </c>
      <c r="C107" s="198"/>
      <c r="D107" s="199"/>
      <c r="E107" s="85" t="s">
        <v>883</v>
      </c>
      <c r="F107" s="85" t="s">
        <v>884</v>
      </c>
    </row>
    <row r="108" spans="1:6" ht="16.5" thickBot="1" x14ac:dyDescent="0.9">
      <c r="A108" s="86" t="s">
        <v>1151</v>
      </c>
      <c r="B108" s="90" t="s">
        <v>1152</v>
      </c>
      <c r="C108" s="85" t="s">
        <v>1153</v>
      </c>
      <c r="D108" s="89" t="s">
        <v>1154</v>
      </c>
      <c r="E108" s="85" t="s">
        <v>883</v>
      </c>
      <c r="F108" s="85" t="s">
        <v>884</v>
      </c>
    </row>
    <row r="109" spans="1:6" ht="16.5" thickBot="1" x14ac:dyDescent="0.9">
      <c r="A109" s="86" t="s">
        <v>1155</v>
      </c>
      <c r="B109" s="90" t="s">
        <v>1156</v>
      </c>
      <c r="C109" s="85" t="s">
        <v>1157</v>
      </c>
      <c r="D109" s="88"/>
      <c r="E109" s="85" t="s">
        <v>915</v>
      </c>
      <c r="F109" s="85" t="s">
        <v>912</v>
      </c>
    </row>
    <row r="110" spans="1:6" ht="16.5" thickBot="1" x14ac:dyDescent="0.9">
      <c r="A110" s="80" t="s">
        <v>1158</v>
      </c>
      <c r="B110" s="197" t="s">
        <v>1159</v>
      </c>
      <c r="C110" s="198"/>
      <c r="D110" s="199"/>
      <c r="E110" s="85" t="s">
        <v>883</v>
      </c>
      <c r="F110" s="85" t="s">
        <v>884</v>
      </c>
    </row>
    <row r="111" spans="1:6" ht="30.25" thickBot="1" x14ac:dyDescent="0.9">
      <c r="A111" s="86" t="s">
        <v>1160</v>
      </c>
      <c r="B111" s="108" t="s">
        <v>1161</v>
      </c>
      <c r="C111" s="85" t="s">
        <v>1162</v>
      </c>
      <c r="D111" s="89" t="s">
        <v>1163</v>
      </c>
      <c r="E111" s="85" t="s">
        <v>915</v>
      </c>
      <c r="F111" s="85" t="s">
        <v>59</v>
      </c>
    </row>
    <row r="112" spans="1:6" ht="16.5" thickBot="1" x14ac:dyDescent="0.9">
      <c r="A112" s="86" t="s">
        <v>1164</v>
      </c>
      <c r="B112" s="108" t="s">
        <v>1165</v>
      </c>
      <c r="C112" s="85" t="s">
        <v>1166</v>
      </c>
      <c r="D112" s="88"/>
      <c r="E112" s="85" t="s">
        <v>883</v>
      </c>
      <c r="F112" s="85" t="s">
        <v>884</v>
      </c>
    </row>
    <row r="113" spans="1:6" ht="63.75" thickBot="1" x14ac:dyDescent="0.9">
      <c r="A113" s="86" t="s">
        <v>1167</v>
      </c>
      <c r="B113" s="92" t="s">
        <v>1168</v>
      </c>
      <c r="C113" s="85" t="s">
        <v>992</v>
      </c>
      <c r="D113" s="88"/>
      <c r="E113" s="85" t="s">
        <v>915</v>
      </c>
      <c r="F113" s="85" t="s">
        <v>59</v>
      </c>
    </row>
    <row r="114" spans="1:6" ht="16.5" thickBot="1" x14ac:dyDescent="0.9">
      <c r="A114" s="86" t="s">
        <v>1169</v>
      </c>
      <c r="B114" s="92" t="s">
        <v>1170</v>
      </c>
      <c r="C114" s="85" t="s">
        <v>981</v>
      </c>
      <c r="D114" s="88"/>
      <c r="E114" s="85" t="s">
        <v>915</v>
      </c>
      <c r="F114" s="85" t="s">
        <v>59</v>
      </c>
    </row>
    <row r="115" spans="1:6" ht="30.25" thickBot="1" x14ac:dyDescent="0.9">
      <c r="A115" s="86" t="s">
        <v>1171</v>
      </c>
      <c r="B115" s="92" t="s">
        <v>1172</v>
      </c>
      <c r="C115" s="85" t="s">
        <v>1173</v>
      </c>
      <c r="D115" s="89" t="s">
        <v>1174</v>
      </c>
      <c r="E115" s="85" t="s">
        <v>915</v>
      </c>
      <c r="F115" s="85" t="s">
        <v>59</v>
      </c>
    </row>
    <row r="116" spans="1:6" ht="63.75" thickBot="1" x14ac:dyDescent="0.9">
      <c r="A116" s="86" t="s">
        <v>1175</v>
      </c>
      <c r="B116" s="92" t="s">
        <v>1176</v>
      </c>
      <c r="C116" s="85" t="s">
        <v>992</v>
      </c>
      <c r="D116" s="88"/>
      <c r="E116" s="85" t="s">
        <v>915</v>
      </c>
      <c r="F116" s="85" t="s">
        <v>59</v>
      </c>
    </row>
    <row r="117" spans="1:6" ht="16.5" thickBot="1" x14ac:dyDescent="0.9">
      <c r="A117" s="86" t="s">
        <v>1177</v>
      </c>
      <c r="B117" s="92" t="s">
        <v>1178</v>
      </c>
      <c r="C117" s="85" t="s">
        <v>981</v>
      </c>
      <c r="D117" s="88"/>
      <c r="E117" s="85" t="s">
        <v>915</v>
      </c>
      <c r="F117" s="85" t="s">
        <v>59</v>
      </c>
    </row>
    <row r="118" spans="1:6" ht="16.5" thickBot="1" x14ac:dyDescent="0.9">
      <c r="A118" s="86" t="s">
        <v>1179</v>
      </c>
      <c r="B118" s="92" t="s">
        <v>1180</v>
      </c>
      <c r="C118" s="85" t="s">
        <v>987</v>
      </c>
      <c r="D118" s="88"/>
      <c r="E118" s="85" t="s">
        <v>915</v>
      </c>
      <c r="F118" s="85" t="s">
        <v>59</v>
      </c>
    </row>
    <row r="119" spans="1:6" ht="16.5" thickBot="1" x14ac:dyDescent="0.9">
      <c r="A119" s="80" t="s">
        <v>1181</v>
      </c>
      <c r="B119" s="197" t="s">
        <v>1182</v>
      </c>
      <c r="C119" s="198"/>
      <c r="D119" s="199"/>
      <c r="E119" s="85" t="s">
        <v>883</v>
      </c>
      <c r="F119" s="85" t="s">
        <v>884</v>
      </c>
    </row>
    <row r="120" spans="1:6" ht="15.75" x14ac:dyDescent="0.75">
      <c r="A120" s="174" t="s">
        <v>1183</v>
      </c>
      <c r="B120" s="160" t="s">
        <v>1182</v>
      </c>
      <c r="C120" s="174" t="s">
        <v>1184</v>
      </c>
      <c r="D120" s="95" t="s">
        <v>1082</v>
      </c>
      <c r="E120" s="174" t="s">
        <v>904</v>
      </c>
      <c r="F120" s="174" t="s">
        <v>59</v>
      </c>
    </row>
    <row r="121" spans="1:6" ht="15.75" x14ac:dyDescent="0.75">
      <c r="A121" s="178"/>
      <c r="B121" s="161"/>
      <c r="C121" s="178"/>
      <c r="D121" s="95" t="s">
        <v>1099</v>
      </c>
      <c r="E121" s="178"/>
      <c r="F121" s="178"/>
    </row>
    <row r="122" spans="1:6" ht="16.5" thickBot="1" x14ac:dyDescent="0.9">
      <c r="A122" s="175"/>
      <c r="B122" s="162"/>
      <c r="C122" s="175"/>
      <c r="D122" s="85" t="s">
        <v>1137</v>
      </c>
      <c r="E122" s="175"/>
      <c r="F122" s="175"/>
    </row>
    <row r="123" spans="1:6" ht="16.5" thickBot="1" x14ac:dyDescent="0.9">
      <c r="A123" s="86" t="s">
        <v>1185</v>
      </c>
      <c r="B123" s="90" t="s">
        <v>1186</v>
      </c>
      <c r="C123" s="85" t="s">
        <v>1187</v>
      </c>
      <c r="D123" s="88"/>
      <c r="E123" s="85" t="s">
        <v>915</v>
      </c>
      <c r="F123" s="85" t="s">
        <v>912</v>
      </c>
    </row>
    <row r="124" spans="1:6" ht="95.25" thickBot="1" x14ac:dyDescent="0.9">
      <c r="A124" s="86" t="s">
        <v>1188</v>
      </c>
      <c r="B124" s="108" t="s">
        <v>1189</v>
      </c>
      <c r="C124" s="85" t="s">
        <v>1190</v>
      </c>
      <c r="D124" s="85" t="s">
        <v>1099</v>
      </c>
      <c r="E124" s="85" t="s">
        <v>915</v>
      </c>
      <c r="F124" s="85" t="s">
        <v>59</v>
      </c>
    </row>
    <row r="125" spans="1:6" ht="16.5" thickBot="1" x14ac:dyDescent="0.9">
      <c r="A125" s="80" t="s">
        <v>1191</v>
      </c>
      <c r="B125" s="197" t="s">
        <v>1192</v>
      </c>
      <c r="C125" s="198"/>
      <c r="D125" s="199"/>
      <c r="E125" s="88"/>
      <c r="F125" s="85" t="s">
        <v>884</v>
      </c>
    </row>
    <row r="126" spans="1:6" ht="16.5" thickBot="1" x14ac:dyDescent="0.9">
      <c r="A126" s="86" t="s">
        <v>1193</v>
      </c>
      <c r="B126" s="90" t="s">
        <v>1194</v>
      </c>
      <c r="C126" s="85" t="s">
        <v>1195</v>
      </c>
      <c r="D126" s="88"/>
      <c r="E126" s="85" t="s">
        <v>883</v>
      </c>
      <c r="F126" s="85" t="s">
        <v>884</v>
      </c>
    </row>
    <row r="127" spans="1:6" ht="32.25" thickBot="1" x14ac:dyDescent="0.9">
      <c r="A127" s="86" t="s">
        <v>1196</v>
      </c>
      <c r="B127" s="90" t="s">
        <v>1197</v>
      </c>
      <c r="C127" s="85" t="s">
        <v>1198</v>
      </c>
      <c r="D127" s="89" t="s">
        <v>1199</v>
      </c>
      <c r="E127" s="85" t="s">
        <v>915</v>
      </c>
      <c r="F127" s="85" t="s">
        <v>59</v>
      </c>
    </row>
    <row r="128" spans="1:6" ht="32.25" thickBot="1" x14ac:dyDescent="0.9">
      <c r="A128" s="86" t="s">
        <v>1200</v>
      </c>
      <c r="B128" s="90" t="s">
        <v>1201</v>
      </c>
      <c r="C128" s="85" t="s">
        <v>1202</v>
      </c>
      <c r="D128" s="88"/>
      <c r="E128" s="85" t="s">
        <v>915</v>
      </c>
      <c r="F128" s="85" t="s">
        <v>59</v>
      </c>
    </row>
    <row r="129" spans="1:6" ht="16.5" thickBot="1" x14ac:dyDescent="0.9">
      <c r="A129" s="80" t="s">
        <v>1203</v>
      </c>
      <c r="B129" s="197" t="s">
        <v>1204</v>
      </c>
      <c r="C129" s="198"/>
      <c r="D129" s="199"/>
      <c r="E129" s="85" t="s">
        <v>904</v>
      </c>
      <c r="F129" s="85" t="s">
        <v>59</v>
      </c>
    </row>
    <row r="130" spans="1:6" ht="16.5" thickBot="1" x14ac:dyDescent="0.9">
      <c r="A130" s="86" t="s">
        <v>1205</v>
      </c>
      <c r="B130" s="90" t="s">
        <v>1147</v>
      </c>
      <c r="C130" s="85" t="s">
        <v>1206</v>
      </c>
      <c r="D130" s="88"/>
      <c r="E130" s="85" t="s">
        <v>883</v>
      </c>
      <c r="F130" s="85" t="s">
        <v>884</v>
      </c>
    </row>
    <row r="131" spans="1:6" ht="16.5" thickBot="1" x14ac:dyDescent="0.9">
      <c r="A131" s="86" t="s">
        <v>1207</v>
      </c>
      <c r="B131" s="90" t="s">
        <v>1208</v>
      </c>
      <c r="C131" s="85" t="s">
        <v>1209</v>
      </c>
      <c r="D131" s="88"/>
      <c r="E131" s="85" t="s">
        <v>915</v>
      </c>
      <c r="F131" s="85" t="s">
        <v>59</v>
      </c>
    </row>
    <row r="132" spans="1:6" ht="16.5" thickBot="1" x14ac:dyDescent="0.9">
      <c r="A132" s="86" t="s">
        <v>1210</v>
      </c>
      <c r="B132" s="90" t="s">
        <v>1211</v>
      </c>
      <c r="C132" s="85" t="s">
        <v>1212</v>
      </c>
      <c r="D132" s="88"/>
      <c r="E132" s="85" t="s">
        <v>883</v>
      </c>
      <c r="F132" s="85" t="s">
        <v>884</v>
      </c>
    </row>
    <row r="133" spans="1:6" ht="32.25" thickBot="1" x14ac:dyDescent="0.9">
      <c r="A133" s="86" t="s">
        <v>1213</v>
      </c>
      <c r="B133" s="90" t="s">
        <v>1214</v>
      </c>
      <c r="C133" s="85" t="s">
        <v>1215</v>
      </c>
      <c r="D133" s="88"/>
      <c r="E133" s="85" t="s">
        <v>890</v>
      </c>
      <c r="F133" s="85" t="s">
        <v>59</v>
      </c>
    </row>
    <row r="134" spans="1:6" ht="16.5" thickBot="1" x14ac:dyDescent="0.9">
      <c r="A134" s="80" t="s">
        <v>1216</v>
      </c>
      <c r="B134" s="197" t="s">
        <v>1217</v>
      </c>
      <c r="C134" s="198"/>
      <c r="D134" s="199"/>
      <c r="E134" s="85" t="s">
        <v>915</v>
      </c>
      <c r="F134" s="85" t="s">
        <v>912</v>
      </c>
    </row>
    <row r="135" spans="1:6" ht="16.5" thickBot="1" x14ac:dyDescent="0.9">
      <c r="A135" s="109" t="s">
        <v>1218</v>
      </c>
      <c r="B135" s="214" t="s">
        <v>1219</v>
      </c>
      <c r="C135" s="215"/>
      <c r="D135" s="216"/>
      <c r="E135" s="85" t="s">
        <v>915</v>
      </c>
      <c r="F135" s="85" t="s">
        <v>912</v>
      </c>
    </row>
    <row r="136" spans="1:6" ht="16.5" thickBot="1" x14ac:dyDescent="0.9">
      <c r="A136" s="86" t="s">
        <v>1220</v>
      </c>
      <c r="B136" s="90" t="s">
        <v>1072</v>
      </c>
      <c r="C136" s="85" t="s">
        <v>1221</v>
      </c>
      <c r="D136" s="88"/>
      <c r="E136" s="85" t="s">
        <v>915</v>
      </c>
      <c r="F136" s="85" t="s">
        <v>912</v>
      </c>
    </row>
    <row r="137" spans="1:6" ht="48" thickBot="1" x14ac:dyDescent="0.9">
      <c r="A137" s="86" t="s">
        <v>1222</v>
      </c>
      <c r="B137" s="90" t="s">
        <v>1223</v>
      </c>
      <c r="C137" s="85" t="s">
        <v>1224</v>
      </c>
      <c r="D137" s="88"/>
      <c r="E137" s="85" t="s">
        <v>904</v>
      </c>
      <c r="F137" s="85" t="s">
        <v>912</v>
      </c>
    </row>
    <row r="138" spans="1:6" ht="15.75" x14ac:dyDescent="0.75">
      <c r="A138" s="163" t="s">
        <v>1225</v>
      </c>
      <c r="B138" s="212" t="s">
        <v>1226</v>
      </c>
      <c r="C138" s="184" t="s">
        <v>1227</v>
      </c>
      <c r="D138" s="185"/>
      <c r="E138" s="174" t="s">
        <v>904</v>
      </c>
      <c r="F138" s="174" t="s">
        <v>912</v>
      </c>
    </row>
    <row r="139" spans="1:6" ht="16.5" thickBot="1" x14ac:dyDescent="0.9">
      <c r="A139" s="165"/>
      <c r="B139" s="213"/>
      <c r="C139" s="195" t="s">
        <v>1228</v>
      </c>
      <c r="D139" s="196"/>
      <c r="E139" s="175"/>
      <c r="F139" s="175"/>
    </row>
    <row r="140" spans="1:6" ht="16.5" thickBot="1" x14ac:dyDescent="0.9">
      <c r="A140" s="86" t="s">
        <v>1229</v>
      </c>
      <c r="B140" s="85" t="s">
        <v>1230</v>
      </c>
      <c r="C140" s="85" t="s">
        <v>1231</v>
      </c>
      <c r="D140" s="88"/>
      <c r="E140" s="85" t="s">
        <v>915</v>
      </c>
      <c r="F140" s="85" t="s">
        <v>59</v>
      </c>
    </row>
    <row r="141" spans="1:6" ht="15.75" x14ac:dyDescent="0.75">
      <c r="A141" s="174" t="s">
        <v>1232</v>
      </c>
      <c r="B141" s="160" t="s">
        <v>1233</v>
      </c>
      <c r="C141" s="174" t="s">
        <v>1234</v>
      </c>
      <c r="D141" s="95" t="s">
        <v>1099</v>
      </c>
      <c r="E141" s="174" t="s">
        <v>883</v>
      </c>
      <c r="F141" s="174" t="s">
        <v>884</v>
      </c>
    </row>
    <row r="142" spans="1:6" ht="31.5" x14ac:dyDescent="0.75">
      <c r="A142" s="178"/>
      <c r="B142" s="161"/>
      <c r="C142" s="178"/>
      <c r="D142" s="95" t="s">
        <v>1235</v>
      </c>
      <c r="E142" s="178"/>
      <c r="F142" s="178"/>
    </row>
    <row r="143" spans="1:6" ht="111" thickBot="1" x14ac:dyDescent="0.9">
      <c r="A143" s="175"/>
      <c r="B143" s="162"/>
      <c r="C143" s="175"/>
      <c r="D143" s="85" t="s">
        <v>1236</v>
      </c>
      <c r="E143" s="175"/>
      <c r="F143" s="175"/>
    </row>
    <row r="144" spans="1:6" ht="15.75" x14ac:dyDescent="0.75">
      <c r="A144" s="174" t="s">
        <v>1237</v>
      </c>
      <c r="B144" s="160" t="s">
        <v>1238</v>
      </c>
      <c r="C144" s="174" t="s">
        <v>1239</v>
      </c>
      <c r="D144" s="95" t="s">
        <v>1099</v>
      </c>
      <c r="E144" s="174" t="s">
        <v>883</v>
      </c>
      <c r="F144" s="174" t="s">
        <v>884</v>
      </c>
    </row>
    <row r="145" spans="1:6" ht="16.5" thickBot="1" x14ac:dyDescent="0.9">
      <c r="A145" s="175"/>
      <c r="B145" s="162"/>
      <c r="C145" s="175"/>
      <c r="D145" s="85" t="s">
        <v>1240</v>
      </c>
      <c r="E145" s="175"/>
      <c r="F145" s="175"/>
    </row>
    <row r="146" spans="1:6" ht="48" thickBot="1" x14ac:dyDescent="0.9">
      <c r="A146" s="86" t="s">
        <v>1241</v>
      </c>
      <c r="B146" s="90" t="s">
        <v>1223</v>
      </c>
      <c r="C146" s="85" t="s">
        <v>1242</v>
      </c>
      <c r="D146" s="88"/>
      <c r="E146" s="85" t="s">
        <v>904</v>
      </c>
      <c r="F146" s="85" t="s">
        <v>912</v>
      </c>
    </row>
    <row r="147" spans="1:6" ht="15.75" x14ac:dyDescent="0.75">
      <c r="A147" s="163" t="s">
        <v>1243</v>
      </c>
      <c r="B147" s="163" t="s">
        <v>1244</v>
      </c>
      <c r="C147" s="184" t="s">
        <v>1245</v>
      </c>
      <c r="D147" s="185"/>
      <c r="E147" s="174" t="s">
        <v>904</v>
      </c>
      <c r="F147" s="174" t="s">
        <v>912</v>
      </c>
    </row>
    <row r="148" spans="1:6" ht="15.75" x14ac:dyDescent="0.75">
      <c r="A148" s="164"/>
      <c r="B148" s="164"/>
      <c r="C148" s="193" t="s">
        <v>1246</v>
      </c>
      <c r="D148" s="194"/>
      <c r="E148" s="178"/>
      <c r="F148" s="178"/>
    </row>
    <row r="149" spans="1:6" ht="16.5" thickBot="1" x14ac:dyDescent="0.9">
      <c r="A149" s="165"/>
      <c r="B149" s="165"/>
      <c r="C149" s="195" t="s">
        <v>1247</v>
      </c>
      <c r="D149" s="196"/>
      <c r="E149" s="175"/>
      <c r="F149" s="175"/>
    </row>
    <row r="150" spans="1:6" ht="29.5" x14ac:dyDescent="0.75">
      <c r="A150" s="174" t="s">
        <v>1248</v>
      </c>
      <c r="B150" s="160" t="s">
        <v>1230</v>
      </c>
      <c r="C150" s="174" t="s">
        <v>1231</v>
      </c>
      <c r="D150" s="120" t="s">
        <v>1249</v>
      </c>
      <c r="E150" s="174" t="s">
        <v>883</v>
      </c>
      <c r="F150" s="174" t="s">
        <v>884</v>
      </c>
    </row>
    <row r="151" spans="1:6" ht="15.5" thickBot="1" x14ac:dyDescent="0.9">
      <c r="A151" s="175"/>
      <c r="B151" s="162"/>
      <c r="C151" s="175"/>
      <c r="D151" s="89" t="s">
        <v>1250</v>
      </c>
      <c r="E151" s="175"/>
      <c r="F151" s="175"/>
    </row>
    <row r="152" spans="1:6" ht="15.75" x14ac:dyDescent="0.75">
      <c r="A152" s="174" t="s">
        <v>1251</v>
      </c>
      <c r="B152" s="160" t="s">
        <v>1233</v>
      </c>
      <c r="C152" s="174" t="s">
        <v>1234</v>
      </c>
      <c r="D152" s="95" t="s">
        <v>1099</v>
      </c>
      <c r="E152" s="174" t="s">
        <v>883</v>
      </c>
      <c r="F152" s="174" t="s">
        <v>884</v>
      </c>
    </row>
    <row r="153" spans="1:6" ht="142.5" thickBot="1" x14ac:dyDescent="0.9">
      <c r="A153" s="175"/>
      <c r="B153" s="162"/>
      <c r="C153" s="175"/>
      <c r="D153" s="85" t="s">
        <v>1252</v>
      </c>
      <c r="E153" s="175"/>
      <c r="F153" s="175"/>
    </row>
    <row r="154" spans="1:6" x14ac:dyDescent="0.75">
      <c r="A154" s="174" t="s">
        <v>1253</v>
      </c>
      <c r="B154" s="160" t="s">
        <v>1238</v>
      </c>
      <c r="C154" s="174" t="s">
        <v>1239</v>
      </c>
      <c r="D154" s="101"/>
      <c r="E154" s="174" t="s">
        <v>883</v>
      </c>
      <c r="F154" s="174" t="s">
        <v>59</v>
      </c>
    </row>
    <row r="155" spans="1:6" ht="16.5" thickBot="1" x14ac:dyDescent="0.9">
      <c r="A155" s="175"/>
      <c r="B155" s="162"/>
      <c r="C155" s="175"/>
      <c r="D155" s="85" t="s">
        <v>1254</v>
      </c>
      <c r="E155" s="175"/>
      <c r="F155" s="175"/>
    </row>
    <row r="156" spans="1:6" ht="48" thickBot="1" x14ac:dyDescent="0.9">
      <c r="A156" s="86" t="s">
        <v>1255</v>
      </c>
      <c r="B156" s="90" t="s">
        <v>1223</v>
      </c>
      <c r="C156" s="85" t="s">
        <v>1242</v>
      </c>
      <c r="D156" s="88"/>
      <c r="E156" s="85" t="s">
        <v>904</v>
      </c>
      <c r="F156" s="85" t="s">
        <v>59</v>
      </c>
    </row>
    <row r="157" spans="1:6" ht="95.25" thickBot="1" x14ac:dyDescent="0.9">
      <c r="A157" s="80" t="s">
        <v>1256</v>
      </c>
      <c r="B157" s="84" t="s">
        <v>1257</v>
      </c>
      <c r="C157" s="85" t="s">
        <v>1258</v>
      </c>
      <c r="D157" s="88"/>
      <c r="E157" s="85" t="s">
        <v>915</v>
      </c>
      <c r="F157" s="85" t="s">
        <v>912</v>
      </c>
    </row>
    <row r="158" spans="1:6" ht="16.5" thickBot="1" x14ac:dyDescent="0.9">
      <c r="A158" s="86" t="s">
        <v>1259</v>
      </c>
      <c r="B158" s="90" t="s">
        <v>1260</v>
      </c>
      <c r="C158" s="85" t="s">
        <v>1261</v>
      </c>
      <c r="D158" s="88"/>
      <c r="E158" s="85" t="s">
        <v>883</v>
      </c>
      <c r="F158" s="85" t="s">
        <v>59</v>
      </c>
    </row>
    <row r="159" spans="1:6" ht="48" thickBot="1" x14ac:dyDescent="0.9">
      <c r="A159" s="86" t="s">
        <v>1262</v>
      </c>
      <c r="B159" s="90" t="s">
        <v>1223</v>
      </c>
      <c r="C159" s="85" t="s">
        <v>1242</v>
      </c>
      <c r="D159" s="88"/>
      <c r="E159" s="85" t="s">
        <v>904</v>
      </c>
      <c r="F159" s="85" t="s">
        <v>912</v>
      </c>
    </row>
    <row r="160" spans="1:6" ht="15.5" x14ac:dyDescent="0.75">
      <c r="A160" s="163" t="s">
        <v>1263</v>
      </c>
      <c r="B160" s="190" t="s">
        <v>1264</v>
      </c>
      <c r="C160" s="191"/>
      <c r="D160" s="192"/>
      <c r="E160" s="174" t="s">
        <v>915</v>
      </c>
      <c r="F160" s="174" t="s">
        <v>912</v>
      </c>
    </row>
    <row r="161" spans="1:6" ht="15.75" x14ac:dyDescent="0.75">
      <c r="A161" s="164"/>
      <c r="B161" s="193" t="s">
        <v>1265</v>
      </c>
      <c r="C161" s="209"/>
      <c r="D161" s="194"/>
      <c r="E161" s="178"/>
      <c r="F161" s="178"/>
    </row>
    <row r="162" spans="1:6" x14ac:dyDescent="0.75">
      <c r="A162" s="164"/>
      <c r="B162" s="186"/>
      <c r="C162" s="210"/>
      <c r="D162" s="187"/>
      <c r="E162" s="178"/>
      <c r="F162" s="178"/>
    </row>
    <row r="163" spans="1:6" ht="15.5" thickBot="1" x14ac:dyDescent="0.9">
      <c r="A163" s="165"/>
      <c r="B163" s="188" t="s">
        <v>1266</v>
      </c>
      <c r="C163" s="211"/>
      <c r="D163" s="189"/>
      <c r="E163" s="175"/>
      <c r="F163" s="175"/>
    </row>
    <row r="164" spans="1:6" ht="16.5" thickBot="1" x14ac:dyDescent="0.9">
      <c r="A164" s="86" t="s">
        <v>1267</v>
      </c>
      <c r="B164" s="85" t="s">
        <v>1072</v>
      </c>
      <c r="C164" s="85" t="s">
        <v>1221</v>
      </c>
      <c r="D164" s="88"/>
      <c r="E164" s="85" t="s">
        <v>883</v>
      </c>
      <c r="F164" s="85" t="s">
        <v>912</v>
      </c>
    </row>
    <row r="165" spans="1:6" ht="48" thickBot="1" x14ac:dyDescent="0.9">
      <c r="A165" s="86" t="s">
        <v>1268</v>
      </c>
      <c r="B165" s="90" t="s">
        <v>1223</v>
      </c>
      <c r="C165" s="85" t="s">
        <v>1224</v>
      </c>
      <c r="D165" s="88"/>
      <c r="E165" s="85" t="s">
        <v>904</v>
      </c>
      <c r="F165" s="85" t="s">
        <v>912</v>
      </c>
    </row>
    <row r="166" spans="1:6" ht="48" thickBot="1" x14ac:dyDescent="0.9">
      <c r="A166" s="86" t="s">
        <v>1269</v>
      </c>
      <c r="B166" s="90" t="s">
        <v>3</v>
      </c>
      <c r="C166" s="85" t="s">
        <v>1270</v>
      </c>
      <c r="D166" s="88"/>
      <c r="E166" s="85" t="s">
        <v>915</v>
      </c>
      <c r="F166" s="85" t="s">
        <v>912</v>
      </c>
    </row>
    <row r="167" spans="1:6" ht="48" thickBot="1" x14ac:dyDescent="0.9">
      <c r="A167" s="86" t="s">
        <v>1271</v>
      </c>
      <c r="B167" s="90" t="s">
        <v>1272</v>
      </c>
      <c r="C167" s="85" t="s">
        <v>1273</v>
      </c>
      <c r="D167" s="88"/>
      <c r="E167" s="85" t="s">
        <v>904</v>
      </c>
      <c r="F167" s="85" t="s">
        <v>912</v>
      </c>
    </row>
    <row r="168" spans="1:6" ht="30.25" thickBot="1" x14ac:dyDescent="0.9">
      <c r="A168" s="86" t="s">
        <v>1248</v>
      </c>
      <c r="B168" s="90" t="s">
        <v>1274</v>
      </c>
      <c r="C168" s="85" t="s">
        <v>1275</v>
      </c>
      <c r="D168" s="89" t="s">
        <v>1276</v>
      </c>
      <c r="E168" s="85" t="s">
        <v>883</v>
      </c>
      <c r="F168" s="85" t="s">
        <v>884</v>
      </c>
    </row>
    <row r="169" spans="1:6" ht="16.5" thickBot="1" x14ac:dyDescent="0.9">
      <c r="A169" s="86" t="s">
        <v>1251</v>
      </c>
      <c r="B169" s="90" t="s">
        <v>1277</v>
      </c>
      <c r="C169" s="85" t="s">
        <v>1278</v>
      </c>
      <c r="D169" s="88"/>
      <c r="E169" s="85" t="s">
        <v>915</v>
      </c>
      <c r="F169" s="85" t="s">
        <v>59</v>
      </c>
    </row>
    <row r="170" spans="1:6" ht="16.5" thickBot="1" x14ac:dyDescent="0.9">
      <c r="A170" s="86" t="s">
        <v>1253</v>
      </c>
      <c r="B170" s="90" t="s">
        <v>1279</v>
      </c>
      <c r="C170" s="85" t="s">
        <v>1280</v>
      </c>
      <c r="D170" s="88"/>
      <c r="E170" s="85" t="s">
        <v>915</v>
      </c>
      <c r="F170" s="85" t="s">
        <v>912</v>
      </c>
    </row>
    <row r="171" spans="1:6" ht="48" thickBot="1" x14ac:dyDescent="0.9">
      <c r="A171" s="86" t="s">
        <v>1255</v>
      </c>
      <c r="B171" s="90" t="s">
        <v>1281</v>
      </c>
      <c r="C171" s="85" t="s">
        <v>1234</v>
      </c>
      <c r="D171" s="85" t="s">
        <v>1282</v>
      </c>
      <c r="E171" s="85" t="s">
        <v>883</v>
      </c>
      <c r="F171" s="85" t="s">
        <v>59</v>
      </c>
    </row>
    <row r="172" spans="1:6" ht="79.5" thickBot="1" x14ac:dyDescent="0.9">
      <c r="A172" s="86" t="s">
        <v>1283</v>
      </c>
      <c r="B172" s="90" t="s">
        <v>1238</v>
      </c>
      <c r="C172" s="85" t="s">
        <v>1239</v>
      </c>
      <c r="D172" s="85" t="s">
        <v>1282</v>
      </c>
      <c r="E172" s="85" t="s">
        <v>883</v>
      </c>
      <c r="F172" s="85" t="s">
        <v>59</v>
      </c>
    </row>
    <row r="173" spans="1:6" ht="16.5" thickBot="1" x14ac:dyDescent="0.9">
      <c r="A173" s="80" t="s">
        <v>1284</v>
      </c>
      <c r="B173" s="197" t="s">
        <v>1285</v>
      </c>
      <c r="C173" s="198"/>
      <c r="D173" s="199"/>
      <c r="E173" s="85" t="s">
        <v>915</v>
      </c>
      <c r="F173" s="85" t="s">
        <v>912</v>
      </c>
    </row>
    <row r="174" spans="1:6" ht="16.5" thickBot="1" x14ac:dyDescent="0.9">
      <c r="A174" s="80" t="s">
        <v>1286</v>
      </c>
      <c r="B174" s="197" t="s">
        <v>1287</v>
      </c>
      <c r="C174" s="198"/>
      <c r="D174" s="199"/>
      <c r="E174" s="85" t="s">
        <v>883</v>
      </c>
      <c r="F174" s="85" t="s">
        <v>59</v>
      </c>
    </row>
    <row r="175" spans="1:6" ht="16.5" thickBot="1" x14ac:dyDescent="0.9">
      <c r="A175" s="109" t="s">
        <v>1288</v>
      </c>
      <c r="B175" s="126" t="s">
        <v>1289</v>
      </c>
      <c r="C175" s="206" t="s">
        <v>1290</v>
      </c>
      <c r="D175" s="207"/>
      <c r="E175" s="85" t="s">
        <v>890</v>
      </c>
      <c r="F175" s="85" t="s">
        <v>59</v>
      </c>
    </row>
    <row r="176" spans="1:6" ht="16.5" thickBot="1" x14ac:dyDescent="0.9">
      <c r="A176" s="86" t="s">
        <v>1291</v>
      </c>
      <c r="B176" s="108" t="s">
        <v>1292</v>
      </c>
      <c r="C176" s="182" t="s">
        <v>1293</v>
      </c>
      <c r="D176" s="183"/>
      <c r="E176" s="85" t="s">
        <v>883</v>
      </c>
      <c r="F176" s="85" t="s">
        <v>884</v>
      </c>
    </row>
    <row r="177" spans="1:6" ht="15.75" x14ac:dyDescent="0.75">
      <c r="A177" s="174" t="s">
        <v>1294</v>
      </c>
      <c r="B177" s="166" t="s">
        <v>64</v>
      </c>
      <c r="C177" s="174" t="s">
        <v>1295</v>
      </c>
      <c r="D177" s="95" t="s">
        <v>1082</v>
      </c>
      <c r="E177" s="174" t="s">
        <v>904</v>
      </c>
      <c r="F177" s="174" t="s">
        <v>912</v>
      </c>
    </row>
    <row r="178" spans="1:6" ht="15.75" x14ac:dyDescent="0.75">
      <c r="A178" s="178"/>
      <c r="B178" s="208"/>
      <c r="C178" s="178"/>
      <c r="D178" s="95" t="s">
        <v>1137</v>
      </c>
      <c r="E178" s="178"/>
      <c r="F178" s="178"/>
    </row>
    <row r="179" spans="1:6" ht="15.75" x14ac:dyDescent="0.75">
      <c r="A179" s="178"/>
      <c r="B179" s="208"/>
      <c r="C179" s="178"/>
      <c r="D179" s="95" t="s">
        <v>1296</v>
      </c>
      <c r="E179" s="178"/>
      <c r="F179" s="178"/>
    </row>
    <row r="180" spans="1:6" ht="16.5" thickBot="1" x14ac:dyDescent="0.9">
      <c r="A180" s="175"/>
      <c r="B180" s="167"/>
      <c r="C180" s="175"/>
      <c r="D180" s="85" t="s">
        <v>1297</v>
      </c>
      <c r="E180" s="175"/>
      <c r="F180" s="175"/>
    </row>
    <row r="181" spans="1:6" ht="16.5" thickBot="1" x14ac:dyDescent="0.9">
      <c r="A181" s="86" t="s">
        <v>1298</v>
      </c>
      <c r="B181" s="87" t="s">
        <v>1112</v>
      </c>
      <c r="C181" s="85" t="s">
        <v>1299</v>
      </c>
      <c r="D181" s="88"/>
      <c r="E181" s="85" t="s">
        <v>883</v>
      </c>
      <c r="F181" s="85" t="s">
        <v>59</v>
      </c>
    </row>
    <row r="182" spans="1:6" ht="32.25" thickBot="1" x14ac:dyDescent="0.9">
      <c r="A182" s="86" t="s">
        <v>1300</v>
      </c>
      <c r="B182" s="90" t="s">
        <v>1301</v>
      </c>
      <c r="C182" s="85" t="s">
        <v>1302</v>
      </c>
      <c r="D182" s="88"/>
      <c r="E182" s="85" t="s">
        <v>915</v>
      </c>
      <c r="F182" s="85" t="s">
        <v>59</v>
      </c>
    </row>
    <row r="183" spans="1:6" ht="16.5" thickBot="1" x14ac:dyDescent="0.9">
      <c r="A183" s="86" t="s">
        <v>1303</v>
      </c>
      <c r="B183" s="90" t="s">
        <v>1304</v>
      </c>
      <c r="C183" s="85" t="s">
        <v>1305</v>
      </c>
      <c r="D183" s="89" t="s">
        <v>1306</v>
      </c>
      <c r="E183" s="85" t="s">
        <v>915</v>
      </c>
      <c r="F183" s="85" t="s">
        <v>912</v>
      </c>
    </row>
    <row r="184" spans="1:6" ht="111" thickBot="1" x14ac:dyDescent="0.9">
      <c r="A184" s="86" t="s">
        <v>1307</v>
      </c>
      <c r="B184" s="90" t="s">
        <v>1308</v>
      </c>
      <c r="C184" s="85" t="s">
        <v>1309</v>
      </c>
      <c r="D184" s="88"/>
      <c r="E184" s="85" t="s">
        <v>915</v>
      </c>
      <c r="F184" s="85" t="s">
        <v>912</v>
      </c>
    </row>
    <row r="185" spans="1:6" ht="32.25" thickBot="1" x14ac:dyDescent="0.9">
      <c r="A185" s="86" t="s">
        <v>1310</v>
      </c>
      <c r="B185" s="108" t="s">
        <v>1311</v>
      </c>
      <c r="C185" s="85" t="s">
        <v>1312</v>
      </c>
      <c r="D185" s="99"/>
      <c r="E185" s="85" t="s">
        <v>915</v>
      </c>
      <c r="F185" s="85" t="s">
        <v>912</v>
      </c>
    </row>
    <row r="186" spans="1:6" ht="32.25" thickBot="1" x14ac:dyDescent="0.9">
      <c r="A186" s="86" t="s">
        <v>1313</v>
      </c>
      <c r="B186" s="90" t="s">
        <v>1314</v>
      </c>
      <c r="C186" s="85" t="s">
        <v>1315</v>
      </c>
      <c r="D186" s="85" t="s">
        <v>68</v>
      </c>
      <c r="E186" s="85" t="s">
        <v>904</v>
      </c>
      <c r="F186" s="85" t="s">
        <v>912</v>
      </c>
    </row>
    <row r="187" spans="1:6" ht="16.5" thickBot="1" x14ac:dyDescent="0.9">
      <c r="A187" s="109" t="s">
        <v>1316</v>
      </c>
      <c r="B187" s="132" t="s">
        <v>1317</v>
      </c>
      <c r="C187" s="85" t="s">
        <v>1317</v>
      </c>
      <c r="D187" s="88"/>
      <c r="E187" s="85" t="s">
        <v>890</v>
      </c>
      <c r="F187" s="85" t="s">
        <v>59</v>
      </c>
    </row>
    <row r="188" spans="1:6" ht="15.75" x14ac:dyDescent="0.75">
      <c r="A188" s="174" t="s">
        <v>1318</v>
      </c>
      <c r="B188" s="168" t="s">
        <v>1319</v>
      </c>
      <c r="C188" s="174" t="s">
        <v>1320</v>
      </c>
      <c r="D188" s="95" t="s">
        <v>1099</v>
      </c>
      <c r="E188" s="174" t="s">
        <v>883</v>
      </c>
      <c r="F188" s="174" t="s">
        <v>884</v>
      </c>
    </row>
    <row r="189" spans="1:6" ht="31.5" x14ac:dyDescent="0.75">
      <c r="A189" s="178"/>
      <c r="B189" s="169"/>
      <c r="C189" s="178"/>
      <c r="D189" s="95" t="s">
        <v>1321</v>
      </c>
      <c r="E189" s="178"/>
      <c r="F189" s="178"/>
    </row>
    <row r="190" spans="1:6" ht="15.75" x14ac:dyDescent="0.75">
      <c r="A190" s="178"/>
      <c r="B190" s="169"/>
      <c r="C190" s="178"/>
      <c r="D190" s="95" t="s">
        <v>1322</v>
      </c>
      <c r="E190" s="178"/>
      <c r="F190" s="178"/>
    </row>
    <row r="191" spans="1:6" ht="16.5" thickBot="1" x14ac:dyDescent="0.9">
      <c r="A191" s="175"/>
      <c r="B191" s="170"/>
      <c r="C191" s="175"/>
      <c r="D191" s="85" t="s">
        <v>1323</v>
      </c>
      <c r="E191" s="175"/>
      <c r="F191" s="175"/>
    </row>
    <row r="192" spans="1:6" ht="32.25" thickBot="1" x14ac:dyDescent="0.9">
      <c r="A192" s="86" t="s">
        <v>1324</v>
      </c>
      <c r="B192" s="108" t="s">
        <v>1325</v>
      </c>
      <c r="C192" s="85" t="s">
        <v>1326</v>
      </c>
      <c r="D192" s="88"/>
      <c r="E192" s="85" t="s">
        <v>915</v>
      </c>
      <c r="F192" s="85" t="s">
        <v>912</v>
      </c>
    </row>
    <row r="193" spans="1:6" ht="16.5" thickBot="1" x14ac:dyDescent="0.9">
      <c r="A193" s="86" t="s">
        <v>1327</v>
      </c>
      <c r="B193" s="108" t="s">
        <v>1328</v>
      </c>
      <c r="C193" s="85" t="s">
        <v>1329</v>
      </c>
      <c r="D193" s="88"/>
      <c r="E193" s="85" t="s">
        <v>883</v>
      </c>
      <c r="F193" s="85" t="s">
        <v>59</v>
      </c>
    </row>
    <row r="194" spans="1:6" ht="48" thickBot="1" x14ac:dyDescent="0.9">
      <c r="A194" s="86" t="s">
        <v>1330</v>
      </c>
      <c r="B194" s="90" t="s">
        <v>1116</v>
      </c>
      <c r="C194" s="85" t="s">
        <v>1331</v>
      </c>
      <c r="D194" s="88"/>
      <c r="E194" s="85" t="s">
        <v>915</v>
      </c>
      <c r="F194" s="85" t="s">
        <v>59</v>
      </c>
    </row>
    <row r="195" spans="1:6" ht="15.75" x14ac:dyDescent="0.75">
      <c r="A195" s="174" t="s">
        <v>1332</v>
      </c>
      <c r="B195" s="160" t="s">
        <v>1333</v>
      </c>
      <c r="C195" s="174" t="s">
        <v>1334</v>
      </c>
      <c r="D195" s="95" t="s">
        <v>1335</v>
      </c>
      <c r="E195" s="174" t="s">
        <v>915</v>
      </c>
      <c r="F195" s="174" t="s">
        <v>912</v>
      </c>
    </row>
    <row r="196" spans="1:6" ht="15.75" x14ac:dyDescent="0.75">
      <c r="A196" s="178"/>
      <c r="B196" s="161"/>
      <c r="C196" s="178"/>
      <c r="D196" s="95" t="s">
        <v>1099</v>
      </c>
      <c r="E196" s="178"/>
      <c r="F196" s="178"/>
    </row>
    <row r="197" spans="1:6" ht="16.5" thickBot="1" x14ac:dyDescent="0.9">
      <c r="A197" s="175"/>
      <c r="B197" s="162"/>
      <c r="C197" s="175"/>
      <c r="D197" s="85" t="s">
        <v>1137</v>
      </c>
      <c r="E197" s="175"/>
      <c r="F197" s="175"/>
    </row>
    <row r="198" spans="1:6" ht="31.5" x14ac:dyDescent="0.75">
      <c r="A198" s="204" t="s">
        <v>1336</v>
      </c>
      <c r="B198" s="204" t="s">
        <v>1337</v>
      </c>
      <c r="C198" s="95" t="s">
        <v>1338</v>
      </c>
      <c r="D198" s="176"/>
      <c r="E198" s="174" t="s">
        <v>904</v>
      </c>
      <c r="F198" s="174" t="s">
        <v>59</v>
      </c>
    </row>
    <row r="199" spans="1:6" ht="48" thickBot="1" x14ac:dyDescent="0.9">
      <c r="A199" s="205"/>
      <c r="B199" s="205"/>
      <c r="C199" s="85" t="s">
        <v>1339</v>
      </c>
      <c r="D199" s="177"/>
      <c r="E199" s="175"/>
      <c r="F199" s="175"/>
    </row>
    <row r="200" spans="1:6" ht="15.75" x14ac:dyDescent="0.75">
      <c r="A200" s="174" t="s">
        <v>1340</v>
      </c>
      <c r="B200" s="160" t="s">
        <v>1341</v>
      </c>
      <c r="C200" s="174" t="s">
        <v>1341</v>
      </c>
      <c r="D200" s="95" t="s">
        <v>1099</v>
      </c>
      <c r="E200" s="174" t="s">
        <v>915</v>
      </c>
      <c r="F200" s="174" t="s">
        <v>912</v>
      </c>
    </row>
    <row r="201" spans="1:6" ht="16.5" thickBot="1" x14ac:dyDescent="0.9">
      <c r="A201" s="175"/>
      <c r="B201" s="162"/>
      <c r="C201" s="175"/>
      <c r="D201" s="85" t="s">
        <v>1342</v>
      </c>
      <c r="E201" s="175"/>
      <c r="F201" s="175"/>
    </row>
    <row r="202" spans="1:6" ht="16.5" thickBot="1" x14ac:dyDescent="0.9">
      <c r="A202" s="86" t="s">
        <v>1343</v>
      </c>
      <c r="B202" s="87" t="s">
        <v>1344</v>
      </c>
      <c r="C202" s="85" t="s">
        <v>1345</v>
      </c>
      <c r="D202" s="88"/>
      <c r="E202" s="85" t="s">
        <v>883</v>
      </c>
      <c r="F202" s="85" t="s">
        <v>884</v>
      </c>
    </row>
    <row r="203" spans="1:6" ht="15.75" x14ac:dyDescent="0.75">
      <c r="A203" s="174" t="s">
        <v>1346</v>
      </c>
      <c r="B203" s="160" t="s">
        <v>1347</v>
      </c>
      <c r="C203" s="174" t="s">
        <v>1348</v>
      </c>
      <c r="D203" s="95" t="s">
        <v>1099</v>
      </c>
      <c r="E203" s="174" t="s">
        <v>915</v>
      </c>
      <c r="F203" s="174" t="s">
        <v>912</v>
      </c>
    </row>
    <row r="204" spans="1:6" ht="32.25" thickBot="1" x14ac:dyDescent="0.9">
      <c r="A204" s="175"/>
      <c r="B204" s="162"/>
      <c r="C204" s="175"/>
      <c r="D204" s="85" t="s">
        <v>1349</v>
      </c>
      <c r="E204" s="175"/>
      <c r="F204" s="175"/>
    </row>
    <row r="205" spans="1:6" ht="16.5" thickBot="1" x14ac:dyDescent="0.9">
      <c r="A205" s="86" t="s">
        <v>1350</v>
      </c>
      <c r="B205" s="90" t="s">
        <v>1351</v>
      </c>
      <c r="C205" s="85" t="s">
        <v>1352</v>
      </c>
      <c r="D205" s="88"/>
      <c r="E205" s="85" t="s">
        <v>915</v>
      </c>
      <c r="F205" s="85" t="s">
        <v>59</v>
      </c>
    </row>
    <row r="206" spans="1:6" ht="15.75" x14ac:dyDescent="0.75">
      <c r="A206" s="174" t="s">
        <v>1353</v>
      </c>
      <c r="B206" s="160" t="s">
        <v>1354</v>
      </c>
      <c r="C206" s="174" t="s">
        <v>1355</v>
      </c>
      <c r="D206" s="95" t="s">
        <v>1082</v>
      </c>
      <c r="E206" s="174" t="s">
        <v>915</v>
      </c>
      <c r="F206" s="174" t="s">
        <v>59</v>
      </c>
    </row>
    <row r="207" spans="1:6" ht="15.75" x14ac:dyDescent="0.75">
      <c r="A207" s="178"/>
      <c r="B207" s="161"/>
      <c r="C207" s="178"/>
      <c r="D207" s="95" t="s">
        <v>1099</v>
      </c>
      <c r="E207" s="178"/>
      <c r="F207" s="178"/>
    </row>
    <row r="208" spans="1:6" ht="16.5" thickBot="1" x14ac:dyDescent="0.9">
      <c r="A208" s="175"/>
      <c r="B208" s="162"/>
      <c r="C208" s="175"/>
      <c r="D208" s="85" t="s">
        <v>1137</v>
      </c>
      <c r="E208" s="175"/>
      <c r="F208" s="175"/>
    </row>
    <row r="209" spans="1:6" ht="15.75" x14ac:dyDescent="0.75">
      <c r="A209" s="174" t="s">
        <v>1356</v>
      </c>
      <c r="B209" s="160" t="s">
        <v>1357</v>
      </c>
      <c r="C209" s="174" t="s">
        <v>1358</v>
      </c>
      <c r="D209" s="95" t="s">
        <v>1099</v>
      </c>
      <c r="E209" s="174" t="s">
        <v>915</v>
      </c>
      <c r="F209" s="174" t="s">
        <v>912</v>
      </c>
    </row>
    <row r="210" spans="1:6" ht="15.75" x14ac:dyDescent="0.75">
      <c r="A210" s="178"/>
      <c r="B210" s="161"/>
      <c r="C210" s="178"/>
      <c r="D210" s="95" t="s">
        <v>1359</v>
      </c>
      <c r="E210" s="178"/>
      <c r="F210" s="178"/>
    </row>
    <row r="211" spans="1:6" ht="15.75" x14ac:dyDescent="0.75">
      <c r="A211" s="178"/>
      <c r="B211" s="161"/>
      <c r="C211" s="178"/>
      <c r="D211" s="95" t="s">
        <v>1360</v>
      </c>
      <c r="E211" s="178"/>
      <c r="F211" s="178"/>
    </row>
    <row r="212" spans="1:6" ht="16.5" thickBot="1" x14ac:dyDescent="0.9">
      <c r="A212" s="175"/>
      <c r="B212" s="162"/>
      <c r="C212" s="175"/>
      <c r="D212" s="85" t="s">
        <v>1361</v>
      </c>
      <c r="E212" s="175"/>
      <c r="F212" s="175"/>
    </row>
    <row r="213" spans="1:6" ht="48" thickBot="1" x14ac:dyDescent="0.9">
      <c r="A213" s="86" t="s">
        <v>1362</v>
      </c>
      <c r="B213" s="90" t="s">
        <v>1363</v>
      </c>
      <c r="C213" s="85" t="s">
        <v>1364</v>
      </c>
      <c r="D213" s="88"/>
      <c r="E213" s="85" t="s">
        <v>904</v>
      </c>
      <c r="F213" s="85" t="s">
        <v>912</v>
      </c>
    </row>
    <row r="214" spans="1:6" ht="16.5" thickBot="1" x14ac:dyDescent="0.9">
      <c r="A214" s="109" t="s">
        <v>1365</v>
      </c>
      <c r="B214" s="132" t="s">
        <v>1366</v>
      </c>
      <c r="C214" s="85" t="s">
        <v>1367</v>
      </c>
      <c r="D214" s="88"/>
      <c r="E214" s="85" t="s">
        <v>904</v>
      </c>
      <c r="F214" s="85" t="s">
        <v>59</v>
      </c>
    </row>
    <row r="215" spans="1:6" ht="15.75" x14ac:dyDescent="0.75">
      <c r="A215" s="174" t="s">
        <v>1368</v>
      </c>
      <c r="B215" s="202" t="s">
        <v>1369</v>
      </c>
      <c r="C215" s="174" t="s">
        <v>1370</v>
      </c>
      <c r="D215" s="135" t="s">
        <v>1082</v>
      </c>
      <c r="E215" s="174" t="s">
        <v>904</v>
      </c>
      <c r="F215" s="174" t="s">
        <v>912</v>
      </c>
    </row>
    <row r="216" spans="1:6" ht="16.5" thickBot="1" x14ac:dyDescent="0.9">
      <c r="A216" s="175"/>
      <c r="B216" s="203"/>
      <c r="C216" s="175"/>
      <c r="D216" s="105" t="s">
        <v>1099</v>
      </c>
      <c r="E216" s="175"/>
      <c r="F216" s="175"/>
    </row>
    <row r="217" spans="1:6" ht="15.75" x14ac:dyDescent="0.75">
      <c r="A217" s="174" t="s">
        <v>1371</v>
      </c>
      <c r="B217" s="202" t="s">
        <v>1372</v>
      </c>
      <c r="C217" s="174" t="s">
        <v>1373</v>
      </c>
      <c r="D217" s="95" t="s">
        <v>1099</v>
      </c>
      <c r="E217" s="174" t="s">
        <v>883</v>
      </c>
      <c r="F217" s="174" t="s">
        <v>59</v>
      </c>
    </row>
    <row r="218" spans="1:6" ht="16.5" thickBot="1" x14ac:dyDescent="0.9">
      <c r="A218" s="175"/>
      <c r="B218" s="203"/>
      <c r="C218" s="175"/>
      <c r="D218" s="87" t="s">
        <v>1374</v>
      </c>
      <c r="E218" s="175"/>
      <c r="F218" s="175"/>
    </row>
    <row r="219" spans="1:6" ht="16.5" thickBot="1" x14ac:dyDescent="0.9">
      <c r="A219" s="86" t="s">
        <v>1375</v>
      </c>
      <c r="B219" s="105" t="s">
        <v>1376</v>
      </c>
      <c r="C219" s="85" t="s">
        <v>1377</v>
      </c>
      <c r="D219" s="88"/>
      <c r="E219" s="85" t="s">
        <v>915</v>
      </c>
      <c r="F219" s="85" t="s">
        <v>912</v>
      </c>
    </row>
    <row r="220" spans="1:6" ht="32.25" thickBot="1" x14ac:dyDescent="0.9">
      <c r="A220" s="86" t="s">
        <v>1378</v>
      </c>
      <c r="B220" s="90" t="s">
        <v>1379</v>
      </c>
      <c r="C220" s="85" t="s">
        <v>1380</v>
      </c>
      <c r="D220" s="85" t="s">
        <v>1381</v>
      </c>
      <c r="E220" s="85" t="s">
        <v>915</v>
      </c>
      <c r="F220" s="85" t="s">
        <v>912</v>
      </c>
    </row>
    <row r="221" spans="1:6" ht="16.5" thickBot="1" x14ac:dyDescent="0.9">
      <c r="A221" s="86" t="s">
        <v>1382</v>
      </c>
      <c r="B221" s="92" t="s">
        <v>1383</v>
      </c>
      <c r="C221" s="85" t="s">
        <v>1384</v>
      </c>
      <c r="D221" s="88"/>
      <c r="E221" s="85" t="s">
        <v>915</v>
      </c>
      <c r="F221" s="85" t="s">
        <v>59</v>
      </c>
    </row>
    <row r="222" spans="1:6" ht="16.5" thickBot="1" x14ac:dyDescent="0.9">
      <c r="A222" s="86" t="s">
        <v>1385</v>
      </c>
      <c r="B222" s="105" t="s">
        <v>1386</v>
      </c>
      <c r="C222" s="85" t="s">
        <v>1387</v>
      </c>
      <c r="D222" s="88"/>
      <c r="E222" s="85" t="s">
        <v>883</v>
      </c>
      <c r="F222" s="85" t="s">
        <v>59</v>
      </c>
    </row>
    <row r="223" spans="1:6" ht="32.25" thickBot="1" x14ac:dyDescent="0.9">
      <c r="A223" s="86" t="s">
        <v>1388</v>
      </c>
      <c r="B223" s="90" t="s">
        <v>1389</v>
      </c>
      <c r="C223" s="85" t="s">
        <v>1390</v>
      </c>
      <c r="D223" s="88"/>
      <c r="E223" s="85" t="s">
        <v>915</v>
      </c>
      <c r="F223" s="85" t="s">
        <v>59</v>
      </c>
    </row>
    <row r="224" spans="1:6" ht="16.5" thickBot="1" x14ac:dyDescent="0.9">
      <c r="A224" s="109" t="s">
        <v>1391</v>
      </c>
      <c r="B224" s="132" t="s">
        <v>1392</v>
      </c>
      <c r="C224" s="85" t="s">
        <v>1393</v>
      </c>
      <c r="D224" s="88"/>
      <c r="E224" s="85" t="s">
        <v>915</v>
      </c>
      <c r="F224" s="85" t="s">
        <v>59</v>
      </c>
    </row>
    <row r="225" spans="1:6" ht="16.5" thickBot="1" x14ac:dyDescent="0.9">
      <c r="A225" s="136" t="s">
        <v>1394</v>
      </c>
      <c r="B225" s="137" t="s">
        <v>1395</v>
      </c>
      <c r="C225" s="85" t="s">
        <v>1396</v>
      </c>
      <c r="D225" s="88"/>
      <c r="E225" s="85" t="s">
        <v>904</v>
      </c>
      <c r="F225" s="85" t="s">
        <v>59</v>
      </c>
    </row>
    <row r="226" spans="1:6" ht="32.25" thickBot="1" x14ac:dyDescent="0.9">
      <c r="A226" s="86" t="s">
        <v>1397</v>
      </c>
      <c r="B226" s="90" t="s">
        <v>1398</v>
      </c>
      <c r="C226" s="85" t="s">
        <v>1399</v>
      </c>
      <c r="D226" s="88"/>
      <c r="E226" s="85" t="s">
        <v>915</v>
      </c>
      <c r="F226" s="85" t="s">
        <v>59</v>
      </c>
    </row>
    <row r="227" spans="1:6" ht="32.25" thickBot="1" x14ac:dyDescent="0.9">
      <c r="A227" s="86" t="s">
        <v>1400</v>
      </c>
      <c r="B227" s="90" t="s">
        <v>1401</v>
      </c>
      <c r="C227" s="85" t="s">
        <v>1402</v>
      </c>
      <c r="D227" s="85" t="s">
        <v>1403</v>
      </c>
      <c r="E227" s="85" t="s">
        <v>904</v>
      </c>
      <c r="F227" s="85" t="s">
        <v>59</v>
      </c>
    </row>
    <row r="228" spans="1:6" ht="15.75" x14ac:dyDescent="0.75">
      <c r="A228" s="174" t="s">
        <v>1404</v>
      </c>
      <c r="B228" s="160" t="s">
        <v>1405</v>
      </c>
      <c r="C228" s="174" t="s">
        <v>1406</v>
      </c>
      <c r="D228" s="95" t="s">
        <v>1099</v>
      </c>
      <c r="E228" s="174" t="s">
        <v>915</v>
      </c>
      <c r="F228" s="174" t="s">
        <v>59</v>
      </c>
    </row>
    <row r="229" spans="1:6" ht="15.75" x14ac:dyDescent="0.75">
      <c r="A229" s="178"/>
      <c r="B229" s="161"/>
      <c r="C229" s="178"/>
      <c r="D229" s="95" t="s">
        <v>1407</v>
      </c>
      <c r="E229" s="178"/>
      <c r="F229" s="178"/>
    </row>
    <row r="230" spans="1:6" ht="16.5" thickBot="1" x14ac:dyDescent="0.9">
      <c r="A230" s="175"/>
      <c r="B230" s="162"/>
      <c r="C230" s="175"/>
      <c r="D230" s="85" t="s">
        <v>1408</v>
      </c>
      <c r="E230" s="175"/>
      <c r="F230" s="175"/>
    </row>
    <row r="231" spans="1:6" ht="32.25" thickBot="1" x14ac:dyDescent="0.9">
      <c r="A231" s="86" t="s">
        <v>1409</v>
      </c>
      <c r="B231" s="90" t="s">
        <v>1410</v>
      </c>
      <c r="C231" s="85" t="s">
        <v>1411</v>
      </c>
      <c r="D231" s="85" t="s">
        <v>1412</v>
      </c>
      <c r="E231" s="85" t="s">
        <v>915</v>
      </c>
      <c r="F231" s="85" t="s">
        <v>59</v>
      </c>
    </row>
    <row r="232" spans="1:6" ht="16.5" thickBot="1" x14ac:dyDescent="0.9">
      <c r="A232" s="86" t="s">
        <v>1413</v>
      </c>
      <c r="B232" s="90" t="s">
        <v>1414</v>
      </c>
      <c r="C232" s="85" t="s">
        <v>1415</v>
      </c>
      <c r="D232" s="88"/>
      <c r="E232" s="85" t="s">
        <v>915</v>
      </c>
      <c r="F232" s="85" t="s">
        <v>59</v>
      </c>
    </row>
    <row r="233" spans="1:6" ht="16.5" thickBot="1" x14ac:dyDescent="0.9">
      <c r="A233" s="136" t="s">
        <v>1416</v>
      </c>
      <c r="B233" s="137" t="s">
        <v>1417</v>
      </c>
      <c r="C233" s="85" t="s">
        <v>1418</v>
      </c>
      <c r="D233" s="88"/>
      <c r="E233" s="85" t="s">
        <v>904</v>
      </c>
      <c r="F233" s="85" t="s">
        <v>912</v>
      </c>
    </row>
    <row r="234" spans="1:6" ht="32.25" thickBot="1" x14ac:dyDescent="0.9">
      <c r="A234" s="86" t="s">
        <v>1419</v>
      </c>
      <c r="B234" s="90" t="s">
        <v>1398</v>
      </c>
      <c r="C234" s="85" t="s">
        <v>1420</v>
      </c>
      <c r="D234" s="88"/>
      <c r="E234" s="85" t="s">
        <v>915</v>
      </c>
      <c r="F234" s="85" t="s">
        <v>59</v>
      </c>
    </row>
    <row r="235" spans="1:6" ht="16.5" thickBot="1" x14ac:dyDescent="0.9">
      <c r="A235" s="86" t="s">
        <v>1421</v>
      </c>
      <c r="B235" s="90" t="s">
        <v>1422</v>
      </c>
      <c r="C235" s="85" t="s">
        <v>1423</v>
      </c>
      <c r="D235" s="85" t="s">
        <v>1412</v>
      </c>
      <c r="E235" s="85" t="s">
        <v>883</v>
      </c>
      <c r="F235" s="85" t="s">
        <v>884</v>
      </c>
    </row>
    <row r="236" spans="1:6" ht="16.5" thickBot="1" x14ac:dyDescent="0.9">
      <c r="A236" s="86" t="s">
        <v>1424</v>
      </c>
      <c r="B236" s="90" t="s">
        <v>169</v>
      </c>
      <c r="C236" s="85" t="s">
        <v>1425</v>
      </c>
      <c r="D236" s="88"/>
      <c r="E236" s="85" t="s">
        <v>915</v>
      </c>
      <c r="F236" s="85" t="s">
        <v>59</v>
      </c>
    </row>
    <row r="237" spans="1:6" ht="48" thickBot="1" x14ac:dyDescent="0.9">
      <c r="A237" s="109" t="s">
        <v>1426</v>
      </c>
      <c r="B237" s="132" t="s">
        <v>1427</v>
      </c>
      <c r="C237" s="85" t="s">
        <v>1428</v>
      </c>
      <c r="D237" s="88"/>
      <c r="E237" s="85" t="s">
        <v>904</v>
      </c>
      <c r="F237" s="85" t="s">
        <v>912</v>
      </c>
    </row>
    <row r="238" spans="1:6" ht="30.25" thickBot="1" x14ac:dyDescent="0.9">
      <c r="A238" s="86" t="s">
        <v>1429</v>
      </c>
      <c r="B238" s="90" t="s">
        <v>1430</v>
      </c>
      <c r="C238" s="85" t="s">
        <v>1431</v>
      </c>
      <c r="D238" s="89" t="s">
        <v>1432</v>
      </c>
      <c r="E238" s="85" t="s">
        <v>915</v>
      </c>
      <c r="F238" s="85" t="s">
        <v>59</v>
      </c>
    </row>
    <row r="239" spans="1:6" ht="16.5" thickBot="1" x14ac:dyDescent="0.9">
      <c r="A239" s="86" t="s">
        <v>1433</v>
      </c>
      <c r="B239" s="90" t="s">
        <v>24</v>
      </c>
      <c r="C239" s="85" t="s">
        <v>1434</v>
      </c>
      <c r="D239" s="88"/>
      <c r="E239" s="85" t="s">
        <v>915</v>
      </c>
      <c r="F239" s="85" t="s">
        <v>912</v>
      </c>
    </row>
    <row r="240" spans="1:6" ht="16.5" thickBot="1" x14ac:dyDescent="0.9">
      <c r="A240" s="86" t="s">
        <v>1435</v>
      </c>
      <c r="B240" s="90" t="s">
        <v>1436</v>
      </c>
      <c r="C240" s="85" t="s">
        <v>1437</v>
      </c>
      <c r="D240" s="88"/>
      <c r="E240" s="85" t="s">
        <v>915</v>
      </c>
      <c r="F240" s="85" t="s">
        <v>912</v>
      </c>
    </row>
    <row r="241" spans="1:6" ht="32.25" thickBot="1" x14ac:dyDescent="0.9">
      <c r="A241" s="86" t="s">
        <v>1438</v>
      </c>
      <c r="B241" s="90" t="s">
        <v>1439</v>
      </c>
      <c r="C241" s="85" t="s">
        <v>1440</v>
      </c>
      <c r="D241" s="89" t="s">
        <v>1441</v>
      </c>
      <c r="E241" s="85" t="s">
        <v>1442</v>
      </c>
      <c r="F241" s="85" t="s">
        <v>912</v>
      </c>
    </row>
    <row r="242" spans="1:6" ht="15.75" x14ac:dyDescent="0.75">
      <c r="A242" s="174" t="s">
        <v>1443</v>
      </c>
      <c r="B242" s="160" t="s">
        <v>1134</v>
      </c>
      <c r="C242" s="174" t="s">
        <v>1444</v>
      </c>
      <c r="D242" s="95" t="s">
        <v>1082</v>
      </c>
      <c r="E242" s="174" t="s">
        <v>904</v>
      </c>
      <c r="F242" s="174" t="s">
        <v>59</v>
      </c>
    </row>
    <row r="243" spans="1:6" ht="15.75" x14ac:dyDescent="0.75">
      <c r="A243" s="178"/>
      <c r="B243" s="161"/>
      <c r="C243" s="178"/>
      <c r="D243" s="95" t="s">
        <v>1099</v>
      </c>
      <c r="E243" s="178"/>
      <c r="F243" s="178"/>
    </row>
    <row r="244" spans="1:6" ht="16.5" thickBot="1" x14ac:dyDescent="0.9">
      <c r="A244" s="175"/>
      <c r="B244" s="162"/>
      <c r="C244" s="175"/>
      <c r="D244" s="85" t="s">
        <v>1137</v>
      </c>
      <c r="E244" s="175"/>
      <c r="F244" s="175"/>
    </row>
    <row r="245" spans="1:6" ht="15.75" x14ac:dyDescent="0.75">
      <c r="A245" s="174" t="s">
        <v>1445</v>
      </c>
      <c r="B245" s="160" t="s">
        <v>62</v>
      </c>
      <c r="C245" s="174" t="s">
        <v>1446</v>
      </c>
      <c r="D245" s="95" t="s">
        <v>1082</v>
      </c>
      <c r="E245" s="174" t="s">
        <v>915</v>
      </c>
      <c r="F245" s="174" t="s">
        <v>912</v>
      </c>
    </row>
    <row r="246" spans="1:6" ht="15.75" x14ac:dyDescent="0.75">
      <c r="A246" s="178"/>
      <c r="B246" s="161"/>
      <c r="C246" s="178"/>
      <c r="D246" s="95" t="s">
        <v>1099</v>
      </c>
      <c r="E246" s="178"/>
      <c r="F246" s="178"/>
    </row>
    <row r="247" spans="1:6" ht="16.5" thickBot="1" x14ac:dyDescent="0.9">
      <c r="A247" s="175"/>
      <c r="B247" s="162"/>
      <c r="C247" s="175"/>
      <c r="D247" s="85" t="s">
        <v>1137</v>
      </c>
      <c r="E247" s="175"/>
      <c r="F247" s="175"/>
    </row>
    <row r="248" spans="1:6" ht="16.5" thickBot="1" x14ac:dyDescent="0.9">
      <c r="A248" s="109" t="s">
        <v>1447</v>
      </c>
      <c r="B248" s="132" t="s">
        <v>1448</v>
      </c>
      <c r="C248" s="88"/>
      <c r="D248" s="88"/>
      <c r="E248" s="85" t="s">
        <v>915</v>
      </c>
      <c r="F248" s="85" t="s">
        <v>912</v>
      </c>
    </row>
    <row r="249" spans="1:6" ht="16.5" thickBot="1" x14ac:dyDescent="0.9">
      <c r="A249" s="86" t="s">
        <v>1449</v>
      </c>
      <c r="B249" s="90" t="s">
        <v>1450</v>
      </c>
      <c r="C249" s="85" t="s">
        <v>1451</v>
      </c>
      <c r="D249" s="88"/>
      <c r="E249" s="85" t="s">
        <v>915</v>
      </c>
      <c r="F249" s="85" t="s">
        <v>912</v>
      </c>
    </row>
    <row r="250" spans="1:6" ht="79.5" thickBot="1" x14ac:dyDescent="0.9">
      <c r="A250" s="86" t="s">
        <v>1452</v>
      </c>
      <c r="B250" s="90" t="s">
        <v>1453</v>
      </c>
      <c r="C250" s="85" t="s">
        <v>1454</v>
      </c>
      <c r="D250" s="88"/>
      <c r="E250" s="85" t="s">
        <v>915</v>
      </c>
      <c r="F250" s="85" t="s">
        <v>59</v>
      </c>
    </row>
    <row r="251" spans="1:6" ht="16.5" thickBot="1" x14ac:dyDescent="0.9">
      <c r="A251" s="86" t="s">
        <v>1455</v>
      </c>
      <c r="B251" s="90" t="s">
        <v>1456</v>
      </c>
      <c r="C251" s="85" t="s">
        <v>1457</v>
      </c>
      <c r="D251" s="88"/>
      <c r="E251" s="85" t="s">
        <v>915</v>
      </c>
      <c r="F251" s="85" t="s">
        <v>59</v>
      </c>
    </row>
    <row r="252" spans="1:6" ht="32.25" thickBot="1" x14ac:dyDescent="0.9">
      <c r="A252" s="86" t="s">
        <v>1458</v>
      </c>
      <c r="B252" s="90" t="s">
        <v>1459</v>
      </c>
      <c r="C252" s="85" t="s">
        <v>1460</v>
      </c>
      <c r="D252" s="88"/>
      <c r="E252" s="85" t="s">
        <v>915</v>
      </c>
      <c r="F252" s="85" t="s">
        <v>59</v>
      </c>
    </row>
    <row r="253" spans="1:6" ht="16.5" thickBot="1" x14ac:dyDescent="0.9">
      <c r="A253" s="86" t="s">
        <v>1461</v>
      </c>
      <c r="B253" s="85" t="s">
        <v>1439</v>
      </c>
      <c r="C253" s="88"/>
      <c r="D253" s="88"/>
      <c r="E253" s="85" t="s">
        <v>915</v>
      </c>
      <c r="F253" s="85" t="s">
        <v>912</v>
      </c>
    </row>
    <row r="254" spans="1:6" ht="16.5" thickBot="1" x14ac:dyDescent="0.9">
      <c r="A254" s="86" t="s">
        <v>1462</v>
      </c>
      <c r="B254" s="90" t="s">
        <v>1463</v>
      </c>
      <c r="C254" s="85" t="s">
        <v>1464</v>
      </c>
      <c r="D254" s="89" t="s">
        <v>1465</v>
      </c>
      <c r="E254" s="85" t="s">
        <v>915</v>
      </c>
      <c r="F254" s="85" t="s">
        <v>59</v>
      </c>
    </row>
    <row r="255" spans="1:6" ht="48" thickBot="1" x14ac:dyDescent="0.9">
      <c r="A255" s="86" t="s">
        <v>1466</v>
      </c>
      <c r="B255" s="90" t="s">
        <v>169</v>
      </c>
      <c r="C255" s="85" t="s">
        <v>1467</v>
      </c>
      <c r="D255" s="88"/>
      <c r="E255" s="85" t="s">
        <v>915</v>
      </c>
      <c r="F255" s="85" t="s">
        <v>59</v>
      </c>
    </row>
    <row r="256" spans="1:6" ht="16.5" thickBot="1" x14ac:dyDescent="0.9">
      <c r="A256" s="86" t="s">
        <v>1468</v>
      </c>
      <c r="B256" s="90" t="s">
        <v>1469</v>
      </c>
      <c r="C256" s="85" t="s">
        <v>1470</v>
      </c>
      <c r="D256" s="88"/>
      <c r="E256" s="85" t="s">
        <v>915</v>
      </c>
      <c r="F256" s="85" t="s">
        <v>912</v>
      </c>
    </row>
    <row r="257" spans="1:6" ht="15.75" x14ac:dyDescent="0.75">
      <c r="A257" s="174" t="s">
        <v>1471</v>
      </c>
      <c r="B257" s="160" t="s">
        <v>1472</v>
      </c>
      <c r="C257" s="174" t="s">
        <v>1473</v>
      </c>
      <c r="D257" s="95" t="s">
        <v>1099</v>
      </c>
      <c r="E257" s="174" t="s">
        <v>915</v>
      </c>
      <c r="F257" s="174" t="s">
        <v>59</v>
      </c>
    </row>
    <row r="258" spans="1:6" ht="32.25" thickBot="1" x14ac:dyDescent="0.9">
      <c r="A258" s="175"/>
      <c r="B258" s="162"/>
      <c r="C258" s="175"/>
      <c r="D258" s="85" t="s">
        <v>1474</v>
      </c>
      <c r="E258" s="175"/>
      <c r="F258" s="175"/>
    </row>
    <row r="259" spans="1:6" ht="15.75" x14ac:dyDescent="0.75">
      <c r="A259" s="174" t="s">
        <v>1475</v>
      </c>
      <c r="B259" s="160" t="s">
        <v>1476</v>
      </c>
      <c r="C259" s="174" t="s">
        <v>1477</v>
      </c>
      <c r="D259" s="95" t="s">
        <v>1099</v>
      </c>
      <c r="E259" s="174" t="s">
        <v>904</v>
      </c>
      <c r="F259" s="174" t="s">
        <v>59</v>
      </c>
    </row>
    <row r="260" spans="1:6" ht="15.75" x14ac:dyDescent="0.75">
      <c r="A260" s="178"/>
      <c r="B260" s="161"/>
      <c r="C260" s="178"/>
      <c r="D260" s="95" t="s">
        <v>1478</v>
      </c>
      <c r="E260" s="178"/>
      <c r="F260" s="178"/>
    </row>
    <row r="261" spans="1:6" ht="15.75" x14ac:dyDescent="0.75">
      <c r="A261" s="178"/>
      <c r="B261" s="161"/>
      <c r="C261" s="178"/>
      <c r="D261" s="95" t="s">
        <v>1479</v>
      </c>
      <c r="E261" s="178"/>
      <c r="F261" s="178"/>
    </row>
    <row r="262" spans="1:6" ht="15.75" x14ac:dyDescent="0.75">
      <c r="A262" s="178"/>
      <c r="B262" s="161"/>
      <c r="C262" s="178"/>
      <c r="D262" s="95" t="s">
        <v>1480</v>
      </c>
      <c r="E262" s="178"/>
      <c r="F262" s="178"/>
    </row>
    <row r="263" spans="1:6" ht="15.75" x14ac:dyDescent="0.75">
      <c r="A263" s="178"/>
      <c r="B263" s="161"/>
      <c r="C263" s="178"/>
      <c r="D263" s="95" t="s">
        <v>1481</v>
      </c>
      <c r="E263" s="178"/>
      <c r="F263" s="178"/>
    </row>
    <row r="264" spans="1:6" ht="31.5" x14ac:dyDescent="0.75">
      <c r="A264" s="178"/>
      <c r="B264" s="161"/>
      <c r="C264" s="178"/>
      <c r="D264" s="95" t="s">
        <v>1482</v>
      </c>
      <c r="E264" s="178"/>
      <c r="F264" s="178"/>
    </row>
    <row r="265" spans="1:6" ht="16.5" thickBot="1" x14ac:dyDescent="0.9">
      <c r="A265" s="175"/>
      <c r="B265" s="162"/>
      <c r="C265" s="175"/>
      <c r="D265" s="85" t="s">
        <v>1483</v>
      </c>
      <c r="E265" s="175"/>
      <c r="F265" s="175"/>
    </row>
    <row r="266" spans="1:6" ht="15.75" x14ac:dyDescent="0.75">
      <c r="A266" s="174" t="s">
        <v>1484</v>
      </c>
      <c r="B266" s="160" t="s">
        <v>1485</v>
      </c>
      <c r="C266" s="174" t="s">
        <v>1486</v>
      </c>
      <c r="D266" s="95" t="s">
        <v>1099</v>
      </c>
      <c r="E266" s="174" t="s">
        <v>904</v>
      </c>
      <c r="F266" s="174" t="s">
        <v>59</v>
      </c>
    </row>
    <row r="267" spans="1:6" ht="15.75" x14ac:dyDescent="0.75">
      <c r="A267" s="178"/>
      <c r="B267" s="161"/>
      <c r="C267" s="178"/>
      <c r="D267" s="95" t="s">
        <v>1487</v>
      </c>
      <c r="E267" s="178"/>
      <c r="F267" s="178"/>
    </row>
    <row r="268" spans="1:6" ht="31.5" x14ac:dyDescent="0.75">
      <c r="A268" s="178"/>
      <c r="B268" s="161"/>
      <c r="C268" s="178"/>
      <c r="D268" s="95" t="s">
        <v>1488</v>
      </c>
      <c r="E268" s="178"/>
      <c r="F268" s="178"/>
    </row>
    <row r="269" spans="1:6" ht="15.75" x14ac:dyDescent="0.75">
      <c r="A269" s="178"/>
      <c r="B269" s="161"/>
      <c r="C269" s="178"/>
      <c r="D269" s="95" t="s">
        <v>1489</v>
      </c>
      <c r="E269" s="178"/>
      <c r="F269" s="178"/>
    </row>
    <row r="270" spans="1:6" ht="31.5" x14ac:dyDescent="0.75">
      <c r="A270" s="178"/>
      <c r="B270" s="161"/>
      <c r="C270" s="178"/>
      <c r="D270" s="95" t="s">
        <v>1490</v>
      </c>
      <c r="E270" s="178"/>
      <c r="F270" s="178"/>
    </row>
    <row r="271" spans="1:6" ht="31.5" x14ac:dyDescent="0.75">
      <c r="A271" s="178"/>
      <c r="B271" s="161"/>
      <c r="C271" s="178"/>
      <c r="D271" s="95" t="s">
        <v>1491</v>
      </c>
      <c r="E271" s="178"/>
      <c r="F271" s="178"/>
    </row>
    <row r="272" spans="1:6" ht="15.75" x14ac:dyDescent="0.75">
      <c r="A272" s="178"/>
      <c r="B272" s="161"/>
      <c r="C272" s="178"/>
      <c r="D272" s="95" t="s">
        <v>1492</v>
      </c>
      <c r="E272" s="178"/>
      <c r="F272" s="178"/>
    </row>
    <row r="273" spans="1:6" ht="15.75" x14ac:dyDescent="0.75">
      <c r="A273" s="178"/>
      <c r="B273" s="161"/>
      <c r="C273" s="178"/>
      <c r="D273" s="95" t="s">
        <v>1493</v>
      </c>
      <c r="E273" s="178"/>
      <c r="F273" s="178"/>
    </row>
    <row r="274" spans="1:6" ht="15.75" x14ac:dyDescent="0.75">
      <c r="A274" s="178"/>
      <c r="B274" s="161"/>
      <c r="C274" s="178"/>
      <c r="D274" s="95" t="s">
        <v>1494</v>
      </c>
      <c r="E274" s="178"/>
      <c r="F274" s="178"/>
    </row>
    <row r="275" spans="1:6" ht="16.5" thickBot="1" x14ac:dyDescent="0.9">
      <c r="A275" s="175"/>
      <c r="B275" s="162"/>
      <c r="C275" s="175"/>
      <c r="D275" s="85" t="s">
        <v>1495</v>
      </c>
      <c r="E275" s="175"/>
      <c r="F275" s="175"/>
    </row>
    <row r="276" spans="1:6" ht="16.5" thickBot="1" x14ac:dyDescent="0.9">
      <c r="A276" s="86" t="s">
        <v>1496</v>
      </c>
      <c r="B276" s="85" t="s">
        <v>1497</v>
      </c>
      <c r="C276" s="85" t="s">
        <v>1498</v>
      </c>
      <c r="D276" s="88"/>
      <c r="E276" s="85" t="s">
        <v>915</v>
      </c>
      <c r="F276" s="85" t="s">
        <v>912</v>
      </c>
    </row>
    <row r="277" spans="1:6" ht="16.5" thickBot="1" x14ac:dyDescent="0.9">
      <c r="A277" s="86" t="s">
        <v>1499</v>
      </c>
      <c r="B277" s="85" t="s">
        <v>169</v>
      </c>
      <c r="C277" s="85" t="s">
        <v>1500</v>
      </c>
      <c r="D277" s="88"/>
      <c r="E277" s="85" t="s">
        <v>915</v>
      </c>
      <c r="F277" s="85" t="s">
        <v>59</v>
      </c>
    </row>
    <row r="278" spans="1:6" ht="31.5" x14ac:dyDescent="0.75">
      <c r="A278" s="174" t="s">
        <v>1501</v>
      </c>
      <c r="B278" s="160" t="s">
        <v>1502</v>
      </c>
      <c r="C278" s="95" t="s">
        <v>1503</v>
      </c>
      <c r="D278" s="95" t="s">
        <v>1099</v>
      </c>
      <c r="E278" s="174" t="s">
        <v>915</v>
      </c>
      <c r="F278" s="174" t="s">
        <v>59</v>
      </c>
    </row>
    <row r="279" spans="1:6" ht="32.25" thickBot="1" x14ac:dyDescent="0.9">
      <c r="A279" s="175"/>
      <c r="B279" s="162"/>
      <c r="C279" s="85" t="s">
        <v>1504</v>
      </c>
      <c r="D279" s="85" t="s">
        <v>1505</v>
      </c>
      <c r="E279" s="175"/>
      <c r="F279" s="175"/>
    </row>
    <row r="280" spans="1:6" ht="32.25" thickBot="1" x14ac:dyDescent="0.9">
      <c r="A280" s="86" t="s">
        <v>1506</v>
      </c>
      <c r="B280" s="90" t="s">
        <v>29</v>
      </c>
      <c r="C280" s="85" t="s">
        <v>1507</v>
      </c>
      <c r="D280" s="89" t="s">
        <v>1508</v>
      </c>
      <c r="E280" s="85" t="s">
        <v>915</v>
      </c>
      <c r="F280" s="85" t="s">
        <v>59</v>
      </c>
    </row>
    <row r="281" spans="1:6" ht="48" thickBot="1" x14ac:dyDescent="0.9">
      <c r="A281" s="86" t="s">
        <v>1509</v>
      </c>
      <c r="B281" s="90" t="s">
        <v>1510</v>
      </c>
      <c r="C281" s="85" t="s">
        <v>1511</v>
      </c>
      <c r="D281" s="88"/>
      <c r="E281" s="85" t="s">
        <v>915</v>
      </c>
      <c r="F281" s="85" t="s">
        <v>59</v>
      </c>
    </row>
    <row r="282" spans="1:6" ht="16.5" thickBot="1" x14ac:dyDescent="0.9">
      <c r="A282" s="86" t="s">
        <v>1512</v>
      </c>
      <c r="B282" s="90" t="s">
        <v>1513</v>
      </c>
      <c r="C282" s="85" t="s">
        <v>1514</v>
      </c>
      <c r="D282" s="88"/>
      <c r="E282" s="88"/>
      <c r="F282" s="85" t="s">
        <v>59</v>
      </c>
    </row>
    <row r="283" spans="1:6" ht="16.5" thickBot="1" x14ac:dyDescent="0.9">
      <c r="A283" s="86" t="s">
        <v>1515</v>
      </c>
      <c r="B283" s="90" t="s">
        <v>1516</v>
      </c>
      <c r="C283" s="85" t="s">
        <v>1517</v>
      </c>
      <c r="D283" s="88"/>
      <c r="E283" s="85" t="s">
        <v>904</v>
      </c>
      <c r="F283" s="85" t="s">
        <v>912</v>
      </c>
    </row>
    <row r="284" spans="1:6" ht="32.25" thickBot="1" x14ac:dyDescent="0.9">
      <c r="A284" s="86" t="s">
        <v>1518</v>
      </c>
      <c r="B284" s="90" t="s">
        <v>1519</v>
      </c>
      <c r="C284" s="85" t="s">
        <v>1520</v>
      </c>
      <c r="D284" s="88"/>
      <c r="E284" s="85" t="s">
        <v>904</v>
      </c>
      <c r="F284" s="85" t="s">
        <v>59</v>
      </c>
    </row>
    <row r="285" spans="1:6" ht="16.5" thickBot="1" x14ac:dyDescent="0.9">
      <c r="A285" s="109" t="s">
        <v>1521</v>
      </c>
      <c r="B285" s="132" t="s">
        <v>1522</v>
      </c>
      <c r="C285" s="88"/>
      <c r="D285" s="88"/>
      <c r="E285" s="85" t="s">
        <v>915</v>
      </c>
      <c r="F285" s="85" t="s">
        <v>912</v>
      </c>
    </row>
    <row r="286" spans="1:6" ht="16.5" thickBot="1" x14ac:dyDescent="0.9">
      <c r="A286" s="136" t="s">
        <v>1523</v>
      </c>
      <c r="B286" s="138" t="s">
        <v>1524</v>
      </c>
      <c r="C286" s="85" t="s">
        <v>1525</v>
      </c>
      <c r="D286" s="88"/>
      <c r="E286" s="85" t="s">
        <v>904</v>
      </c>
      <c r="F286" s="85" t="s">
        <v>912</v>
      </c>
    </row>
    <row r="287" spans="1:6" ht="15.75" x14ac:dyDescent="0.75">
      <c r="A287" s="174" t="s">
        <v>1526</v>
      </c>
      <c r="B287" s="158" t="s">
        <v>72</v>
      </c>
      <c r="C287" s="174" t="s">
        <v>1527</v>
      </c>
      <c r="D287" s="95" t="s">
        <v>1099</v>
      </c>
      <c r="E287" s="174" t="s">
        <v>915</v>
      </c>
      <c r="F287" s="174" t="s">
        <v>59</v>
      </c>
    </row>
    <row r="288" spans="1:6" ht="15.75" x14ac:dyDescent="0.75">
      <c r="A288" s="178"/>
      <c r="B288" s="171"/>
      <c r="C288" s="178"/>
      <c r="D288" s="95" t="s">
        <v>1528</v>
      </c>
      <c r="E288" s="178"/>
      <c r="F288" s="178"/>
    </row>
    <row r="289" spans="1:6" ht="15.75" x14ac:dyDescent="0.75">
      <c r="A289" s="178"/>
      <c r="B289" s="171"/>
      <c r="C289" s="178"/>
      <c r="D289" s="95" t="s">
        <v>1529</v>
      </c>
      <c r="E289" s="178"/>
      <c r="F289" s="178"/>
    </row>
    <row r="290" spans="1:6" ht="15.75" x14ac:dyDescent="0.75">
      <c r="A290" s="178"/>
      <c r="B290" s="171"/>
      <c r="C290" s="178"/>
      <c r="D290" s="95" t="s">
        <v>1530</v>
      </c>
      <c r="E290" s="178"/>
      <c r="F290" s="178"/>
    </row>
    <row r="291" spans="1:6" ht="32.25" thickBot="1" x14ac:dyDescent="0.9">
      <c r="A291" s="175"/>
      <c r="B291" s="159"/>
      <c r="C291" s="175"/>
      <c r="D291" s="85" t="s">
        <v>1531</v>
      </c>
      <c r="E291" s="175"/>
      <c r="F291" s="175"/>
    </row>
    <row r="292" spans="1:6" ht="32.25" thickBot="1" x14ac:dyDescent="0.9">
      <c r="A292" s="86" t="s">
        <v>1532</v>
      </c>
      <c r="B292" s="92" t="s">
        <v>1533</v>
      </c>
      <c r="C292" s="85" t="s">
        <v>1534</v>
      </c>
      <c r="D292" s="88"/>
      <c r="E292" s="85" t="s">
        <v>904</v>
      </c>
      <c r="F292" s="85" t="s">
        <v>59</v>
      </c>
    </row>
    <row r="293" spans="1:6" ht="16.5" thickBot="1" x14ac:dyDescent="0.9">
      <c r="A293" s="86" t="s">
        <v>1535</v>
      </c>
      <c r="B293" s="92" t="s">
        <v>169</v>
      </c>
      <c r="C293" s="85" t="s">
        <v>1536</v>
      </c>
      <c r="D293" s="88"/>
      <c r="E293" s="85" t="s">
        <v>915</v>
      </c>
      <c r="F293" s="85" t="s">
        <v>59</v>
      </c>
    </row>
    <row r="294" spans="1:6" ht="16.5" thickBot="1" x14ac:dyDescent="0.9">
      <c r="A294" s="136" t="s">
        <v>1537</v>
      </c>
      <c r="B294" s="139" t="s">
        <v>1538</v>
      </c>
      <c r="C294" s="85" t="s">
        <v>1539</v>
      </c>
      <c r="D294" s="88"/>
      <c r="E294" s="85" t="s">
        <v>904</v>
      </c>
      <c r="F294" s="85" t="s">
        <v>912</v>
      </c>
    </row>
    <row r="295" spans="1:6" ht="15.75" x14ac:dyDescent="0.75">
      <c r="A295" s="174" t="s">
        <v>1540</v>
      </c>
      <c r="B295" s="158" t="s">
        <v>72</v>
      </c>
      <c r="C295" s="174" t="s">
        <v>1541</v>
      </c>
      <c r="D295" s="95" t="s">
        <v>1099</v>
      </c>
      <c r="E295" s="174" t="s">
        <v>915</v>
      </c>
      <c r="F295" s="174" t="s">
        <v>59</v>
      </c>
    </row>
    <row r="296" spans="1:6" ht="15.75" x14ac:dyDescent="0.75">
      <c r="A296" s="178"/>
      <c r="B296" s="171"/>
      <c r="C296" s="178"/>
      <c r="D296" s="95" t="s">
        <v>1542</v>
      </c>
      <c r="E296" s="178"/>
      <c r="F296" s="178"/>
    </row>
    <row r="297" spans="1:6" ht="31.5" x14ac:dyDescent="0.75">
      <c r="A297" s="178"/>
      <c r="B297" s="171"/>
      <c r="C297" s="178"/>
      <c r="D297" s="95" t="s">
        <v>1543</v>
      </c>
      <c r="E297" s="178"/>
      <c r="F297" s="178"/>
    </row>
    <row r="298" spans="1:6" ht="15.75" x14ac:dyDescent="0.75">
      <c r="A298" s="178"/>
      <c r="B298" s="171"/>
      <c r="C298" s="178"/>
      <c r="D298" s="95" t="s">
        <v>1544</v>
      </c>
      <c r="E298" s="178"/>
      <c r="F298" s="178"/>
    </row>
    <row r="299" spans="1:6" ht="15.75" x14ac:dyDescent="0.75">
      <c r="A299" s="178"/>
      <c r="B299" s="171"/>
      <c r="C299" s="178"/>
      <c r="D299" s="95" t="s">
        <v>1545</v>
      </c>
      <c r="E299" s="178"/>
      <c r="F299" s="178"/>
    </row>
    <row r="300" spans="1:6" ht="63.75" thickBot="1" x14ac:dyDescent="0.9">
      <c r="A300" s="175"/>
      <c r="B300" s="159"/>
      <c r="C300" s="175"/>
      <c r="D300" s="85" t="s">
        <v>1546</v>
      </c>
      <c r="E300" s="175"/>
      <c r="F300" s="175"/>
    </row>
    <row r="301" spans="1:6" ht="32.25" thickBot="1" x14ac:dyDescent="0.9">
      <c r="A301" s="86" t="s">
        <v>1547</v>
      </c>
      <c r="B301" s="92" t="s">
        <v>1533</v>
      </c>
      <c r="C301" s="85" t="s">
        <v>1548</v>
      </c>
      <c r="D301" s="88"/>
      <c r="E301" s="85" t="s">
        <v>904</v>
      </c>
      <c r="F301" s="85" t="s">
        <v>59</v>
      </c>
    </row>
    <row r="302" spans="1:6" ht="16.5" thickBot="1" x14ac:dyDescent="0.9">
      <c r="A302" s="86" t="s">
        <v>1549</v>
      </c>
      <c r="B302" s="92" t="s">
        <v>169</v>
      </c>
      <c r="C302" s="85" t="s">
        <v>1536</v>
      </c>
      <c r="D302" s="88"/>
      <c r="E302" s="85" t="s">
        <v>915</v>
      </c>
      <c r="F302" s="85" t="s">
        <v>59</v>
      </c>
    </row>
    <row r="303" spans="1:6" ht="16.5" thickBot="1" x14ac:dyDescent="0.9">
      <c r="A303" s="136" t="s">
        <v>1550</v>
      </c>
      <c r="B303" s="139" t="s">
        <v>1551</v>
      </c>
      <c r="C303" s="85" t="s">
        <v>1552</v>
      </c>
      <c r="D303" s="88"/>
      <c r="E303" s="85" t="s">
        <v>904</v>
      </c>
      <c r="F303" s="85" t="s">
        <v>912</v>
      </c>
    </row>
    <row r="304" spans="1:6" ht="15.75" x14ac:dyDescent="0.75">
      <c r="A304" s="174" t="s">
        <v>1553</v>
      </c>
      <c r="B304" s="158" t="s">
        <v>72</v>
      </c>
      <c r="C304" s="174" t="s">
        <v>1554</v>
      </c>
      <c r="D304" s="95" t="s">
        <v>1099</v>
      </c>
      <c r="E304" s="174" t="s">
        <v>915</v>
      </c>
      <c r="F304" s="174" t="s">
        <v>59</v>
      </c>
    </row>
    <row r="305" spans="1:6" ht="15.75" x14ac:dyDescent="0.75">
      <c r="A305" s="178"/>
      <c r="B305" s="171"/>
      <c r="C305" s="178"/>
      <c r="D305" s="95" t="s">
        <v>1555</v>
      </c>
      <c r="E305" s="178"/>
      <c r="F305" s="178"/>
    </row>
    <row r="306" spans="1:6" ht="31.5" x14ac:dyDescent="0.75">
      <c r="A306" s="178"/>
      <c r="B306" s="171"/>
      <c r="C306" s="178"/>
      <c r="D306" s="95" t="s">
        <v>1556</v>
      </c>
      <c r="E306" s="178"/>
      <c r="F306" s="178"/>
    </row>
    <row r="307" spans="1:6" ht="31.5" x14ac:dyDescent="0.75">
      <c r="A307" s="178"/>
      <c r="B307" s="171"/>
      <c r="C307" s="178"/>
      <c r="D307" s="95" t="s">
        <v>1557</v>
      </c>
      <c r="E307" s="178"/>
      <c r="F307" s="178"/>
    </row>
    <row r="308" spans="1:6" ht="32.25" thickBot="1" x14ac:dyDescent="0.9">
      <c r="A308" s="175"/>
      <c r="B308" s="159"/>
      <c r="C308" s="175"/>
      <c r="D308" s="85" t="s">
        <v>1558</v>
      </c>
      <c r="E308" s="175"/>
      <c r="F308" s="175"/>
    </row>
    <row r="309" spans="1:6" ht="16.5" thickBot="1" x14ac:dyDescent="0.9">
      <c r="A309" s="86" t="s">
        <v>1559</v>
      </c>
      <c r="B309" s="92" t="s">
        <v>1533</v>
      </c>
      <c r="C309" s="85" t="s">
        <v>1560</v>
      </c>
      <c r="D309" s="88"/>
      <c r="E309" s="85" t="s">
        <v>915</v>
      </c>
      <c r="F309" s="85" t="s">
        <v>59</v>
      </c>
    </row>
    <row r="310" spans="1:6" ht="15.75" x14ac:dyDescent="0.75">
      <c r="A310" s="174" t="s">
        <v>1561</v>
      </c>
      <c r="B310" s="158" t="s">
        <v>1562</v>
      </c>
      <c r="C310" s="174" t="s">
        <v>1563</v>
      </c>
      <c r="D310" s="95" t="s">
        <v>1099</v>
      </c>
      <c r="E310" s="174" t="s">
        <v>915</v>
      </c>
      <c r="F310" s="174" t="s">
        <v>59</v>
      </c>
    </row>
    <row r="311" spans="1:6" ht="15.75" x14ac:dyDescent="0.75">
      <c r="A311" s="178"/>
      <c r="B311" s="171"/>
      <c r="C311" s="178"/>
      <c r="D311" s="95" t="s">
        <v>1564</v>
      </c>
      <c r="E311" s="178"/>
      <c r="F311" s="178"/>
    </row>
    <row r="312" spans="1:6" ht="15.75" x14ac:dyDescent="0.75">
      <c r="A312" s="178"/>
      <c r="B312" s="171"/>
      <c r="C312" s="178"/>
      <c r="D312" s="95" t="s">
        <v>1565</v>
      </c>
      <c r="E312" s="178"/>
      <c r="F312" s="178"/>
    </row>
    <row r="313" spans="1:6" ht="15.75" x14ac:dyDescent="0.75">
      <c r="A313" s="178"/>
      <c r="B313" s="171"/>
      <c r="C313" s="178"/>
      <c r="D313" s="95" t="s">
        <v>1566</v>
      </c>
      <c r="E313" s="178"/>
      <c r="F313" s="178"/>
    </row>
    <row r="314" spans="1:6" ht="31.5" x14ac:dyDescent="0.75">
      <c r="A314" s="178"/>
      <c r="B314" s="171"/>
      <c r="C314" s="178"/>
      <c r="D314" s="95" t="s">
        <v>1567</v>
      </c>
      <c r="E314" s="178"/>
      <c r="F314" s="178"/>
    </row>
    <row r="315" spans="1:6" ht="15.75" x14ac:dyDescent="0.75">
      <c r="A315" s="178"/>
      <c r="B315" s="171"/>
      <c r="C315" s="178"/>
      <c r="D315" s="95" t="s">
        <v>1568</v>
      </c>
      <c r="E315" s="178"/>
      <c r="F315" s="178"/>
    </row>
    <row r="316" spans="1:6" ht="15.75" x14ac:dyDescent="0.75">
      <c r="A316" s="178"/>
      <c r="B316" s="171"/>
      <c r="C316" s="178"/>
      <c r="D316" s="95" t="s">
        <v>1569</v>
      </c>
      <c r="E316" s="178"/>
      <c r="F316" s="178"/>
    </row>
    <row r="317" spans="1:6" ht="31.5" x14ac:dyDescent="0.75">
      <c r="A317" s="178"/>
      <c r="B317" s="171"/>
      <c r="C317" s="178"/>
      <c r="D317" s="95" t="s">
        <v>1570</v>
      </c>
      <c r="E317" s="178"/>
      <c r="F317" s="178"/>
    </row>
    <row r="318" spans="1:6" ht="15.75" x14ac:dyDescent="0.75">
      <c r="A318" s="178"/>
      <c r="B318" s="171"/>
      <c r="C318" s="178"/>
      <c r="D318" s="95" t="s">
        <v>1571</v>
      </c>
      <c r="E318" s="178"/>
      <c r="F318" s="178"/>
    </row>
    <row r="319" spans="1:6" ht="15.75" x14ac:dyDescent="0.75">
      <c r="A319" s="178"/>
      <c r="B319" s="171"/>
      <c r="C319" s="178"/>
      <c r="D319" s="95" t="s">
        <v>1572</v>
      </c>
      <c r="E319" s="178"/>
      <c r="F319" s="178"/>
    </row>
    <row r="320" spans="1:6" ht="31.5" x14ac:dyDescent="0.75">
      <c r="A320" s="178"/>
      <c r="B320" s="171"/>
      <c r="C320" s="178"/>
      <c r="D320" s="95" t="s">
        <v>1573</v>
      </c>
      <c r="E320" s="178"/>
      <c r="F320" s="178"/>
    </row>
    <row r="321" spans="1:6" ht="31.5" x14ac:dyDescent="0.75">
      <c r="A321" s="178"/>
      <c r="B321" s="171"/>
      <c r="C321" s="178"/>
      <c r="D321" s="95" t="s">
        <v>1574</v>
      </c>
      <c r="E321" s="178"/>
      <c r="F321" s="178"/>
    </row>
    <row r="322" spans="1:6" ht="15.75" x14ac:dyDescent="0.75">
      <c r="A322" s="178"/>
      <c r="B322" s="171"/>
      <c r="C322" s="178"/>
      <c r="D322" s="95" t="s">
        <v>1575</v>
      </c>
      <c r="E322" s="178"/>
      <c r="F322" s="178"/>
    </row>
    <row r="323" spans="1:6" ht="15.75" x14ac:dyDescent="0.75">
      <c r="A323" s="178"/>
      <c r="B323" s="171"/>
      <c r="C323" s="178"/>
      <c r="D323" s="95" t="s">
        <v>1576</v>
      </c>
      <c r="E323" s="178"/>
      <c r="F323" s="178"/>
    </row>
    <row r="324" spans="1:6" ht="15.75" x14ac:dyDescent="0.75">
      <c r="A324" s="178"/>
      <c r="B324" s="171"/>
      <c r="C324" s="178"/>
      <c r="D324" s="95" t="s">
        <v>1577</v>
      </c>
      <c r="E324" s="178"/>
      <c r="F324" s="178"/>
    </row>
    <row r="325" spans="1:6" ht="15.75" x14ac:dyDescent="0.75">
      <c r="A325" s="178"/>
      <c r="B325" s="171"/>
      <c r="C325" s="178"/>
      <c r="D325" s="95" t="s">
        <v>1578</v>
      </c>
      <c r="E325" s="178"/>
      <c r="F325" s="178"/>
    </row>
    <row r="326" spans="1:6" ht="15.75" x14ac:dyDescent="0.75">
      <c r="A326" s="178"/>
      <c r="B326" s="171"/>
      <c r="C326" s="178"/>
      <c r="D326" s="95" t="s">
        <v>1579</v>
      </c>
      <c r="E326" s="178"/>
      <c r="F326" s="178"/>
    </row>
    <row r="327" spans="1:6" ht="15.75" x14ac:dyDescent="0.75">
      <c r="A327" s="178"/>
      <c r="B327" s="171"/>
      <c r="C327" s="178"/>
      <c r="D327" s="95" t="s">
        <v>1580</v>
      </c>
      <c r="E327" s="178"/>
      <c r="F327" s="178"/>
    </row>
    <row r="328" spans="1:6" ht="15.75" x14ac:dyDescent="0.75">
      <c r="A328" s="178"/>
      <c r="B328" s="171"/>
      <c r="C328" s="178"/>
      <c r="D328" s="95" t="s">
        <v>1581</v>
      </c>
      <c r="E328" s="178"/>
      <c r="F328" s="178"/>
    </row>
    <row r="329" spans="1:6" ht="16.5" thickBot="1" x14ac:dyDescent="0.9">
      <c r="A329" s="175"/>
      <c r="B329" s="159"/>
      <c r="C329" s="175"/>
      <c r="D329" s="85" t="s">
        <v>1582</v>
      </c>
      <c r="E329" s="175"/>
      <c r="F329" s="175"/>
    </row>
    <row r="330" spans="1:6" ht="16.5" thickBot="1" x14ac:dyDescent="0.9">
      <c r="A330" s="86" t="s">
        <v>1583</v>
      </c>
      <c r="B330" s="92" t="s">
        <v>1584</v>
      </c>
      <c r="C330" s="85" t="s">
        <v>1584</v>
      </c>
      <c r="D330" s="85" t="s">
        <v>1585</v>
      </c>
      <c r="E330" s="85" t="s">
        <v>904</v>
      </c>
      <c r="F330" s="85" t="s">
        <v>59</v>
      </c>
    </row>
    <row r="331" spans="1:6" ht="16.5" thickBot="1" x14ac:dyDescent="0.9">
      <c r="A331" s="86" t="s">
        <v>1586</v>
      </c>
      <c r="B331" s="92" t="s">
        <v>169</v>
      </c>
      <c r="C331" s="85" t="s">
        <v>1587</v>
      </c>
      <c r="D331" s="88"/>
      <c r="E331" s="85" t="s">
        <v>915</v>
      </c>
      <c r="F331" s="85" t="s">
        <v>59</v>
      </c>
    </row>
    <row r="332" spans="1:6" ht="15.75" x14ac:dyDescent="0.75">
      <c r="A332" s="200" t="s">
        <v>1588</v>
      </c>
      <c r="B332" s="172" t="s">
        <v>1589</v>
      </c>
      <c r="C332" s="174" t="s">
        <v>1590</v>
      </c>
      <c r="D332" s="95" t="s">
        <v>1082</v>
      </c>
      <c r="E332" s="174" t="s">
        <v>904</v>
      </c>
      <c r="F332" s="174" t="s">
        <v>912</v>
      </c>
    </row>
    <row r="333" spans="1:6" ht="16.5" thickBot="1" x14ac:dyDescent="0.9">
      <c r="A333" s="201"/>
      <c r="B333" s="173"/>
      <c r="C333" s="175"/>
      <c r="D333" s="85" t="s">
        <v>1099</v>
      </c>
      <c r="E333" s="175"/>
      <c r="F333" s="175"/>
    </row>
    <row r="334" spans="1:6" ht="16.5" thickBot="1" x14ac:dyDescent="0.9">
      <c r="A334" s="80" t="s">
        <v>1591</v>
      </c>
      <c r="B334" s="197" t="s">
        <v>1592</v>
      </c>
      <c r="C334" s="198"/>
      <c r="D334" s="199"/>
      <c r="E334" s="85" t="s">
        <v>883</v>
      </c>
      <c r="F334" s="85" t="s">
        <v>884</v>
      </c>
    </row>
    <row r="335" spans="1:6" ht="16.5" thickBot="1" x14ac:dyDescent="0.9">
      <c r="A335" s="80" t="s">
        <v>1593</v>
      </c>
      <c r="B335" s="141" t="s">
        <v>1594</v>
      </c>
      <c r="C335" s="182" t="s">
        <v>1595</v>
      </c>
      <c r="D335" s="183"/>
      <c r="E335" s="85" t="s">
        <v>890</v>
      </c>
      <c r="F335" s="85" t="s">
        <v>59</v>
      </c>
    </row>
    <row r="336" spans="1:6" ht="16.5" thickBot="1" x14ac:dyDescent="0.9">
      <c r="A336" s="86" t="s">
        <v>1596</v>
      </c>
      <c r="B336" s="85" t="s">
        <v>1292</v>
      </c>
      <c r="C336" s="85" t="s">
        <v>1597</v>
      </c>
      <c r="D336" s="88"/>
      <c r="E336" s="85" t="s">
        <v>883</v>
      </c>
      <c r="F336" s="85" t="s">
        <v>884</v>
      </c>
    </row>
    <row r="337" spans="1:6" ht="15.75" x14ac:dyDescent="0.75">
      <c r="A337" s="174" t="s">
        <v>1598</v>
      </c>
      <c r="B337" s="158" t="s">
        <v>64</v>
      </c>
      <c r="C337" s="174" t="s">
        <v>1295</v>
      </c>
      <c r="D337" s="95" t="s">
        <v>1082</v>
      </c>
      <c r="E337" s="174" t="s">
        <v>904</v>
      </c>
      <c r="F337" s="174" t="s">
        <v>59</v>
      </c>
    </row>
    <row r="338" spans="1:6" ht="15.75" x14ac:dyDescent="0.75">
      <c r="A338" s="178"/>
      <c r="B338" s="171"/>
      <c r="C338" s="178"/>
      <c r="D338" s="95" t="s">
        <v>1099</v>
      </c>
      <c r="E338" s="178"/>
      <c r="F338" s="178"/>
    </row>
    <row r="339" spans="1:6" ht="15.75" x14ac:dyDescent="0.75">
      <c r="A339" s="178"/>
      <c r="B339" s="171"/>
      <c r="C339" s="178"/>
      <c r="D339" s="95" t="s">
        <v>164</v>
      </c>
      <c r="E339" s="178"/>
      <c r="F339" s="178"/>
    </row>
    <row r="340" spans="1:6" ht="16.5" thickBot="1" x14ac:dyDescent="0.9">
      <c r="A340" s="175"/>
      <c r="B340" s="159"/>
      <c r="C340" s="175"/>
      <c r="D340" s="85" t="s">
        <v>1137</v>
      </c>
      <c r="E340" s="175"/>
      <c r="F340" s="175"/>
    </row>
    <row r="341" spans="1:6" ht="16.5" thickBot="1" x14ac:dyDescent="0.9">
      <c r="A341" s="86" t="s">
        <v>1599</v>
      </c>
      <c r="B341" s="108" t="s">
        <v>1112</v>
      </c>
      <c r="C341" s="85" t="s">
        <v>1600</v>
      </c>
      <c r="D341" s="88"/>
      <c r="E341" s="85" t="s">
        <v>883</v>
      </c>
      <c r="F341" s="85" t="s">
        <v>59</v>
      </c>
    </row>
    <row r="342" spans="1:6" ht="32.25" thickBot="1" x14ac:dyDescent="0.9">
      <c r="A342" s="86" t="s">
        <v>1601</v>
      </c>
      <c r="B342" s="90" t="s">
        <v>1602</v>
      </c>
      <c r="C342" s="85" t="s">
        <v>1302</v>
      </c>
      <c r="D342" s="88"/>
      <c r="E342" s="85" t="s">
        <v>915</v>
      </c>
      <c r="F342" s="85" t="s">
        <v>59</v>
      </c>
    </row>
    <row r="343" spans="1:6" ht="15.75" x14ac:dyDescent="0.75">
      <c r="A343" s="174" t="s">
        <v>1603</v>
      </c>
      <c r="B343" s="160" t="s">
        <v>1604</v>
      </c>
      <c r="C343" s="174" t="s">
        <v>1605</v>
      </c>
      <c r="D343" s="95" t="s">
        <v>1606</v>
      </c>
      <c r="E343" s="174" t="s">
        <v>915</v>
      </c>
      <c r="F343" s="174" t="s">
        <v>59</v>
      </c>
    </row>
    <row r="344" spans="1:6" ht="15.75" x14ac:dyDescent="0.75">
      <c r="A344" s="178"/>
      <c r="B344" s="161"/>
      <c r="C344" s="178"/>
      <c r="D344" s="95" t="s">
        <v>1607</v>
      </c>
      <c r="E344" s="178"/>
      <c r="F344" s="178"/>
    </row>
    <row r="345" spans="1:6" x14ac:dyDescent="0.75">
      <c r="A345" s="178"/>
      <c r="B345" s="161"/>
      <c r="C345" s="178"/>
      <c r="D345" s="101"/>
      <c r="E345" s="178"/>
      <c r="F345" s="178"/>
    </row>
    <row r="346" spans="1:6" ht="16.5" thickBot="1" x14ac:dyDescent="0.9">
      <c r="A346" s="175"/>
      <c r="B346" s="162"/>
      <c r="C346" s="175"/>
      <c r="D346" s="85" t="s">
        <v>1608</v>
      </c>
      <c r="E346" s="175"/>
      <c r="F346" s="175"/>
    </row>
    <row r="347" spans="1:6" ht="95.25" thickBot="1" x14ac:dyDescent="0.9">
      <c r="A347" s="86" t="s">
        <v>1609</v>
      </c>
      <c r="B347" s="142" t="s">
        <v>1610</v>
      </c>
      <c r="C347" s="85" t="s">
        <v>1611</v>
      </c>
      <c r="D347" s="85" t="s">
        <v>1612</v>
      </c>
      <c r="E347" s="88"/>
      <c r="F347" s="88"/>
    </row>
    <row r="348" spans="1:6" ht="111" thickBot="1" x14ac:dyDescent="0.9">
      <c r="A348" s="86" t="s">
        <v>1613</v>
      </c>
      <c r="B348" s="92" t="s">
        <v>1308</v>
      </c>
      <c r="C348" s="85" t="s">
        <v>1309</v>
      </c>
      <c r="D348" s="88"/>
      <c r="E348" s="85" t="s">
        <v>915</v>
      </c>
      <c r="F348" s="85" t="s">
        <v>912</v>
      </c>
    </row>
    <row r="349" spans="1:6" ht="32.25" thickBot="1" x14ac:dyDescent="0.9">
      <c r="A349" s="86" t="s">
        <v>1614</v>
      </c>
      <c r="B349" s="92" t="s">
        <v>1311</v>
      </c>
      <c r="C349" s="85" t="s">
        <v>1312</v>
      </c>
      <c r="D349" s="89" t="s">
        <v>1615</v>
      </c>
      <c r="E349" s="85" t="s">
        <v>915</v>
      </c>
      <c r="F349" s="85" t="s">
        <v>912</v>
      </c>
    </row>
    <row r="350" spans="1:6" ht="15.75" x14ac:dyDescent="0.75">
      <c r="A350" s="174" t="s">
        <v>1616</v>
      </c>
      <c r="B350" s="160" t="s">
        <v>1314</v>
      </c>
      <c r="C350" s="174" t="s">
        <v>1617</v>
      </c>
      <c r="D350" s="95" t="s">
        <v>68</v>
      </c>
      <c r="E350" s="174" t="s">
        <v>904</v>
      </c>
      <c r="F350" s="174" t="s">
        <v>912</v>
      </c>
    </row>
    <row r="351" spans="1:6" ht="16.5" thickBot="1" x14ac:dyDescent="0.9">
      <c r="A351" s="175"/>
      <c r="B351" s="162"/>
      <c r="C351" s="175"/>
      <c r="D351" s="85" t="s">
        <v>164</v>
      </c>
      <c r="E351" s="175"/>
      <c r="F351" s="175"/>
    </row>
    <row r="352" spans="1:6" ht="15.75" x14ac:dyDescent="0.75">
      <c r="A352" s="163" t="s">
        <v>1618</v>
      </c>
      <c r="B352" s="163" t="s">
        <v>1619</v>
      </c>
      <c r="C352" s="184" t="s">
        <v>1620</v>
      </c>
      <c r="D352" s="185"/>
      <c r="E352" s="174" t="s">
        <v>890</v>
      </c>
      <c r="F352" s="174" t="s">
        <v>59</v>
      </c>
    </row>
    <row r="353" spans="1:6" ht="16.5" thickBot="1" x14ac:dyDescent="0.9">
      <c r="A353" s="165"/>
      <c r="B353" s="165"/>
      <c r="C353" s="195" t="s">
        <v>1621</v>
      </c>
      <c r="D353" s="196"/>
      <c r="E353" s="175"/>
      <c r="F353" s="175"/>
    </row>
    <row r="354" spans="1:6" ht="16.5" thickBot="1" x14ac:dyDescent="0.9">
      <c r="A354" s="86" t="s">
        <v>1622</v>
      </c>
      <c r="B354" s="90" t="s">
        <v>1341</v>
      </c>
      <c r="C354" s="85" t="s">
        <v>1623</v>
      </c>
      <c r="D354" s="85" t="s">
        <v>1099</v>
      </c>
      <c r="E354" s="85" t="s">
        <v>904</v>
      </c>
      <c r="F354" s="85" t="s">
        <v>912</v>
      </c>
    </row>
    <row r="355" spans="1:6" ht="16.5" thickBot="1" x14ac:dyDescent="0.9">
      <c r="A355" s="86" t="s">
        <v>1624</v>
      </c>
      <c r="B355" s="87" t="s">
        <v>1344</v>
      </c>
      <c r="C355" s="85" t="s">
        <v>1345</v>
      </c>
      <c r="D355" s="88"/>
      <c r="E355" s="85" t="s">
        <v>883</v>
      </c>
      <c r="F355" s="85" t="s">
        <v>884</v>
      </c>
    </row>
    <row r="356" spans="1:6" ht="15.75" x14ac:dyDescent="0.75">
      <c r="A356" s="174" t="s">
        <v>1625</v>
      </c>
      <c r="B356" s="160" t="s">
        <v>1347</v>
      </c>
      <c r="C356" s="174" t="s">
        <v>1348</v>
      </c>
      <c r="D356" s="95" t="s">
        <v>1099</v>
      </c>
      <c r="E356" s="174" t="s">
        <v>915</v>
      </c>
      <c r="F356" s="174" t="s">
        <v>59</v>
      </c>
    </row>
    <row r="357" spans="1:6" ht="32.25" thickBot="1" x14ac:dyDescent="0.9">
      <c r="A357" s="175"/>
      <c r="B357" s="162"/>
      <c r="C357" s="175"/>
      <c r="D357" s="85" t="s">
        <v>1349</v>
      </c>
      <c r="E357" s="175"/>
      <c r="F357" s="175"/>
    </row>
    <row r="358" spans="1:6" ht="16.5" thickBot="1" x14ac:dyDescent="0.9">
      <c r="A358" s="86" t="s">
        <v>1626</v>
      </c>
      <c r="B358" s="90" t="s">
        <v>1351</v>
      </c>
      <c r="C358" s="85" t="s">
        <v>1352</v>
      </c>
      <c r="D358" s="88"/>
      <c r="E358" s="85" t="s">
        <v>883</v>
      </c>
      <c r="F358" s="85" t="s">
        <v>59</v>
      </c>
    </row>
    <row r="359" spans="1:6" ht="15.75" x14ac:dyDescent="0.75">
      <c r="A359" s="174" t="s">
        <v>1627</v>
      </c>
      <c r="B359" s="160" t="s">
        <v>1354</v>
      </c>
      <c r="C359" s="174" t="s">
        <v>1355</v>
      </c>
      <c r="D359" s="95" t="s">
        <v>1082</v>
      </c>
      <c r="E359" s="174" t="s">
        <v>915</v>
      </c>
      <c r="F359" s="174" t="s">
        <v>59</v>
      </c>
    </row>
    <row r="360" spans="1:6" ht="15.75" x14ac:dyDescent="0.75">
      <c r="A360" s="178"/>
      <c r="B360" s="161"/>
      <c r="C360" s="178"/>
      <c r="D360" s="95" t="s">
        <v>1099</v>
      </c>
      <c r="E360" s="178"/>
      <c r="F360" s="178"/>
    </row>
    <row r="361" spans="1:6" ht="16.5" thickBot="1" x14ac:dyDescent="0.9">
      <c r="A361" s="175"/>
      <c r="B361" s="162"/>
      <c r="C361" s="175"/>
      <c r="D361" s="85" t="s">
        <v>1137</v>
      </c>
      <c r="E361" s="175"/>
      <c r="F361" s="175"/>
    </row>
    <row r="362" spans="1:6" ht="15.75" x14ac:dyDescent="0.75">
      <c r="A362" s="174" t="s">
        <v>1628</v>
      </c>
      <c r="B362" s="160" t="s">
        <v>1357</v>
      </c>
      <c r="C362" s="174" t="s">
        <v>1629</v>
      </c>
      <c r="D362" s="95" t="s">
        <v>1099</v>
      </c>
      <c r="E362" s="174" t="s">
        <v>915</v>
      </c>
      <c r="F362" s="174" t="s">
        <v>912</v>
      </c>
    </row>
    <row r="363" spans="1:6" ht="15.75" x14ac:dyDescent="0.75">
      <c r="A363" s="178"/>
      <c r="B363" s="161"/>
      <c r="C363" s="178"/>
      <c r="D363" s="95" t="s">
        <v>1359</v>
      </c>
      <c r="E363" s="178"/>
      <c r="F363" s="178"/>
    </row>
    <row r="364" spans="1:6" ht="15.75" x14ac:dyDescent="0.75">
      <c r="A364" s="178"/>
      <c r="B364" s="161"/>
      <c r="C364" s="178"/>
      <c r="D364" s="95" t="s">
        <v>1360</v>
      </c>
      <c r="E364" s="178"/>
      <c r="F364" s="178"/>
    </row>
    <row r="365" spans="1:6" ht="16.5" thickBot="1" x14ac:dyDescent="0.9">
      <c r="A365" s="175"/>
      <c r="B365" s="162"/>
      <c r="C365" s="175"/>
      <c r="D365" s="85" t="s">
        <v>1361</v>
      </c>
      <c r="E365" s="175"/>
      <c r="F365" s="175"/>
    </row>
    <row r="366" spans="1:6" ht="15.75" x14ac:dyDescent="0.75">
      <c r="A366" s="174" t="s">
        <v>1630</v>
      </c>
      <c r="B366" s="160" t="s">
        <v>1631</v>
      </c>
      <c r="C366" s="174" t="s">
        <v>1632</v>
      </c>
      <c r="D366" s="95" t="s">
        <v>1082</v>
      </c>
      <c r="E366" s="174" t="s">
        <v>904</v>
      </c>
      <c r="F366" s="174" t="s">
        <v>59</v>
      </c>
    </row>
    <row r="367" spans="1:6" ht="15.75" x14ac:dyDescent="0.75">
      <c r="A367" s="178"/>
      <c r="B367" s="161"/>
      <c r="C367" s="178"/>
      <c r="D367" s="95" t="s">
        <v>1099</v>
      </c>
      <c r="E367" s="178"/>
      <c r="F367" s="178"/>
    </row>
    <row r="368" spans="1:6" ht="16.5" thickBot="1" x14ac:dyDescent="0.9">
      <c r="A368" s="175"/>
      <c r="B368" s="162"/>
      <c r="C368" s="175"/>
      <c r="D368" s="85" t="s">
        <v>1137</v>
      </c>
      <c r="E368" s="175"/>
      <c r="F368" s="175"/>
    </row>
    <row r="369" spans="1:6" ht="48" thickBot="1" x14ac:dyDescent="0.9">
      <c r="A369" s="86" t="s">
        <v>1633</v>
      </c>
      <c r="B369" s="90" t="s">
        <v>1363</v>
      </c>
      <c r="C369" s="85" t="s">
        <v>1634</v>
      </c>
      <c r="D369" s="88"/>
      <c r="E369" s="85" t="s">
        <v>904</v>
      </c>
      <c r="F369" s="85" t="s">
        <v>59</v>
      </c>
    </row>
    <row r="370" spans="1:6" ht="79.5" thickBot="1" x14ac:dyDescent="0.9">
      <c r="A370" s="80" t="s">
        <v>1635</v>
      </c>
      <c r="B370" s="84" t="s">
        <v>1636</v>
      </c>
      <c r="C370" s="85" t="s">
        <v>1637</v>
      </c>
      <c r="D370" s="88"/>
      <c r="E370" s="85" t="s">
        <v>890</v>
      </c>
      <c r="F370" s="85" t="s">
        <v>59</v>
      </c>
    </row>
    <row r="371" spans="1:6" x14ac:dyDescent="0.75">
      <c r="A371" s="174" t="s">
        <v>1638</v>
      </c>
      <c r="B371" s="166" t="s">
        <v>1319</v>
      </c>
      <c r="C371" s="174" t="s">
        <v>1320</v>
      </c>
      <c r="D371" s="120" t="s">
        <v>1099</v>
      </c>
      <c r="E371" s="174" t="s">
        <v>883</v>
      </c>
      <c r="F371" s="174" t="s">
        <v>884</v>
      </c>
    </row>
    <row r="372" spans="1:6" ht="15.5" thickBot="1" x14ac:dyDescent="0.9">
      <c r="A372" s="175"/>
      <c r="B372" s="167"/>
      <c r="C372" s="175"/>
      <c r="D372" s="89" t="s">
        <v>1323</v>
      </c>
      <c r="E372" s="175"/>
      <c r="F372" s="175"/>
    </row>
    <row r="373" spans="1:6" ht="32.25" thickBot="1" x14ac:dyDescent="0.9">
      <c r="A373" s="86" t="s">
        <v>1639</v>
      </c>
      <c r="B373" s="90" t="s">
        <v>1325</v>
      </c>
      <c r="C373" s="85" t="s">
        <v>1326</v>
      </c>
      <c r="D373" s="88"/>
      <c r="E373" s="85" t="s">
        <v>915</v>
      </c>
      <c r="F373" s="85" t="s">
        <v>912</v>
      </c>
    </row>
    <row r="374" spans="1:6" ht="16.5" thickBot="1" x14ac:dyDescent="0.9">
      <c r="A374" s="86" t="s">
        <v>1640</v>
      </c>
      <c r="B374" s="90" t="s">
        <v>1328</v>
      </c>
      <c r="C374" s="85" t="s">
        <v>1329</v>
      </c>
      <c r="D374" s="88"/>
      <c r="E374" s="85" t="s">
        <v>883</v>
      </c>
      <c r="F374" s="85" t="s">
        <v>59</v>
      </c>
    </row>
    <row r="375" spans="1:6" ht="48" thickBot="1" x14ac:dyDescent="0.9">
      <c r="A375" s="86" t="s">
        <v>1641</v>
      </c>
      <c r="B375" s="90" t="s">
        <v>1116</v>
      </c>
      <c r="C375" s="85" t="s">
        <v>1331</v>
      </c>
      <c r="D375" s="88"/>
      <c r="E375" s="85" t="s">
        <v>915</v>
      </c>
      <c r="F375" s="85" t="s">
        <v>59</v>
      </c>
    </row>
    <row r="376" spans="1:6" ht="15.75" x14ac:dyDescent="0.75">
      <c r="A376" s="174" t="s">
        <v>1642</v>
      </c>
      <c r="B376" s="160" t="s">
        <v>1333</v>
      </c>
      <c r="C376" s="174" t="s">
        <v>1334</v>
      </c>
      <c r="D376" s="95" t="s">
        <v>1082</v>
      </c>
      <c r="E376" s="174" t="s">
        <v>915</v>
      </c>
      <c r="F376" s="174" t="s">
        <v>912</v>
      </c>
    </row>
    <row r="377" spans="1:6" ht="15.75" x14ac:dyDescent="0.75">
      <c r="A377" s="178"/>
      <c r="B377" s="161"/>
      <c r="C377" s="178"/>
      <c r="D377" s="95" t="s">
        <v>1099</v>
      </c>
      <c r="E377" s="178"/>
      <c r="F377" s="178"/>
    </row>
    <row r="378" spans="1:6" ht="16.5" thickBot="1" x14ac:dyDescent="0.9">
      <c r="A378" s="175"/>
      <c r="B378" s="162"/>
      <c r="C378" s="175"/>
      <c r="D378" s="85" t="s">
        <v>1137</v>
      </c>
      <c r="E378" s="175"/>
      <c r="F378" s="175"/>
    </row>
    <row r="379" spans="1:6" ht="16.5" thickBot="1" x14ac:dyDescent="0.9">
      <c r="A379" s="80" t="s">
        <v>1643</v>
      </c>
      <c r="B379" s="84" t="s">
        <v>1644</v>
      </c>
      <c r="C379" s="182" t="s">
        <v>1645</v>
      </c>
      <c r="D379" s="183"/>
      <c r="E379" s="85" t="s">
        <v>904</v>
      </c>
      <c r="F379" s="85" t="s">
        <v>912</v>
      </c>
    </row>
    <row r="380" spans="1:6" ht="16.5" thickBot="1" x14ac:dyDescent="0.9">
      <c r="A380" s="86" t="s">
        <v>1646</v>
      </c>
      <c r="B380" s="90" t="s">
        <v>1647</v>
      </c>
      <c r="C380" s="85" t="s">
        <v>1623</v>
      </c>
      <c r="D380" s="85" t="s">
        <v>1099</v>
      </c>
      <c r="E380" s="85" t="s">
        <v>904</v>
      </c>
      <c r="F380" s="85" t="s">
        <v>912</v>
      </c>
    </row>
    <row r="381" spans="1:6" ht="16.5" thickBot="1" x14ac:dyDescent="0.9">
      <c r="A381" s="86" t="s">
        <v>1648</v>
      </c>
      <c r="B381" s="90" t="s">
        <v>1344</v>
      </c>
      <c r="C381" s="85" t="s">
        <v>1345</v>
      </c>
      <c r="D381" s="88"/>
      <c r="E381" s="85" t="s">
        <v>883</v>
      </c>
      <c r="F381" s="85" t="s">
        <v>884</v>
      </c>
    </row>
    <row r="382" spans="1:6" ht="15.75" x14ac:dyDescent="0.75">
      <c r="A382" s="174" t="s">
        <v>1649</v>
      </c>
      <c r="B382" s="160" t="s">
        <v>1347</v>
      </c>
      <c r="C382" s="174" t="s">
        <v>1348</v>
      </c>
      <c r="D382" s="95" t="s">
        <v>1099</v>
      </c>
      <c r="E382" s="174" t="s">
        <v>1442</v>
      </c>
      <c r="F382" s="174" t="s">
        <v>59</v>
      </c>
    </row>
    <row r="383" spans="1:6" ht="32.25" thickBot="1" x14ac:dyDescent="0.9">
      <c r="A383" s="175"/>
      <c r="B383" s="162"/>
      <c r="C383" s="175"/>
      <c r="D383" s="85" t="s">
        <v>1349</v>
      </c>
      <c r="E383" s="175"/>
      <c r="F383" s="175"/>
    </row>
    <row r="384" spans="1:6" ht="16.5" thickBot="1" x14ac:dyDescent="0.9">
      <c r="A384" s="86" t="s">
        <v>1650</v>
      </c>
      <c r="B384" s="90" t="s">
        <v>1351</v>
      </c>
      <c r="C384" s="85" t="s">
        <v>1352</v>
      </c>
      <c r="D384" s="88"/>
      <c r="E384" s="85" t="s">
        <v>883</v>
      </c>
      <c r="F384" s="85" t="s">
        <v>59</v>
      </c>
    </row>
    <row r="385" spans="1:6" ht="15.75" x14ac:dyDescent="0.75">
      <c r="A385" s="174" t="s">
        <v>1651</v>
      </c>
      <c r="B385" s="160" t="s">
        <v>1354</v>
      </c>
      <c r="C385" s="174" t="s">
        <v>1355</v>
      </c>
      <c r="D385" s="95" t="s">
        <v>1082</v>
      </c>
      <c r="E385" s="174" t="s">
        <v>915</v>
      </c>
      <c r="F385" s="174" t="s">
        <v>59</v>
      </c>
    </row>
    <row r="386" spans="1:6" ht="15.75" x14ac:dyDescent="0.75">
      <c r="A386" s="178"/>
      <c r="B386" s="161"/>
      <c r="C386" s="178"/>
      <c r="D386" s="95" t="s">
        <v>1099</v>
      </c>
      <c r="E386" s="178"/>
      <c r="F386" s="178"/>
    </row>
    <row r="387" spans="1:6" ht="16.5" thickBot="1" x14ac:dyDescent="0.9">
      <c r="A387" s="175"/>
      <c r="B387" s="162"/>
      <c r="C387" s="175"/>
      <c r="D387" s="85" t="s">
        <v>1137</v>
      </c>
      <c r="E387" s="175"/>
      <c r="F387" s="175"/>
    </row>
    <row r="388" spans="1:6" ht="15.75" x14ac:dyDescent="0.75">
      <c r="A388" s="163" t="s">
        <v>1652</v>
      </c>
      <c r="B388" s="163" t="s">
        <v>1653</v>
      </c>
      <c r="C388" s="184" t="s">
        <v>1654</v>
      </c>
      <c r="D388" s="185"/>
      <c r="E388" s="174" t="s">
        <v>904</v>
      </c>
      <c r="F388" s="174" t="s">
        <v>59</v>
      </c>
    </row>
    <row r="389" spans="1:6" ht="16.5" thickBot="1" x14ac:dyDescent="0.9">
      <c r="A389" s="165"/>
      <c r="B389" s="165"/>
      <c r="C389" s="195" t="s">
        <v>1655</v>
      </c>
      <c r="D389" s="196"/>
      <c r="E389" s="175"/>
      <c r="F389" s="175"/>
    </row>
    <row r="390" spans="1:6" ht="15.75" x14ac:dyDescent="0.75">
      <c r="A390" s="174" t="s">
        <v>1656</v>
      </c>
      <c r="B390" s="168" t="s">
        <v>1657</v>
      </c>
      <c r="C390" s="174" t="s">
        <v>1658</v>
      </c>
      <c r="D390" s="95" t="s">
        <v>1082</v>
      </c>
      <c r="E390" s="174" t="s">
        <v>915</v>
      </c>
      <c r="F390" s="174" t="s">
        <v>59</v>
      </c>
    </row>
    <row r="391" spans="1:6" ht="15.75" x14ac:dyDescent="0.75">
      <c r="A391" s="178"/>
      <c r="B391" s="169"/>
      <c r="C391" s="178"/>
      <c r="D391" s="95" t="s">
        <v>1099</v>
      </c>
      <c r="E391" s="178"/>
      <c r="F391" s="178"/>
    </row>
    <row r="392" spans="1:6" ht="16.5" thickBot="1" x14ac:dyDescent="0.9">
      <c r="A392" s="175"/>
      <c r="B392" s="170"/>
      <c r="C392" s="175"/>
      <c r="D392" s="85" t="s">
        <v>1137</v>
      </c>
      <c r="E392" s="175"/>
      <c r="F392" s="175"/>
    </row>
    <row r="393" spans="1:6" ht="32.25" thickBot="1" x14ac:dyDescent="0.9">
      <c r="A393" s="86" t="s">
        <v>1659</v>
      </c>
      <c r="B393" s="90" t="s">
        <v>1660</v>
      </c>
      <c r="C393" s="85" t="s">
        <v>1661</v>
      </c>
      <c r="D393" s="88"/>
      <c r="E393" s="85" t="s">
        <v>904</v>
      </c>
      <c r="F393" s="85" t="s">
        <v>59</v>
      </c>
    </row>
    <row r="394" spans="1:6" ht="32.25" thickBot="1" x14ac:dyDescent="0.9">
      <c r="A394" s="86" t="s">
        <v>1662</v>
      </c>
      <c r="B394" s="90" t="s">
        <v>1663</v>
      </c>
      <c r="C394" s="85" t="s">
        <v>1664</v>
      </c>
      <c r="D394" s="88"/>
      <c r="E394" s="85" t="s">
        <v>883</v>
      </c>
      <c r="F394" s="85" t="s">
        <v>59</v>
      </c>
    </row>
    <row r="395" spans="1:6" ht="48" thickBot="1" x14ac:dyDescent="0.9">
      <c r="A395" s="86" t="s">
        <v>1665</v>
      </c>
      <c r="B395" s="108" t="s">
        <v>1666</v>
      </c>
      <c r="C395" s="85" t="s">
        <v>1667</v>
      </c>
      <c r="D395" s="85" t="s">
        <v>1374</v>
      </c>
      <c r="E395" s="85" t="s">
        <v>904</v>
      </c>
      <c r="F395" s="85" t="s">
        <v>912</v>
      </c>
    </row>
    <row r="396" spans="1:6" ht="15.75" x14ac:dyDescent="0.75">
      <c r="A396" s="174" t="s">
        <v>1668</v>
      </c>
      <c r="B396" s="168" t="s">
        <v>1669</v>
      </c>
      <c r="C396" s="174" t="s">
        <v>1670</v>
      </c>
      <c r="D396" s="95" t="s">
        <v>1671</v>
      </c>
      <c r="E396" s="174" t="s">
        <v>904</v>
      </c>
      <c r="F396" s="174" t="s">
        <v>912</v>
      </c>
    </row>
    <row r="397" spans="1:6" ht="16.5" thickBot="1" x14ac:dyDescent="0.9">
      <c r="A397" s="175"/>
      <c r="B397" s="170"/>
      <c r="C397" s="175"/>
      <c r="D397" s="85" t="s">
        <v>1672</v>
      </c>
      <c r="E397" s="175"/>
      <c r="F397" s="175"/>
    </row>
    <row r="398" spans="1:6" ht="32.25" thickBot="1" x14ac:dyDescent="0.9">
      <c r="A398" s="86" t="s">
        <v>1673</v>
      </c>
      <c r="B398" s="108" t="s">
        <v>1674</v>
      </c>
      <c r="C398" s="85" t="s">
        <v>1675</v>
      </c>
      <c r="D398" s="85" t="s">
        <v>1585</v>
      </c>
      <c r="E398" s="85" t="s">
        <v>915</v>
      </c>
      <c r="F398" s="85" t="s">
        <v>912</v>
      </c>
    </row>
    <row r="399" spans="1:6" ht="32.25" thickBot="1" x14ac:dyDescent="0.9">
      <c r="A399" s="86" t="s">
        <v>1676</v>
      </c>
      <c r="B399" s="92" t="s">
        <v>1677</v>
      </c>
      <c r="C399" s="85" t="s">
        <v>1678</v>
      </c>
      <c r="D399" s="88"/>
      <c r="E399" s="85" t="s">
        <v>904</v>
      </c>
      <c r="F399" s="85" t="s">
        <v>912</v>
      </c>
    </row>
    <row r="400" spans="1:6" ht="32.25" thickBot="1" x14ac:dyDescent="0.9">
      <c r="A400" s="86" t="s">
        <v>1679</v>
      </c>
      <c r="B400" s="92" t="s">
        <v>1584</v>
      </c>
      <c r="C400" s="85" t="s">
        <v>1680</v>
      </c>
      <c r="D400" s="85" t="s">
        <v>1585</v>
      </c>
      <c r="E400" s="85" t="s">
        <v>915</v>
      </c>
      <c r="F400" s="85" t="s">
        <v>912</v>
      </c>
    </row>
    <row r="401" spans="1:6" ht="32.25" thickBot="1" x14ac:dyDescent="0.9">
      <c r="A401" s="86" t="s">
        <v>1681</v>
      </c>
      <c r="B401" s="92" t="s">
        <v>1682</v>
      </c>
      <c r="C401" s="85" t="s">
        <v>1683</v>
      </c>
      <c r="D401" s="88"/>
      <c r="E401" s="85" t="s">
        <v>915</v>
      </c>
      <c r="F401" s="85" t="s">
        <v>59</v>
      </c>
    </row>
    <row r="402" spans="1:6" ht="16.5" thickBot="1" x14ac:dyDescent="0.9">
      <c r="A402" s="80" t="s">
        <v>1684</v>
      </c>
      <c r="B402" s="84" t="s">
        <v>1685</v>
      </c>
      <c r="C402" s="182" t="s">
        <v>1686</v>
      </c>
      <c r="D402" s="183"/>
      <c r="E402" s="85" t="s">
        <v>904</v>
      </c>
      <c r="F402" s="85" t="s">
        <v>59</v>
      </c>
    </row>
    <row r="403" spans="1:6" ht="16.5" thickBot="1" x14ac:dyDescent="0.9">
      <c r="A403" s="86" t="s">
        <v>1687</v>
      </c>
      <c r="B403" s="90" t="s">
        <v>61</v>
      </c>
      <c r="C403" s="85" t="s">
        <v>1688</v>
      </c>
      <c r="D403" s="88"/>
      <c r="E403" s="85" t="s">
        <v>883</v>
      </c>
      <c r="F403" s="85" t="s">
        <v>59</v>
      </c>
    </row>
    <row r="404" spans="1:6" ht="16.5" thickBot="1" x14ac:dyDescent="0.9">
      <c r="A404" s="86" t="s">
        <v>1689</v>
      </c>
      <c r="B404" s="90" t="s">
        <v>1690</v>
      </c>
      <c r="C404" s="85" t="s">
        <v>1691</v>
      </c>
      <c r="D404" s="89" t="s">
        <v>1692</v>
      </c>
      <c r="E404" s="85" t="s">
        <v>883</v>
      </c>
      <c r="F404" s="85" t="s">
        <v>59</v>
      </c>
    </row>
    <row r="405" spans="1:6" ht="16.5" thickBot="1" x14ac:dyDescent="0.9">
      <c r="A405" s="86" t="s">
        <v>1693</v>
      </c>
      <c r="B405" s="90" t="s">
        <v>1279</v>
      </c>
      <c r="C405" s="85" t="s">
        <v>1280</v>
      </c>
      <c r="D405" s="88"/>
      <c r="E405" s="85" t="s">
        <v>915</v>
      </c>
      <c r="F405" s="85" t="s">
        <v>912</v>
      </c>
    </row>
    <row r="406" spans="1:6" ht="15.75" x14ac:dyDescent="0.75">
      <c r="A406" s="174" t="s">
        <v>1694</v>
      </c>
      <c r="B406" s="160" t="s">
        <v>1281</v>
      </c>
      <c r="C406" s="174" t="s">
        <v>1234</v>
      </c>
      <c r="D406" s="95" t="s">
        <v>1035</v>
      </c>
      <c r="E406" s="174" t="s">
        <v>883</v>
      </c>
      <c r="F406" s="174" t="s">
        <v>59</v>
      </c>
    </row>
    <row r="407" spans="1:6" ht="15.75" x14ac:dyDescent="0.75">
      <c r="A407" s="178"/>
      <c r="B407" s="161"/>
      <c r="C407" s="178"/>
      <c r="D407" s="95" t="s">
        <v>1695</v>
      </c>
      <c r="E407" s="178"/>
      <c r="F407" s="178"/>
    </row>
    <row r="408" spans="1:6" ht="15.75" x14ac:dyDescent="0.75">
      <c r="A408" s="178"/>
      <c r="B408" s="161"/>
      <c r="C408" s="178"/>
      <c r="D408" s="95" t="s">
        <v>1099</v>
      </c>
      <c r="E408" s="178"/>
      <c r="F408" s="178"/>
    </row>
    <row r="409" spans="1:6" ht="16.5" thickBot="1" x14ac:dyDescent="0.9">
      <c r="A409" s="175"/>
      <c r="B409" s="162"/>
      <c r="C409" s="175"/>
      <c r="D409" s="85" t="s">
        <v>1696</v>
      </c>
      <c r="E409" s="175"/>
      <c r="F409" s="175"/>
    </row>
    <row r="410" spans="1:6" ht="15.75" x14ac:dyDescent="0.75">
      <c r="A410" s="174" t="s">
        <v>1697</v>
      </c>
      <c r="B410" s="166" t="s">
        <v>1238</v>
      </c>
      <c r="C410" s="174" t="s">
        <v>1698</v>
      </c>
      <c r="D410" s="95" t="s">
        <v>1099</v>
      </c>
      <c r="E410" s="174" t="s">
        <v>915</v>
      </c>
      <c r="F410" s="174" t="s">
        <v>59</v>
      </c>
    </row>
    <row r="411" spans="1:6" ht="16.5" thickBot="1" x14ac:dyDescent="0.9">
      <c r="A411" s="175"/>
      <c r="B411" s="167"/>
      <c r="C411" s="175"/>
      <c r="D411" s="85" t="s">
        <v>1671</v>
      </c>
      <c r="E411" s="175"/>
      <c r="F411" s="175"/>
    </row>
    <row r="412" spans="1:6" ht="48" thickBot="1" x14ac:dyDescent="0.9">
      <c r="A412" s="86" t="s">
        <v>1699</v>
      </c>
      <c r="B412" s="90" t="s">
        <v>1223</v>
      </c>
      <c r="C412" s="85" t="s">
        <v>1700</v>
      </c>
      <c r="D412" s="88"/>
      <c r="E412" s="85" t="s">
        <v>904</v>
      </c>
      <c r="F412" s="85" t="s">
        <v>59</v>
      </c>
    </row>
    <row r="413" spans="1:6" ht="32.25" thickBot="1" x14ac:dyDescent="0.9">
      <c r="A413" s="86" t="s">
        <v>1701</v>
      </c>
      <c r="B413" s="90" t="s">
        <v>1702</v>
      </c>
      <c r="C413" s="85" t="s">
        <v>1703</v>
      </c>
      <c r="D413" s="88"/>
      <c r="E413" s="85" t="s">
        <v>904</v>
      </c>
      <c r="F413" s="85" t="s">
        <v>59</v>
      </c>
    </row>
    <row r="414" spans="1:6" ht="16.5" thickBot="1" x14ac:dyDescent="0.9">
      <c r="A414" s="80" t="s">
        <v>1704</v>
      </c>
      <c r="B414" s="84" t="s">
        <v>1705</v>
      </c>
      <c r="C414" s="182" t="s">
        <v>1706</v>
      </c>
      <c r="D414" s="183"/>
      <c r="E414" s="85" t="s">
        <v>883</v>
      </c>
      <c r="F414" s="85" t="s">
        <v>884</v>
      </c>
    </row>
    <row r="415" spans="1:6" ht="32.25" thickBot="1" x14ac:dyDescent="0.9">
      <c r="A415" s="86" t="s">
        <v>1707</v>
      </c>
      <c r="B415" s="90" t="s">
        <v>1708</v>
      </c>
      <c r="C415" s="85" t="s">
        <v>1709</v>
      </c>
      <c r="D415" s="88"/>
      <c r="E415" s="85" t="s">
        <v>890</v>
      </c>
      <c r="F415" s="85" t="s">
        <v>884</v>
      </c>
    </row>
    <row r="416" spans="1:6" ht="32.25" thickBot="1" x14ac:dyDescent="0.9">
      <c r="A416" s="86" t="s">
        <v>1710</v>
      </c>
      <c r="B416" s="87" t="s">
        <v>1292</v>
      </c>
      <c r="C416" s="85" t="s">
        <v>1711</v>
      </c>
      <c r="D416" s="88"/>
      <c r="E416" s="85" t="s">
        <v>883</v>
      </c>
      <c r="F416" s="85" t="s">
        <v>884</v>
      </c>
    </row>
    <row r="417" spans="1:6" ht="32.25" thickBot="1" x14ac:dyDescent="0.9">
      <c r="A417" s="86" t="s">
        <v>1712</v>
      </c>
      <c r="B417" s="90" t="s">
        <v>1713</v>
      </c>
      <c r="C417" s="85" t="s">
        <v>1714</v>
      </c>
      <c r="D417" s="88"/>
      <c r="E417" s="85" t="s">
        <v>883</v>
      </c>
      <c r="F417" s="85" t="s">
        <v>884</v>
      </c>
    </row>
    <row r="418" spans="1:6" ht="48" thickBot="1" x14ac:dyDescent="0.9">
      <c r="A418" s="86" t="s">
        <v>1715</v>
      </c>
      <c r="B418" s="90" t="s">
        <v>1716</v>
      </c>
      <c r="C418" s="85" t="s">
        <v>1717</v>
      </c>
      <c r="D418" s="88"/>
      <c r="E418" s="85" t="s">
        <v>915</v>
      </c>
      <c r="F418" s="85" t="s">
        <v>912</v>
      </c>
    </row>
    <row r="419" spans="1:6" ht="16.5" thickBot="1" x14ac:dyDescent="0.9">
      <c r="A419" s="80" t="s">
        <v>1718</v>
      </c>
      <c r="B419" s="197" t="s">
        <v>1719</v>
      </c>
      <c r="C419" s="198"/>
      <c r="D419" s="199"/>
      <c r="E419" s="85" t="s">
        <v>883</v>
      </c>
      <c r="F419" s="85" t="s">
        <v>884</v>
      </c>
    </row>
    <row r="420" spans="1:6" ht="16.5" thickBot="1" x14ac:dyDescent="0.9">
      <c r="A420" s="80" t="s">
        <v>1720</v>
      </c>
      <c r="B420" s="197" t="s">
        <v>1219</v>
      </c>
      <c r="C420" s="198"/>
      <c r="D420" s="199"/>
      <c r="E420" s="85" t="s">
        <v>915</v>
      </c>
      <c r="F420" s="85" t="s">
        <v>912</v>
      </c>
    </row>
    <row r="421" spans="1:6" ht="16.5" thickBot="1" x14ac:dyDescent="0.9">
      <c r="A421" s="86" t="s">
        <v>1721</v>
      </c>
      <c r="B421" s="90" t="s">
        <v>61</v>
      </c>
      <c r="C421" s="85" t="s">
        <v>1722</v>
      </c>
      <c r="D421" s="88"/>
      <c r="E421" s="85" t="s">
        <v>883</v>
      </c>
      <c r="F421" s="85" t="s">
        <v>59</v>
      </c>
    </row>
    <row r="422" spans="1:6" ht="48" thickBot="1" x14ac:dyDescent="0.9">
      <c r="A422" s="86" t="s">
        <v>1723</v>
      </c>
      <c r="B422" s="90" t="s">
        <v>1223</v>
      </c>
      <c r="C422" s="85" t="s">
        <v>1224</v>
      </c>
      <c r="D422" s="88"/>
      <c r="E422" s="85" t="s">
        <v>904</v>
      </c>
      <c r="F422" s="85" t="s">
        <v>59</v>
      </c>
    </row>
    <row r="423" spans="1:6" ht="15.75" x14ac:dyDescent="0.75">
      <c r="A423" s="163" t="s">
        <v>1724</v>
      </c>
      <c r="B423" s="163" t="s">
        <v>1226</v>
      </c>
      <c r="C423" s="184" t="s">
        <v>1725</v>
      </c>
      <c r="D423" s="185"/>
      <c r="E423" s="174" t="s">
        <v>904</v>
      </c>
      <c r="F423" s="174" t="s">
        <v>912</v>
      </c>
    </row>
    <row r="424" spans="1:6" ht="15.75" x14ac:dyDescent="0.75">
      <c r="A424" s="164"/>
      <c r="B424" s="164"/>
      <c r="C424" s="193" t="s">
        <v>1726</v>
      </c>
      <c r="D424" s="194"/>
      <c r="E424" s="178"/>
      <c r="F424" s="178"/>
    </row>
    <row r="425" spans="1:6" ht="16.5" thickBot="1" x14ac:dyDescent="0.9">
      <c r="A425" s="165"/>
      <c r="B425" s="165"/>
      <c r="C425" s="195" t="s">
        <v>1727</v>
      </c>
      <c r="D425" s="196"/>
      <c r="E425" s="175"/>
      <c r="F425" s="175"/>
    </row>
    <row r="426" spans="1:6" ht="16.5" thickBot="1" x14ac:dyDescent="0.9">
      <c r="A426" s="86" t="s">
        <v>1728</v>
      </c>
      <c r="B426" s="87" t="s">
        <v>1279</v>
      </c>
      <c r="C426" s="85" t="s">
        <v>1280</v>
      </c>
      <c r="D426" s="88"/>
      <c r="E426" s="85" t="s">
        <v>915</v>
      </c>
      <c r="F426" s="85" t="s">
        <v>912</v>
      </c>
    </row>
    <row r="427" spans="1:6" x14ac:dyDescent="0.75">
      <c r="A427" s="174" t="s">
        <v>1729</v>
      </c>
      <c r="B427" s="166" t="s">
        <v>1281</v>
      </c>
      <c r="C427" s="174" t="s">
        <v>1234</v>
      </c>
      <c r="D427" s="101"/>
      <c r="E427" s="174" t="s">
        <v>883</v>
      </c>
      <c r="F427" s="174" t="s">
        <v>884</v>
      </c>
    </row>
    <row r="428" spans="1:6" ht="16.5" thickBot="1" x14ac:dyDescent="0.9">
      <c r="A428" s="175"/>
      <c r="B428" s="167"/>
      <c r="C428" s="175"/>
      <c r="D428" s="85" t="s">
        <v>1099</v>
      </c>
      <c r="E428" s="175"/>
      <c r="F428" s="175"/>
    </row>
    <row r="429" spans="1:6" ht="15.75" x14ac:dyDescent="0.75">
      <c r="A429" s="174" t="s">
        <v>1730</v>
      </c>
      <c r="B429" s="166" t="s">
        <v>1238</v>
      </c>
      <c r="C429" s="174" t="s">
        <v>1698</v>
      </c>
      <c r="D429" s="95" t="s">
        <v>1099</v>
      </c>
      <c r="E429" s="174" t="s">
        <v>883</v>
      </c>
      <c r="F429" s="174" t="s">
        <v>59</v>
      </c>
    </row>
    <row r="430" spans="1:6" ht="16.5" thickBot="1" x14ac:dyDescent="0.9">
      <c r="A430" s="175"/>
      <c r="B430" s="167"/>
      <c r="C430" s="175"/>
      <c r="D430" s="85" t="s">
        <v>1671</v>
      </c>
      <c r="E430" s="175"/>
      <c r="F430" s="175"/>
    </row>
    <row r="431" spans="1:6" ht="48" thickBot="1" x14ac:dyDescent="0.9">
      <c r="A431" s="86" t="s">
        <v>1731</v>
      </c>
      <c r="B431" s="90" t="s">
        <v>1223</v>
      </c>
      <c r="C431" s="85" t="s">
        <v>1700</v>
      </c>
      <c r="D431" s="88"/>
      <c r="E431" s="85" t="s">
        <v>904</v>
      </c>
      <c r="F431" s="85" t="s">
        <v>59</v>
      </c>
    </row>
    <row r="432" spans="1:6" ht="15.75" x14ac:dyDescent="0.75">
      <c r="A432" s="163" t="s">
        <v>1732</v>
      </c>
      <c r="B432" s="163" t="s">
        <v>1244</v>
      </c>
      <c r="C432" s="184" t="s">
        <v>1733</v>
      </c>
      <c r="D432" s="185"/>
      <c r="E432" s="174" t="s">
        <v>904</v>
      </c>
      <c r="F432" s="174" t="s">
        <v>912</v>
      </c>
    </row>
    <row r="433" spans="1:6" ht="15.75" x14ac:dyDescent="0.75">
      <c r="A433" s="164"/>
      <c r="B433" s="164"/>
      <c r="C433" s="193" t="s">
        <v>1734</v>
      </c>
      <c r="D433" s="194"/>
      <c r="E433" s="178"/>
      <c r="F433" s="178"/>
    </row>
    <row r="434" spans="1:6" ht="16.5" thickBot="1" x14ac:dyDescent="0.9">
      <c r="A434" s="165"/>
      <c r="B434" s="165"/>
      <c r="C434" s="195" t="s">
        <v>1735</v>
      </c>
      <c r="D434" s="196"/>
      <c r="E434" s="175"/>
      <c r="F434" s="175"/>
    </row>
    <row r="435" spans="1:6" ht="16.5" thickBot="1" x14ac:dyDescent="0.9">
      <c r="A435" s="86" t="s">
        <v>1736</v>
      </c>
      <c r="B435" s="90" t="s">
        <v>1279</v>
      </c>
      <c r="C435" s="85" t="s">
        <v>1280</v>
      </c>
      <c r="D435" s="88"/>
      <c r="E435" s="85" t="s">
        <v>915</v>
      </c>
      <c r="F435" s="85" t="s">
        <v>912</v>
      </c>
    </row>
    <row r="436" spans="1:6" ht="48" thickBot="1" x14ac:dyDescent="0.9">
      <c r="A436" s="86" t="s">
        <v>1737</v>
      </c>
      <c r="B436" s="90" t="s">
        <v>1281</v>
      </c>
      <c r="C436" s="85" t="s">
        <v>1234</v>
      </c>
      <c r="D436" s="85" t="s">
        <v>1099</v>
      </c>
      <c r="E436" s="85" t="s">
        <v>883</v>
      </c>
      <c r="F436" s="85" t="s">
        <v>884</v>
      </c>
    </row>
    <row r="437" spans="1:6" ht="15.75" x14ac:dyDescent="0.75">
      <c r="A437" s="174" t="s">
        <v>1738</v>
      </c>
      <c r="B437" s="160" t="s">
        <v>1238</v>
      </c>
      <c r="C437" s="174" t="s">
        <v>1698</v>
      </c>
      <c r="D437" s="95" t="s">
        <v>1099</v>
      </c>
      <c r="E437" s="174" t="s">
        <v>883</v>
      </c>
      <c r="F437" s="174" t="s">
        <v>59</v>
      </c>
    </row>
    <row r="438" spans="1:6" ht="16.5" thickBot="1" x14ac:dyDescent="0.9">
      <c r="A438" s="175"/>
      <c r="B438" s="162"/>
      <c r="C438" s="175"/>
      <c r="D438" s="85" t="s">
        <v>1254</v>
      </c>
      <c r="E438" s="175"/>
      <c r="F438" s="175"/>
    </row>
    <row r="439" spans="1:6" ht="48" thickBot="1" x14ac:dyDescent="0.9">
      <c r="A439" s="86" t="s">
        <v>1739</v>
      </c>
      <c r="B439" s="90" t="s">
        <v>1223</v>
      </c>
      <c r="C439" s="85" t="s">
        <v>1700</v>
      </c>
      <c r="D439" s="88"/>
      <c r="E439" s="85" t="s">
        <v>904</v>
      </c>
      <c r="F439" s="85" t="s">
        <v>59</v>
      </c>
    </row>
    <row r="440" spans="1:6" ht="16.5" thickBot="1" x14ac:dyDescent="0.9">
      <c r="A440" s="80" t="s">
        <v>1740</v>
      </c>
      <c r="B440" s="84" t="s">
        <v>1257</v>
      </c>
      <c r="C440" s="182" t="s">
        <v>1258</v>
      </c>
      <c r="D440" s="183"/>
      <c r="E440" s="85" t="s">
        <v>915</v>
      </c>
      <c r="F440" s="85" t="s">
        <v>912</v>
      </c>
    </row>
    <row r="441" spans="1:6" ht="32.25" thickBot="1" x14ac:dyDescent="0.9">
      <c r="A441" s="86" t="s">
        <v>1741</v>
      </c>
      <c r="B441" s="90" t="s">
        <v>1260</v>
      </c>
      <c r="C441" s="85" t="s">
        <v>1742</v>
      </c>
      <c r="D441" s="88"/>
      <c r="E441" s="85" t="s">
        <v>883</v>
      </c>
      <c r="F441" s="85" t="s">
        <v>59</v>
      </c>
    </row>
    <row r="442" spans="1:6" ht="48" thickBot="1" x14ac:dyDescent="0.9">
      <c r="A442" s="86" t="s">
        <v>1743</v>
      </c>
      <c r="B442" s="90" t="s">
        <v>1223</v>
      </c>
      <c r="C442" s="85" t="s">
        <v>1224</v>
      </c>
      <c r="D442" s="88"/>
      <c r="E442" s="85" t="s">
        <v>904</v>
      </c>
      <c r="F442" s="85" t="s">
        <v>59</v>
      </c>
    </row>
    <row r="443" spans="1:6" ht="15.75" x14ac:dyDescent="0.75">
      <c r="A443" s="163" t="s">
        <v>1744</v>
      </c>
      <c r="B443" s="163" t="s">
        <v>1745</v>
      </c>
      <c r="C443" s="184" t="s">
        <v>1265</v>
      </c>
      <c r="D443" s="185"/>
      <c r="E443" s="174" t="s">
        <v>915</v>
      </c>
      <c r="F443" s="174" t="s">
        <v>59</v>
      </c>
    </row>
    <row r="444" spans="1:6" x14ac:dyDescent="0.75">
      <c r="A444" s="164"/>
      <c r="B444" s="164"/>
      <c r="C444" s="186"/>
      <c r="D444" s="187"/>
      <c r="E444" s="178"/>
      <c r="F444" s="178"/>
    </row>
    <row r="445" spans="1:6" ht="15.5" thickBot="1" x14ac:dyDescent="0.9">
      <c r="A445" s="165"/>
      <c r="B445" s="165"/>
      <c r="C445" s="188" t="s">
        <v>1266</v>
      </c>
      <c r="D445" s="189"/>
      <c r="E445" s="175"/>
      <c r="F445" s="175"/>
    </row>
    <row r="446" spans="1:6" ht="16.5" thickBot="1" x14ac:dyDescent="0.9">
      <c r="A446" s="86" t="s">
        <v>1746</v>
      </c>
      <c r="B446" s="90" t="s">
        <v>1072</v>
      </c>
      <c r="C446" s="85" t="s">
        <v>1221</v>
      </c>
      <c r="D446" s="88"/>
      <c r="E446" s="85" t="s">
        <v>883</v>
      </c>
      <c r="F446" s="85" t="s">
        <v>59</v>
      </c>
    </row>
    <row r="447" spans="1:6" ht="48" thickBot="1" x14ac:dyDescent="0.9">
      <c r="A447" s="86" t="s">
        <v>1747</v>
      </c>
      <c r="B447" s="90" t="s">
        <v>1223</v>
      </c>
      <c r="C447" s="85" t="s">
        <v>1224</v>
      </c>
      <c r="D447" s="88"/>
      <c r="E447" s="85" t="s">
        <v>904</v>
      </c>
      <c r="F447" s="85" t="s">
        <v>59</v>
      </c>
    </row>
    <row r="448" spans="1:6" ht="48" thickBot="1" x14ac:dyDescent="0.9">
      <c r="A448" s="86" t="s">
        <v>1748</v>
      </c>
      <c r="B448" s="90" t="s">
        <v>3</v>
      </c>
      <c r="C448" s="85" t="s">
        <v>1270</v>
      </c>
      <c r="D448" s="88"/>
      <c r="E448" s="85" t="s">
        <v>915</v>
      </c>
      <c r="F448" s="85" t="s">
        <v>912</v>
      </c>
    </row>
    <row r="449" spans="1:6" ht="16.5" thickBot="1" x14ac:dyDescent="0.9">
      <c r="A449" s="86" t="s">
        <v>1749</v>
      </c>
      <c r="B449" s="90" t="s">
        <v>1272</v>
      </c>
      <c r="C449" s="85" t="s">
        <v>1750</v>
      </c>
      <c r="D449" s="88"/>
      <c r="E449" s="85" t="s">
        <v>904</v>
      </c>
      <c r="F449" s="85" t="s">
        <v>59</v>
      </c>
    </row>
    <row r="450" spans="1:6" ht="16.5" thickBot="1" x14ac:dyDescent="0.9">
      <c r="A450" s="86" t="s">
        <v>1751</v>
      </c>
      <c r="B450" s="90" t="s">
        <v>1277</v>
      </c>
      <c r="C450" s="85" t="s">
        <v>1278</v>
      </c>
      <c r="D450" s="88"/>
      <c r="E450" s="85" t="s">
        <v>915</v>
      </c>
      <c r="F450" s="85" t="s">
        <v>59</v>
      </c>
    </row>
    <row r="451" spans="1:6" ht="16.5" thickBot="1" x14ac:dyDescent="0.9">
      <c r="A451" s="86" t="s">
        <v>1752</v>
      </c>
      <c r="B451" s="90" t="s">
        <v>1279</v>
      </c>
      <c r="C451" s="85" t="s">
        <v>1280</v>
      </c>
      <c r="D451" s="88"/>
      <c r="E451" s="85" t="s">
        <v>915</v>
      </c>
      <c r="F451" s="85" t="s">
        <v>912</v>
      </c>
    </row>
    <row r="452" spans="1:6" ht="48" thickBot="1" x14ac:dyDescent="0.9">
      <c r="A452" s="86" t="s">
        <v>1753</v>
      </c>
      <c r="B452" s="90" t="s">
        <v>1281</v>
      </c>
      <c r="C452" s="85" t="s">
        <v>1234</v>
      </c>
      <c r="D452" s="85" t="s">
        <v>1282</v>
      </c>
      <c r="E452" s="85" t="s">
        <v>883</v>
      </c>
      <c r="F452" s="85" t="s">
        <v>59</v>
      </c>
    </row>
    <row r="453" spans="1:6" ht="79.5" thickBot="1" x14ac:dyDescent="0.9">
      <c r="A453" s="86" t="s">
        <v>1754</v>
      </c>
      <c r="B453" s="90" t="s">
        <v>1238</v>
      </c>
      <c r="C453" s="85" t="s">
        <v>1239</v>
      </c>
      <c r="D453" s="85" t="s">
        <v>1282</v>
      </c>
      <c r="E453" s="85" t="s">
        <v>883</v>
      </c>
      <c r="F453" s="85" t="s">
        <v>59</v>
      </c>
    </row>
    <row r="454" spans="1:6" ht="16.5" thickBot="1" x14ac:dyDescent="0.9">
      <c r="A454" s="86" t="s">
        <v>1755</v>
      </c>
      <c r="B454" s="85" t="s">
        <v>1756</v>
      </c>
      <c r="C454" s="85" t="s">
        <v>1757</v>
      </c>
      <c r="D454" s="88"/>
      <c r="E454" s="85" t="s">
        <v>915</v>
      </c>
      <c r="F454" s="85" t="s">
        <v>912</v>
      </c>
    </row>
    <row r="455" spans="1:6" ht="15.5" x14ac:dyDescent="0.75">
      <c r="A455" s="163" t="s">
        <v>1758</v>
      </c>
      <c r="B455" s="190" t="s">
        <v>1759</v>
      </c>
      <c r="C455" s="191"/>
      <c r="D455" s="192"/>
      <c r="E455" s="174" t="s">
        <v>915</v>
      </c>
      <c r="F455" s="174" t="s">
        <v>59</v>
      </c>
    </row>
    <row r="456" spans="1:6" ht="16.25" thickBot="1" x14ac:dyDescent="0.9">
      <c r="A456" s="165"/>
      <c r="B456" s="179" t="s">
        <v>1760</v>
      </c>
      <c r="C456" s="180"/>
      <c r="D456" s="181"/>
      <c r="E456" s="175"/>
      <c r="F456" s="175"/>
    </row>
    <row r="457" spans="1:6" ht="16.5" thickBot="1" x14ac:dyDescent="0.9">
      <c r="A457" s="80" t="s">
        <v>1761</v>
      </c>
      <c r="B457" s="145" t="s">
        <v>1762</v>
      </c>
      <c r="C457" s="182" t="s">
        <v>1763</v>
      </c>
      <c r="D457" s="183"/>
      <c r="E457" s="85" t="s">
        <v>904</v>
      </c>
      <c r="F457" s="85" t="s">
        <v>59</v>
      </c>
    </row>
    <row r="458" spans="1:6" ht="32.25" thickBot="1" x14ac:dyDescent="0.9">
      <c r="A458" s="86" t="s">
        <v>1764</v>
      </c>
      <c r="B458" s="90" t="s">
        <v>11</v>
      </c>
      <c r="C458" s="85" t="s">
        <v>1765</v>
      </c>
      <c r="D458" s="88"/>
      <c r="E458" s="85" t="s">
        <v>915</v>
      </c>
      <c r="F458" s="85" t="s">
        <v>59</v>
      </c>
    </row>
    <row r="459" spans="1:6" ht="15.75" x14ac:dyDescent="0.75">
      <c r="A459" s="174" t="s">
        <v>1766</v>
      </c>
      <c r="B459" s="160" t="s">
        <v>1767</v>
      </c>
      <c r="C459" s="174" t="s">
        <v>1768</v>
      </c>
      <c r="D459" s="95" t="s">
        <v>1335</v>
      </c>
      <c r="E459" s="174" t="s">
        <v>904</v>
      </c>
      <c r="F459" s="174" t="s">
        <v>59</v>
      </c>
    </row>
    <row r="460" spans="1:6" ht="15.75" x14ac:dyDescent="0.75">
      <c r="A460" s="178"/>
      <c r="B460" s="161"/>
      <c r="C460" s="178"/>
      <c r="D460" s="95" t="s">
        <v>1099</v>
      </c>
      <c r="E460" s="178"/>
      <c r="F460" s="178"/>
    </row>
    <row r="461" spans="1:6" ht="16.5" thickBot="1" x14ac:dyDescent="0.9">
      <c r="A461" s="175"/>
      <c r="B461" s="162"/>
      <c r="C461" s="175"/>
      <c r="D461" s="85" t="s">
        <v>1137</v>
      </c>
      <c r="E461" s="175"/>
      <c r="F461" s="175"/>
    </row>
    <row r="462" spans="1:6" ht="16.5" thickBot="1" x14ac:dyDescent="0.9">
      <c r="A462" s="86" t="s">
        <v>1769</v>
      </c>
      <c r="B462" s="87" t="s">
        <v>3</v>
      </c>
      <c r="C462" s="85" t="s">
        <v>1770</v>
      </c>
      <c r="D462" s="88"/>
      <c r="E462" s="85" t="s">
        <v>915</v>
      </c>
      <c r="F462" s="85" t="s">
        <v>59</v>
      </c>
    </row>
    <row r="463" spans="1:6" ht="32.25" thickBot="1" x14ac:dyDescent="0.9">
      <c r="A463" s="86" t="s">
        <v>1771</v>
      </c>
      <c r="B463" s="90" t="s">
        <v>1772</v>
      </c>
      <c r="C463" s="85" t="s">
        <v>1773</v>
      </c>
      <c r="D463" s="88"/>
      <c r="E463" s="85" t="s">
        <v>915</v>
      </c>
      <c r="F463" s="85" t="s">
        <v>59</v>
      </c>
    </row>
    <row r="464" spans="1:6" ht="16.5" thickBot="1" x14ac:dyDescent="0.9">
      <c r="A464" s="86" t="s">
        <v>1774</v>
      </c>
      <c r="B464" s="90" t="s">
        <v>1775</v>
      </c>
      <c r="C464" s="85" t="s">
        <v>1776</v>
      </c>
      <c r="D464" s="88"/>
      <c r="E464" s="85" t="s">
        <v>904</v>
      </c>
      <c r="F464" s="85" t="s">
        <v>59</v>
      </c>
    </row>
    <row r="465" spans="1:6" ht="16.5" thickBot="1" x14ac:dyDescent="0.9">
      <c r="A465" s="86" t="s">
        <v>1777</v>
      </c>
      <c r="B465" s="90" t="s">
        <v>1778</v>
      </c>
      <c r="C465" s="85" t="s">
        <v>1779</v>
      </c>
      <c r="D465" s="88"/>
      <c r="E465" s="85" t="s">
        <v>904</v>
      </c>
      <c r="F465" s="85" t="s">
        <v>912</v>
      </c>
    </row>
    <row r="466" spans="1:6" x14ac:dyDescent="0.75">
      <c r="A466" s="174" t="s">
        <v>1780</v>
      </c>
      <c r="B466" s="160" t="s">
        <v>1781</v>
      </c>
      <c r="C466" s="174" t="s">
        <v>1782</v>
      </c>
      <c r="D466" s="120" t="s">
        <v>1783</v>
      </c>
      <c r="E466" s="174" t="s">
        <v>915</v>
      </c>
      <c r="F466" s="174" t="s">
        <v>59</v>
      </c>
    </row>
    <row r="467" spans="1:6" x14ac:dyDescent="0.75">
      <c r="A467" s="178"/>
      <c r="B467" s="161"/>
      <c r="C467" s="178"/>
      <c r="D467" s="120" t="s">
        <v>1784</v>
      </c>
      <c r="E467" s="178"/>
      <c r="F467" s="178"/>
    </row>
    <row r="468" spans="1:6" x14ac:dyDescent="0.75">
      <c r="A468" s="178"/>
      <c r="B468" s="161"/>
      <c r="C468" s="178"/>
      <c r="D468" s="120" t="s">
        <v>1785</v>
      </c>
      <c r="E468" s="178"/>
      <c r="F468" s="178"/>
    </row>
    <row r="469" spans="1:6" x14ac:dyDescent="0.75">
      <c r="A469" s="178"/>
      <c r="B469" s="161"/>
      <c r="C469" s="178"/>
      <c r="D469" s="120" t="s">
        <v>1786</v>
      </c>
      <c r="E469" s="178"/>
      <c r="F469" s="178"/>
    </row>
    <row r="470" spans="1:6" x14ac:dyDescent="0.75">
      <c r="A470" s="178"/>
      <c r="B470" s="161"/>
      <c r="C470" s="178"/>
      <c r="D470" s="120" t="s">
        <v>1787</v>
      </c>
      <c r="E470" s="178"/>
      <c r="F470" s="178"/>
    </row>
    <row r="471" spans="1:6" x14ac:dyDescent="0.75">
      <c r="A471" s="178"/>
      <c r="B471" s="161"/>
      <c r="C471" s="178"/>
      <c r="D471" s="120" t="s">
        <v>1788</v>
      </c>
      <c r="E471" s="178"/>
      <c r="F471" s="178"/>
    </row>
    <row r="472" spans="1:6" x14ac:dyDescent="0.75">
      <c r="A472" s="178"/>
      <c r="B472" s="161"/>
      <c r="C472" s="178"/>
      <c r="D472" s="120" t="s">
        <v>1789</v>
      </c>
      <c r="E472" s="178"/>
      <c r="F472" s="178"/>
    </row>
    <row r="473" spans="1:6" x14ac:dyDescent="0.75">
      <c r="A473" s="178"/>
      <c r="B473" s="161"/>
      <c r="C473" s="178"/>
      <c r="D473" s="120" t="s">
        <v>1790</v>
      </c>
      <c r="E473" s="178"/>
      <c r="F473" s="178"/>
    </row>
    <row r="474" spans="1:6" ht="15.5" thickBot="1" x14ac:dyDescent="0.9">
      <c r="A474" s="175"/>
      <c r="B474" s="162"/>
      <c r="C474" s="175"/>
      <c r="D474" s="89" t="s">
        <v>1791</v>
      </c>
      <c r="E474" s="175"/>
      <c r="F474" s="175"/>
    </row>
    <row r="475" spans="1:6" ht="16.5" thickBot="1" x14ac:dyDescent="0.9">
      <c r="A475" s="86" t="s">
        <v>1792</v>
      </c>
      <c r="B475" s="90" t="s">
        <v>1793</v>
      </c>
      <c r="C475" s="85" t="s">
        <v>1794</v>
      </c>
      <c r="D475" s="88"/>
      <c r="E475" s="85" t="s">
        <v>915</v>
      </c>
      <c r="F475" s="85" t="s">
        <v>59</v>
      </c>
    </row>
    <row r="476" spans="1:6" ht="32.25" thickBot="1" x14ac:dyDescent="0.9">
      <c r="A476" s="86" t="s">
        <v>1795</v>
      </c>
      <c r="B476" s="90" t="s">
        <v>1796</v>
      </c>
      <c r="C476" s="85" t="s">
        <v>1797</v>
      </c>
      <c r="D476" s="88"/>
      <c r="E476" s="85" t="s">
        <v>904</v>
      </c>
      <c r="F476" s="85" t="s">
        <v>59</v>
      </c>
    </row>
    <row r="477" spans="1:6" ht="63.75" thickBot="1" x14ac:dyDescent="0.9">
      <c r="A477" s="86" t="s">
        <v>1798</v>
      </c>
      <c r="B477" s="92" t="s">
        <v>1799</v>
      </c>
      <c r="C477" s="85" t="s">
        <v>1800</v>
      </c>
      <c r="D477" s="88"/>
      <c r="E477" s="88"/>
      <c r="F477" s="85" t="s">
        <v>884</v>
      </c>
    </row>
    <row r="478" spans="1:6" ht="16.5" thickBot="1" x14ac:dyDescent="0.9">
      <c r="A478" s="86" t="s">
        <v>1801</v>
      </c>
      <c r="B478" s="90" t="s">
        <v>72</v>
      </c>
      <c r="C478" s="85" t="s">
        <v>1802</v>
      </c>
      <c r="D478" s="89" t="s">
        <v>1803</v>
      </c>
      <c r="E478" s="85" t="s">
        <v>883</v>
      </c>
      <c r="F478" s="85" t="s">
        <v>59</v>
      </c>
    </row>
    <row r="479" spans="1:6" ht="15.75" x14ac:dyDescent="0.75">
      <c r="A479" s="174" t="s">
        <v>1804</v>
      </c>
      <c r="B479" s="160" t="s">
        <v>1657</v>
      </c>
      <c r="C479" s="174" t="s">
        <v>1805</v>
      </c>
      <c r="D479" s="95" t="s">
        <v>1082</v>
      </c>
      <c r="E479" s="174" t="s">
        <v>915</v>
      </c>
      <c r="F479" s="174" t="s">
        <v>59</v>
      </c>
    </row>
    <row r="480" spans="1:6" ht="15.75" x14ac:dyDescent="0.75">
      <c r="A480" s="178"/>
      <c r="B480" s="161"/>
      <c r="C480" s="178"/>
      <c r="D480" s="95" t="s">
        <v>1099</v>
      </c>
      <c r="E480" s="178"/>
      <c r="F480" s="178"/>
    </row>
    <row r="481" spans="1:6" ht="16.5" thickBot="1" x14ac:dyDescent="0.9">
      <c r="A481" s="175"/>
      <c r="B481" s="162"/>
      <c r="C481" s="175"/>
      <c r="D481" s="85" t="s">
        <v>1137</v>
      </c>
      <c r="E481" s="175"/>
      <c r="F481" s="175"/>
    </row>
    <row r="482" spans="1:6" ht="16.5" thickBot="1" x14ac:dyDescent="0.9">
      <c r="A482" s="86" t="s">
        <v>1806</v>
      </c>
      <c r="B482" s="90" t="s">
        <v>1807</v>
      </c>
      <c r="C482" s="85" t="s">
        <v>1808</v>
      </c>
      <c r="D482" s="89" t="s">
        <v>1809</v>
      </c>
      <c r="E482" s="85" t="s">
        <v>915</v>
      </c>
      <c r="F482" s="85" t="s">
        <v>59</v>
      </c>
    </row>
    <row r="483" spans="1:6" ht="16.5" thickBot="1" x14ac:dyDescent="0.9">
      <c r="A483" s="86" t="s">
        <v>1810</v>
      </c>
      <c r="B483" s="90" t="s">
        <v>64</v>
      </c>
      <c r="C483" s="85" t="s">
        <v>1811</v>
      </c>
      <c r="D483" s="85" t="s">
        <v>1812</v>
      </c>
      <c r="E483" s="85" t="s">
        <v>883</v>
      </c>
      <c r="F483" s="85" t="s">
        <v>59</v>
      </c>
    </row>
    <row r="484" spans="1:6" ht="32.25" thickBot="1" x14ac:dyDescent="0.9">
      <c r="A484" s="86" t="s">
        <v>1813</v>
      </c>
      <c r="B484" s="90" t="s">
        <v>1663</v>
      </c>
      <c r="C484" s="85" t="s">
        <v>1664</v>
      </c>
      <c r="D484" s="88"/>
      <c r="E484" s="85" t="s">
        <v>883</v>
      </c>
      <c r="F484" s="85" t="s">
        <v>59</v>
      </c>
    </row>
    <row r="485" spans="1:6" ht="48" thickBot="1" x14ac:dyDescent="0.9">
      <c r="A485" s="86" t="s">
        <v>1814</v>
      </c>
      <c r="B485" s="92" t="s">
        <v>1666</v>
      </c>
      <c r="C485" s="85" t="s">
        <v>1667</v>
      </c>
      <c r="D485" s="85" t="s">
        <v>1374</v>
      </c>
      <c r="E485" s="85" t="s">
        <v>904</v>
      </c>
      <c r="F485" s="85" t="s">
        <v>59</v>
      </c>
    </row>
    <row r="486" spans="1:6" ht="15.75" x14ac:dyDescent="0.75">
      <c r="A486" s="174" t="s">
        <v>1815</v>
      </c>
      <c r="B486" s="158" t="s">
        <v>1669</v>
      </c>
      <c r="C486" s="174" t="s">
        <v>1670</v>
      </c>
      <c r="D486" s="95" t="s">
        <v>1671</v>
      </c>
      <c r="E486" s="174" t="s">
        <v>904</v>
      </c>
      <c r="F486" s="174" t="s">
        <v>59</v>
      </c>
    </row>
    <row r="487" spans="1:6" ht="16.5" thickBot="1" x14ac:dyDescent="0.9">
      <c r="A487" s="175"/>
      <c r="B487" s="159"/>
      <c r="C487" s="175"/>
      <c r="D487" s="85" t="s">
        <v>1672</v>
      </c>
      <c r="E487" s="175"/>
      <c r="F487" s="175"/>
    </row>
    <row r="488" spans="1:6" ht="32.25" thickBot="1" x14ac:dyDescent="0.9">
      <c r="A488" s="86" t="s">
        <v>1816</v>
      </c>
      <c r="B488" s="92" t="s">
        <v>1674</v>
      </c>
      <c r="C488" s="85" t="s">
        <v>1675</v>
      </c>
      <c r="D488" s="85" t="s">
        <v>1672</v>
      </c>
      <c r="E488" s="85" t="s">
        <v>915</v>
      </c>
      <c r="F488" s="85" t="s">
        <v>59</v>
      </c>
    </row>
    <row r="489" spans="1:6" ht="31.5" x14ac:dyDescent="0.75">
      <c r="A489" s="174" t="s">
        <v>1817</v>
      </c>
      <c r="B489" s="158" t="s">
        <v>1677</v>
      </c>
      <c r="C489" s="95" t="s">
        <v>1818</v>
      </c>
      <c r="D489" s="176"/>
      <c r="E489" s="174" t="s">
        <v>904</v>
      </c>
      <c r="F489" s="174" t="s">
        <v>59</v>
      </c>
    </row>
    <row r="490" spans="1:6" ht="16.5" thickBot="1" x14ac:dyDescent="0.9">
      <c r="A490" s="175"/>
      <c r="B490" s="159"/>
      <c r="C490" s="85" t="s">
        <v>1819</v>
      </c>
      <c r="D490" s="177"/>
      <c r="E490" s="175"/>
      <c r="F490" s="175"/>
    </row>
    <row r="491" spans="1:6" ht="32.25" thickBot="1" x14ac:dyDescent="0.9">
      <c r="A491" s="86" t="s">
        <v>1820</v>
      </c>
      <c r="B491" s="92" t="s">
        <v>1584</v>
      </c>
      <c r="C491" s="85" t="s">
        <v>1821</v>
      </c>
      <c r="D491" s="85" t="s">
        <v>1672</v>
      </c>
      <c r="E491" s="85" t="s">
        <v>915</v>
      </c>
      <c r="F491" s="85" t="s">
        <v>59</v>
      </c>
    </row>
    <row r="492" spans="1:6" ht="32.25" thickBot="1" x14ac:dyDescent="0.9">
      <c r="A492" s="86" t="s">
        <v>1822</v>
      </c>
      <c r="B492" s="92" t="s">
        <v>1823</v>
      </c>
      <c r="C492" s="85" t="s">
        <v>1824</v>
      </c>
      <c r="D492" s="88"/>
      <c r="E492" s="85" t="s">
        <v>915</v>
      </c>
      <c r="F492" s="85" t="s">
        <v>59</v>
      </c>
    </row>
    <row r="493" spans="1:6" ht="63.75" thickBot="1" x14ac:dyDescent="0.9">
      <c r="A493" s="86" t="s">
        <v>1825</v>
      </c>
      <c r="B493" s="92" t="s">
        <v>1826</v>
      </c>
      <c r="C493" s="85" t="s">
        <v>1827</v>
      </c>
      <c r="D493" s="88"/>
      <c r="E493" s="85" t="s">
        <v>883</v>
      </c>
      <c r="F493" s="85" t="s">
        <v>59</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1" sqref="B11"/>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1912</v>
      </c>
      <c r="J4" s="17" t="str">
        <f>CONCATENATE("Logical: ",B4)</f>
        <v>Logical: HospitalDischargeReportSK</v>
      </c>
    </row>
    <row r="5" spans="1:12" x14ac:dyDescent="0.75">
      <c r="A5" s="15" t="s">
        <v>17</v>
      </c>
      <c r="B5" s="32" t="s">
        <v>1912</v>
      </c>
      <c r="J5" s="17" t="str">
        <f>CONCATENATE("Id: ",B5)</f>
        <v>Id: HospitalDischargeReportSK</v>
      </c>
    </row>
    <row r="6" spans="1:12" x14ac:dyDescent="0.75">
      <c r="A6" s="15" t="s">
        <v>11</v>
      </c>
      <c r="B6" s="33" t="s">
        <v>1913</v>
      </c>
      <c r="J6" s="18" t="str">
        <f>CONCATENATE("Title: ##34#",B6,"##34#")</f>
        <v>Title: ##34#Hospital Discharge Report (SK)##34#</v>
      </c>
    </row>
    <row r="7" spans="1:12" ht="30.25" thickBot="1" x14ac:dyDescent="0.9">
      <c r="A7" s="27" t="s">
        <v>3</v>
      </c>
      <c r="B7" s="37" t="s">
        <v>1914</v>
      </c>
      <c r="C7" s="9" t="s">
        <v>4</v>
      </c>
      <c r="D7" s="1" t="s">
        <v>5</v>
      </c>
      <c r="E7" s="3" t="s">
        <v>6</v>
      </c>
      <c r="F7" s="3" t="s">
        <v>7</v>
      </c>
      <c r="G7" s="3" t="s">
        <v>8</v>
      </c>
      <c r="H7" s="63" t="s">
        <v>169</v>
      </c>
      <c r="J7" s="18" t="str">
        <f>CONCATENATE("Description: "," ##334#",B7,"##334#",)</f>
        <v>Description:  ##334#Hospital Discharge Report SK
Maturity Level: 0 Draft##334#</v>
      </c>
    </row>
    <row r="8" spans="1:12" ht="44.25" x14ac:dyDescent="0.75">
      <c r="A8" s="11">
        <v>0</v>
      </c>
      <c r="B8" s="11" t="s">
        <v>1890</v>
      </c>
      <c r="C8" s="12" t="s">
        <v>1872</v>
      </c>
      <c r="D8" s="12" t="s">
        <v>1872</v>
      </c>
      <c r="E8" s="11">
        <v>1</v>
      </c>
      <c r="F8" s="11">
        <v>1</v>
      </c>
      <c r="G8" s="11" t="s">
        <v>2</v>
      </c>
      <c r="H8" s="12"/>
      <c r="I8" s="26"/>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1894</v>
      </c>
      <c r="C9" s="12" t="s">
        <v>1873</v>
      </c>
      <c r="D9" s="12" t="s">
        <v>1873</v>
      </c>
      <c r="E9" s="11">
        <v>1</v>
      </c>
      <c r="F9" s="11">
        <v>1</v>
      </c>
      <c r="G9" s="11" t="s">
        <v>2</v>
      </c>
      <c r="H9" s="12"/>
      <c r="I9" s="26"/>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1922</v>
      </c>
      <c r="C10" s="12" t="s">
        <v>2019</v>
      </c>
      <c r="D10" s="12" t="s">
        <v>2028</v>
      </c>
      <c r="E10" s="11">
        <v>1</v>
      </c>
      <c r="F10" s="11" t="s">
        <v>9</v>
      </c>
      <c r="G10" s="11" t="s">
        <v>1</v>
      </c>
      <c r="H10" s="12"/>
      <c r="I10" s="26"/>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1923</v>
      </c>
      <c r="C11" s="12" t="s">
        <v>1917</v>
      </c>
      <c r="D11" s="12" t="s">
        <v>2029</v>
      </c>
      <c r="E11" s="11">
        <v>1</v>
      </c>
      <c r="F11" s="11" t="s">
        <v>9</v>
      </c>
      <c r="G11" s="11" t="s">
        <v>1</v>
      </c>
      <c r="H11" s="12"/>
      <c r="I11" s="26"/>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1924</v>
      </c>
      <c r="C12" s="12" t="s">
        <v>2020</v>
      </c>
      <c r="D12" s="12" t="s">
        <v>896</v>
      </c>
      <c r="E12" s="11">
        <v>1</v>
      </c>
      <c r="F12" s="11">
        <v>1</v>
      </c>
      <c r="G12" s="11" t="s">
        <v>1921</v>
      </c>
      <c r="H12" s="12"/>
      <c r="I12" s="26"/>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1925</v>
      </c>
      <c r="C13" s="12" t="s">
        <v>2021</v>
      </c>
      <c r="D13" s="12" t="s">
        <v>2030</v>
      </c>
      <c r="E13" s="11">
        <v>1</v>
      </c>
      <c r="F13" s="11" t="s">
        <v>9</v>
      </c>
      <c r="G13" s="11" t="s">
        <v>927</v>
      </c>
      <c r="H13" s="12"/>
      <c r="I13" s="26"/>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1926</v>
      </c>
      <c r="C14" s="12" t="s">
        <v>1918</v>
      </c>
      <c r="D14" s="12" t="s">
        <v>902</v>
      </c>
      <c r="E14" s="11">
        <v>0</v>
      </c>
      <c r="F14" s="11" t="s">
        <v>9</v>
      </c>
      <c r="G14" s="11" t="s">
        <v>0</v>
      </c>
      <c r="H14" s="11" t="s">
        <v>903</v>
      </c>
      <c r="I14" s="26"/>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1927</v>
      </c>
      <c r="C15" s="12" t="s">
        <v>1919</v>
      </c>
      <c r="D15" s="12" t="s">
        <v>2044</v>
      </c>
      <c r="E15" s="11">
        <v>1</v>
      </c>
      <c r="F15" s="11">
        <v>1</v>
      </c>
      <c r="G15" s="11" t="s">
        <v>0</v>
      </c>
      <c r="H15" s="11" t="s">
        <v>2031</v>
      </c>
      <c r="I15" s="26"/>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1928</v>
      </c>
      <c r="C16" s="12" t="s">
        <v>1920</v>
      </c>
      <c r="D16" s="12" t="s">
        <v>2032</v>
      </c>
      <c r="E16" s="157">
        <v>0</v>
      </c>
      <c r="F16" s="157">
        <v>0</v>
      </c>
      <c r="G16" s="11" t="s">
        <v>0</v>
      </c>
      <c r="H16" s="11" t="s">
        <v>911</v>
      </c>
      <c r="I16" s="26"/>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1895</v>
      </c>
      <c r="C17" s="12" t="s">
        <v>1874</v>
      </c>
      <c r="D17" s="12" t="s">
        <v>1874</v>
      </c>
      <c r="E17" s="11">
        <v>0</v>
      </c>
      <c r="F17" s="11">
        <v>1</v>
      </c>
      <c r="G17" s="11" t="s">
        <v>2</v>
      </c>
      <c r="H17" s="12"/>
      <c r="I17" s="26"/>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1951</v>
      </c>
      <c r="C18" s="12" t="s">
        <v>1929</v>
      </c>
      <c r="D18" s="12" t="s">
        <v>1929</v>
      </c>
      <c r="E18" s="6">
        <v>0</v>
      </c>
      <c r="F18" s="6" t="s">
        <v>9</v>
      </c>
      <c r="G18" s="11" t="s">
        <v>2</v>
      </c>
      <c r="H18" s="12"/>
      <c r="I18" s="26"/>
      <c r="J18" s="12" t="str">
        <f t="shared" si="0"/>
        <v>* header.subject-contact.contactPoint 0..* BackboneElement ##34#A.1.2.1-Patient address []##34# ##334#A.1.2.1-Patient address []##334#</v>
      </c>
      <c r="L18" s="12" t="str">
        <f t="shared" si="1"/>
        <v/>
      </c>
    </row>
    <row r="19" spans="1:12" ht="103.25" x14ac:dyDescent="0.75">
      <c r="A19" s="11">
        <v>11</v>
      </c>
      <c r="B19" s="11" t="s">
        <v>1952</v>
      </c>
      <c r="C19" s="12" t="s">
        <v>1930</v>
      </c>
      <c r="D19" s="12" t="s">
        <v>920</v>
      </c>
      <c r="E19" s="11">
        <v>0</v>
      </c>
      <c r="F19" s="11" t="s">
        <v>9</v>
      </c>
      <c r="G19" s="11" t="s">
        <v>919</v>
      </c>
      <c r="H19" s="11" t="s">
        <v>903</v>
      </c>
      <c r="I19" s="26"/>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1953</v>
      </c>
      <c r="C20" s="12" t="s">
        <v>1931</v>
      </c>
      <c r="D20" s="12" t="s">
        <v>923</v>
      </c>
      <c r="E20" s="11">
        <v>0</v>
      </c>
      <c r="F20" s="11" t="s">
        <v>9</v>
      </c>
      <c r="G20" s="11" t="s">
        <v>1977</v>
      </c>
      <c r="H20" s="11"/>
      <c r="I20" s="26"/>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1954</v>
      </c>
      <c r="C21" s="12" t="s">
        <v>1932</v>
      </c>
      <c r="D21" s="12" t="s">
        <v>1829</v>
      </c>
      <c r="E21" s="11">
        <v>0</v>
      </c>
      <c r="F21" s="11" t="s">
        <v>9</v>
      </c>
      <c r="G21" s="11" t="s">
        <v>2</v>
      </c>
      <c r="H21" s="11"/>
      <c r="I21" s="26"/>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1955</v>
      </c>
      <c r="C22" s="12" t="s">
        <v>1933</v>
      </c>
      <c r="D22" s="12" t="s">
        <v>2033</v>
      </c>
      <c r="E22" s="11">
        <v>0</v>
      </c>
      <c r="F22" s="11" t="s">
        <v>9</v>
      </c>
      <c r="G22" s="11" t="s">
        <v>927</v>
      </c>
      <c r="H22" s="11"/>
      <c r="I22" s="26"/>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1956</v>
      </c>
      <c r="C23" s="12" t="s">
        <v>1934</v>
      </c>
      <c r="D23" s="12" t="s">
        <v>1830</v>
      </c>
      <c r="E23" s="11">
        <v>1</v>
      </c>
      <c r="F23" s="11" t="s">
        <v>92</v>
      </c>
      <c r="G23" s="11" t="s">
        <v>1968</v>
      </c>
      <c r="H23" s="11"/>
      <c r="I23" s="26"/>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1957</v>
      </c>
      <c r="C24" s="12" t="s">
        <v>1935</v>
      </c>
      <c r="D24" s="12" t="s">
        <v>936</v>
      </c>
      <c r="E24" s="11">
        <v>0</v>
      </c>
      <c r="F24" s="11" t="s">
        <v>9</v>
      </c>
      <c r="G24" s="11" t="s">
        <v>0</v>
      </c>
      <c r="H24" s="11" t="s">
        <v>937</v>
      </c>
      <c r="I24" s="26"/>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1958</v>
      </c>
      <c r="C25" s="12" t="s">
        <v>1936</v>
      </c>
      <c r="D25" s="12" t="s">
        <v>940</v>
      </c>
      <c r="E25" s="11">
        <v>0</v>
      </c>
      <c r="F25" s="11" t="s">
        <v>92</v>
      </c>
      <c r="G25" s="11" t="s">
        <v>2</v>
      </c>
      <c r="H25" s="11"/>
      <c r="I25" s="26"/>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1959</v>
      </c>
      <c r="C26" s="12" t="s">
        <v>1937</v>
      </c>
      <c r="D26" s="12" t="s">
        <v>920</v>
      </c>
      <c r="E26" s="11">
        <v>0</v>
      </c>
      <c r="F26" s="11" t="s">
        <v>92</v>
      </c>
      <c r="G26" s="11" t="s">
        <v>919</v>
      </c>
      <c r="H26" s="11"/>
      <c r="I26" s="26"/>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1960</v>
      </c>
      <c r="C27" s="12" t="s">
        <v>1938</v>
      </c>
      <c r="D27" s="12" t="s">
        <v>923</v>
      </c>
      <c r="E27" s="11">
        <v>0</v>
      </c>
      <c r="F27" s="11" t="s">
        <v>9</v>
      </c>
      <c r="G27" s="11" t="s">
        <v>1977</v>
      </c>
      <c r="H27" s="11"/>
      <c r="I27" s="26"/>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1969</v>
      </c>
      <c r="C28" s="12" t="s">
        <v>1939</v>
      </c>
      <c r="D28" s="12" t="s">
        <v>1939</v>
      </c>
      <c r="E28" s="11">
        <v>0</v>
      </c>
      <c r="F28" s="11" t="s">
        <v>9</v>
      </c>
      <c r="G28" s="11" t="s">
        <v>2</v>
      </c>
      <c r="H28" s="11"/>
      <c r="I28" s="26"/>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1970</v>
      </c>
      <c r="C29" s="12" t="s">
        <v>1940</v>
      </c>
      <c r="D29" s="12" t="s">
        <v>947</v>
      </c>
      <c r="E29" s="157">
        <v>0</v>
      </c>
      <c r="F29" s="157">
        <v>0</v>
      </c>
      <c r="G29" s="11" t="s">
        <v>0</v>
      </c>
      <c r="H29" s="11" t="s">
        <v>948</v>
      </c>
      <c r="I29" s="26"/>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1971</v>
      </c>
      <c r="C30" s="12" t="s">
        <v>2022</v>
      </c>
      <c r="D30" s="12" t="s">
        <v>951</v>
      </c>
      <c r="E30" s="157">
        <v>0</v>
      </c>
      <c r="F30" s="157">
        <v>0</v>
      </c>
      <c r="G30" s="11" t="s">
        <v>0</v>
      </c>
      <c r="H30" s="11" t="s">
        <v>952</v>
      </c>
      <c r="I30" s="26"/>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1972</v>
      </c>
      <c r="C31" s="12" t="s">
        <v>1941</v>
      </c>
      <c r="D31" s="12" t="s">
        <v>2034</v>
      </c>
      <c r="E31" s="157">
        <v>0</v>
      </c>
      <c r="F31" s="157">
        <v>0</v>
      </c>
      <c r="G31" s="11" t="s">
        <v>927</v>
      </c>
      <c r="H31" s="12"/>
      <c r="I31" s="26"/>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1973</v>
      </c>
      <c r="C32" s="12" t="s">
        <v>1942</v>
      </c>
      <c r="D32" s="12" t="s">
        <v>957</v>
      </c>
      <c r="E32" s="11">
        <v>1</v>
      </c>
      <c r="F32" s="11" t="s">
        <v>9</v>
      </c>
      <c r="G32" s="11" t="s">
        <v>1</v>
      </c>
      <c r="H32" s="12"/>
      <c r="I32" s="26"/>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1974</v>
      </c>
      <c r="C33" s="12" t="s">
        <v>1943</v>
      </c>
      <c r="D33" s="12" t="s">
        <v>959</v>
      </c>
      <c r="E33" s="11">
        <v>1</v>
      </c>
      <c r="F33" s="11" t="s">
        <v>9</v>
      </c>
      <c r="G33" s="11" t="s">
        <v>1</v>
      </c>
      <c r="H33" s="12"/>
      <c r="I33" s="26"/>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1975</v>
      </c>
      <c r="C34" s="12" t="s">
        <v>1944</v>
      </c>
      <c r="D34" s="12" t="s">
        <v>961</v>
      </c>
      <c r="E34" s="157">
        <v>0</v>
      </c>
      <c r="F34" s="157">
        <v>0</v>
      </c>
      <c r="G34" s="11" t="s">
        <v>919</v>
      </c>
      <c r="H34" s="12"/>
      <c r="I34" s="26"/>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1976</v>
      </c>
      <c r="C35" s="12" t="s">
        <v>1945</v>
      </c>
      <c r="D35" s="12" t="s">
        <v>923</v>
      </c>
      <c r="E35" s="157">
        <v>0</v>
      </c>
      <c r="F35" s="157">
        <v>0</v>
      </c>
      <c r="G35" s="11" t="s">
        <v>1977</v>
      </c>
      <c r="H35" s="12"/>
      <c r="I35" s="26"/>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1896</v>
      </c>
      <c r="C36" s="12" t="s">
        <v>1875</v>
      </c>
      <c r="D36" s="12" t="s">
        <v>2035</v>
      </c>
      <c r="E36" s="11">
        <v>0</v>
      </c>
      <c r="F36" s="11">
        <v>1</v>
      </c>
      <c r="G36" s="11" t="s">
        <v>2</v>
      </c>
      <c r="H36" s="12"/>
      <c r="I36" s="26"/>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1961</v>
      </c>
      <c r="C37" s="12" t="s">
        <v>1946</v>
      </c>
      <c r="D37" s="12" t="s">
        <v>967</v>
      </c>
      <c r="E37" s="11">
        <v>0</v>
      </c>
      <c r="F37" s="11" t="s">
        <v>92</v>
      </c>
      <c r="G37" s="11" t="s">
        <v>927</v>
      </c>
      <c r="H37" s="12"/>
      <c r="I37" s="26"/>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1963</v>
      </c>
      <c r="C38" s="12" t="s">
        <v>1947</v>
      </c>
      <c r="D38" s="12" t="s">
        <v>970</v>
      </c>
      <c r="E38" s="11">
        <v>0</v>
      </c>
      <c r="F38" s="11" t="s">
        <v>92</v>
      </c>
      <c r="G38" s="11" t="s">
        <v>1</v>
      </c>
      <c r="H38" s="12"/>
      <c r="I38" s="26"/>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1962</v>
      </c>
      <c r="C39" s="12" t="s">
        <v>1948</v>
      </c>
      <c r="D39" s="12" t="s">
        <v>973</v>
      </c>
      <c r="E39" s="11">
        <v>0</v>
      </c>
      <c r="F39" s="11" t="s">
        <v>92</v>
      </c>
      <c r="G39" s="11" t="s">
        <v>927</v>
      </c>
      <c r="H39" s="12"/>
      <c r="I39" s="26"/>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1897</v>
      </c>
      <c r="C40" s="12" t="s">
        <v>1876</v>
      </c>
      <c r="D40" s="12" t="s">
        <v>1891</v>
      </c>
      <c r="E40" s="157">
        <v>0</v>
      </c>
      <c r="F40" s="157">
        <v>0</v>
      </c>
      <c r="G40" s="11" t="s">
        <v>2</v>
      </c>
      <c r="H40" s="12"/>
      <c r="I40" s="26"/>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1965</v>
      </c>
      <c r="C41" s="12" t="s">
        <v>1949</v>
      </c>
      <c r="D41" s="12" t="s">
        <v>2036</v>
      </c>
      <c r="E41" s="157">
        <v>0</v>
      </c>
      <c r="F41" s="157">
        <v>0</v>
      </c>
      <c r="G41" s="11" t="s">
        <v>927</v>
      </c>
      <c r="H41" s="12"/>
      <c r="I41" s="26"/>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1964</v>
      </c>
      <c r="C42" s="12" t="s">
        <v>1950</v>
      </c>
      <c r="D42" s="12" t="s">
        <v>981</v>
      </c>
      <c r="E42" s="157">
        <v>0</v>
      </c>
      <c r="F42" s="157">
        <v>0</v>
      </c>
      <c r="G42" s="11" t="s">
        <v>1968</v>
      </c>
      <c r="H42" s="12"/>
      <c r="I42" s="26"/>
      <c r="J42" s="12" t="str">
        <f t="shared" si="0"/>
        <v>* header.informationRecipient.name 0..0 HumanName ##34#A.1.4.2-Recipient name [Required]##34# ##334#Person name.##334#</v>
      </c>
      <c r="L42" s="12" t="str">
        <f t="shared" si="1"/>
        <v/>
      </c>
    </row>
    <row r="43" spans="1:12" ht="73.75" x14ac:dyDescent="0.75">
      <c r="A43" s="11">
        <v>35</v>
      </c>
      <c r="B43" s="11" t="s">
        <v>1966</v>
      </c>
      <c r="C43" s="12" t="s">
        <v>2037</v>
      </c>
      <c r="D43" s="12" t="s">
        <v>2038</v>
      </c>
      <c r="E43" s="157">
        <v>0</v>
      </c>
      <c r="F43" s="157">
        <v>0</v>
      </c>
      <c r="G43" s="11" t="s">
        <v>927</v>
      </c>
      <c r="H43" s="12"/>
      <c r="I43" s="26"/>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1967</v>
      </c>
      <c r="C44" s="12" t="s">
        <v>2023</v>
      </c>
      <c r="D44" s="12" t="s">
        <v>987</v>
      </c>
      <c r="E44" s="157">
        <v>0</v>
      </c>
      <c r="F44" s="157">
        <v>0</v>
      </c>
      <c r="G44" s="11" t="s">
        <v>2</v>
      </c>
      <c r="H44" s="12"/>
      <c r="I44" s="26"/>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1898</v>
      </c>
      <c r="C45" s="12" t="s">
        <v>1877</v>
      </c>
      <c r="D45" s="12" t="s">
        <v>989</v>
      </c>
      <c r="E45" s="11">
        <v>1</v>
      </c>
      <c r="F45" s="11" t="s">
        <v>9</v>
      </c>
      <c r="G45" s="11" t="s">
        <v>2</v>
      </c>
      <c r="H45" s="12"/>
      <c r="I45" s="26"/>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1998</v>
      </c>
      <c r="C46" s="12" t="s">
        <v>1978</v>
      </c>
      <c r="D46" s="12" t="s">
        <v>2039</v>
      </c>
      <c r="E46" s="11">
        <v>1</v>
      </c>
      <c r="F46" s="11" t="s">
        <v>9</v>
      </c>
      <c r="G46" s="11" t="s">
        <v>927</v>
      </c>
      <c r="H46" s="12"/>
      <c r="I46" s="26"/>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1999</v>
      </c>
      <c r="C47" s="12" t="s">
        <v>1979</v>
      </c>
      <c r="D47" s="12" t="s">
        <v>981</v>
      </c>
      <c r="E47" s="11">
        <v>1</v>
      </c>
      <c r="F47" s="11" t="s">
        <v>92</v>
      </c>
      <c r="G47" s="11" t="s">
        <v>1968</v>
      </c>
      <c r="H47" s="12"/>
      <c r="I47" s="26"/>
      <c r="J47" s="12" t="str">
        <f t="shared" si="0"/>
        <v>* header.author.name 1..1 HumanName ##34#A.1.5.2-Author name [Mandatory]##34# ##334#Person name.##334#</v>
      </c>
      <c r="L47" s="12" t="str">
        <f t="shared" si="1"/>
        <v/>
      </c>
    </row>
    <row r="48" spans="1:12" ht="44.25" x14ac:dyDescent="0.75">
      <c r="A48" s="11"/>
      <c r="B48" s="11" t="s">
        <v>2000</v>
      </c>
      <c r="C48" s="12" t="s">
        <v>2040</v>
      </c>
      <c r="D48" s="4" t="s">
        <v>987</v>
      </c>
      <c r="E48" s="11">
        <v>0</v>
      </c>
      <c r="F48" s="11" t="s">
        <v>9</v>
      </c>
      <c r="G48" s="11" t="s">
        <v>927</v>
      </c>
      <c r="H48" s="12"/>
      <c r="I48" s="26"/>
      <c r="J48" s="12" t="str">
        <f t="shared" si="0"/>
        <v>* header.author.organizationID 0..* Identifier ##34#A.1.5.3-Author organization ID [Required]##34# ##334#The healthcare provider organization information.##334#</v>
      </c>
      <c r="L48" s="12" t="str">
        <f t="shared" si="1"/>
        <v/>
      </c>
    </row>
    <row r="49" spans="1:12" ht="73.75" x14ac:dyDescent="0.75">
      <c r="A49" s="11"/>
      <c r="B49" s="11" t="s">
        <v>2002</v>
      </c>
      <c r="C49" s="12" t="s">
        <v>2024</v>
      </c>
      <c r="D49" s="12" t="s">
        <v>2038</v>
      </c>
      <c r="E49" s="11">
        <v>1</v>
      </c>
      <c r="F49" s="11" t="s">
        <v>92</v>
      </c>
      <c r="G49" s="11" t="s">
        <v>2</v>
      </c>
      <c r="H49" s="12"/>
      <c r="I49" s="26"/>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2003</v>
      </c>
      <c r="C50" s="12" t="s">
        <v>1980</v>
      </c>
      <c r="D50" s="12" t="s">
        <v>1001</v>
      </c>
      <c r="E50" s="11">
        <v>1</v>
      </c>
      <c r="F50" s="11" t="s">
        <v>92</v>
      </c>
      <c r="G50" s="11" t="s">
        <v>1921</v>
      </c>
      <c r="H50" s="12"/>
      <c r="I50" s="26"/>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1899</v>
      </c>
      <c r="C51" s="12" t="s">
        <v>2025</v>
      </c>
      <c r="D51" s="12" t="s">
        <v>2025</v>
      </c>
      <c r="E51" s="11">
        <v>0</v>
      </c>
      <c r="F51" s="11" t="s">
        <v>9</v>
      </c>
      <c r="G51" s="11" t="s">
        <v>2</v>
      </c>
      <c r="H51" s="12"/>
      <c r="I51" s="26"/>
      <c r="J51" s="12" t="str">
        <f t="shared" si="0"/>
        <v>* header.attester 0..* BackboneElement ##34#A.1.6-Attester [Required]##34# ##334#A.1.6-Attester [Required]##334#</v>
      </c>
      <c r="L51" s="12" t="str">
        <f t="shared" si="1"/>
        <v/>
      </c>
    </row>
    <row r="52" spans="1:12" ht="73.75" x14ac:dyDescent="0.75">
      <c r="A52" s="11"/>
      <c r="B52" s="11" t="s">
        <v>2004</v>
      </c>
      <c r="C52" s="12" t="s">
        <v>1981</v>
      </c>
      <c r="D52" s="12" t="s">
        <v>2039</v>
      </c>
      <c r="E52" s="157">
        <v>0</v>
      </c>
      <c r="F52" s="157">
        <v>0</v>
      </c>
      <c r="G52" s="11" t="s">
        <v>927</v>
      </c>
      <c r="H52" s="12"/>
      <c r="I52" s="26"/>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2005</v>
      </c>
      <c r="C53" s="12" t="s">
        <v>1982</v>
      </c>
      <c r="D53" s="12" t="s">
        <v>981</v>
      </c>
      <c r="E53" s="11">
        <v>1</v>
      </c>
      <c r="F53" s="11" t="s">
        <v>92</v>
      </c>
      <c r="G53" s="11" t="s">
        <v>1968</v>
      </c>
      <c r="H53" s="12"/>
      <c r="I53" s="26"/>
      <c r="J53" s="12" t="str">
        <f t="shared" si="0"/>
        <v>* header.attester.name 1..1 HumanName ##34#A.1.6.2-Attester name [Mandatory]##34# ##334#Person name.##334#</v>
      </c>
      <c r="L53" s="12" t="str">
        <f t="shared" si="1"/>
        <v/>
      </c>
    </row>
    <row r="54" spans="1:12" ht="73.75" x14ac:dyDescent="0.75">
      <c r="A54" s="11"/>
      <c r="B54" s="155" t="s">
        <v>2001</v>
      </c>
      <c r="C54" s="12" t="s">
        <v>2041</v>
      </c>
      <c r="D54" s="12" t="s">
        <v>2038</v>
      </c>
      <c r="E54" s="157">
        <v>0</v>
      </c>
      <c r="F54" s="157">
        <v>0</v>
      </c>
      <c r="G54" s="11" t="s">
        <v>927</v>
      </c>
      <c r="H54" s="12"/>
      <c r="I54" s="26"/>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2006</v>
      </c>
      <c r="C55" s="12" t="s">
        <v>2026</v>
      </c>
      <c r="D55" s="12" t="s">
        <v>987</v>
      </c>
      <c r="E55" s="157">
        <v>0</v>
      </c>
      <c r="F55" s="157">
        <v>0</v>
      </c>
      <c r="G55" s="11" t="s">
        <v>2</v>
      </c>
      <c r="H55" s="12"/>
      <c r="I55" s="26"/>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2007</v>
      </c>
      <c r="C56" s="12" t="s">
        <v>1983</v>
      </c>
      <c r="D56" s="12" t="s">
        <v>1014</v>
      </c>
      <c r="E56" s="157">
        <v>0</v>
      </c>
      <c r="F56" s="157">
        <v>0</v>
      </c>
      <c r="G56" s="11" t="s">
        <v>1921</v>
      </c>
      <c r="H56" s="12"/>
      <c r="I56" s="26"/>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1900</v>
      </c>
      <c r="C57" s="12" t="s">
        <v>1878</v>
      </c>
      <c r="D57" s="12" t="s">
        <v>1835</v>
      </c>
      <c r="E57" s="11">
        <v>0</v>
      </c>
      <c r="F57" s="11" t="s">
        <v>92</v>
      </c>
      <c r="G57" s="11" t="s">
        <v>2</v>
      </c>
      <c r="H57" s="12"/>
      <c r="I57" s="26"/>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2047</v>
      </c>
      <c r="C58" s="12" t="s">
        <v>1984</v>
      </c>
      <c r="D58" s="12" t="s">
        <v>2039</v>
      </c>
      <c r="E58" s="157">
        <v>0</v>
      </c>
      <c r="F58" s="157">
        <v>0</v>
      </c>
      <c r="G58" s="11" t="s">
        <v>927</v>
      </c>
      <c r="H58" s="12"/>
      <c r="I58" s="26"/>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2048</v>
      </c>
      <c r="C59" s="12" t="s">
        <v>1985</v>
      </c>
      <c r="D59" s="12" t="s">
        <v>981</v>
      </c>
      <c r="E59" s="11">
        <v>1</v>
      </c>
      <c r="F59" s="11" t="s">
        <v>92</v>
      </c>
      <c r="G59" s="11" t="s">
        <v>1968</v>
      </c>
      <c r="H59" s="12"/>
      <c r="I59" s="26"/>
      <c r="J59" s="12" t="str">
        <f t="shared" si="0"/>
        <v>* header.legalAuthenticator.name 1..1 HumanName ##34#A.1.7.2-Legal authenticator name [Mandatory]##34# ##334#Person name.##334#</v>
      </c>
      <c r="L59" s="12" t="str">
        <f t="shared" si="1"/>
        <v/>
      </c>
    </row>
    <row r="60" spans="1:12" ht="73.75" x14ac:dyDescent="0.75">
      <c r="A60" s="11">
        <v>52</v>
      </c>
      <c r="B60" s="11" t="s">
        <v>2049</v>
      </c>
      <c r="C60" s="4" t="s">
        <v>2043</v>
      </c>
      <c r="D60" s="12" t="s">
        <v>984</v>
      </c>
      <c r="E60" s="157">
        <v>0</v>
      </c>
      <c r="F60" s="157">
        <v>0</v>
      </c>
      <c r="G60" s="11" t="s">
        <v>927</v>
      </c>
      <c r="H60" s="12"/>
      <c r="I60" s="26"/>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2050</v>
      </c>
      <c r="C61" s="12" t="s">
        <v>2027</v>
      </c>
      <c r="D61" s="12" t="s">
        <v>987</v>
      </c>
      <c r="E61" s="157">
        <v>0</v>
      </c>
      <c r="F61" s="157">
        <v>0</v>
      </c>
      <c r="G61" s="11" t="s">
        <v>2</v>
      </c>
      <c r="H61" s="12"/>
      <c r="I61" s="26"/>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2051</v>
      </c>
      <c r="C62" s="12" t="s">
        <v>1986</v>
      </c>
      <c r="D62" s="12" t="s">
        <v>1026</v>
      </c>
      <c r="E62" s="157">
        <v>0</v>
      </c>
      <c r="F62" s="157">
        <v>0</v>
      </c>
      <c r="G62" s="11" t="s">
        <v>1921</v>
      </c>
      <c r="H62" s="12"/>
      <c r="I62" s="26"/>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1901</v>
      </c>
      <c r="C63" s="12" t="s">
        <v>1879</v>
      </c>
      <c r="D63" s="12" t="s">
        <v>1879</v>
      </c>
      <c r="E63" s="157">
        <v>0</v>
      </c>
      <c r="F63" s="157">
        <v>0</v>
      </c>
      <c r="G63" s="11" t="s">
        <v>2</v>
      </c>
      <c r="H63" s="12"/>
      <c r="I63" s="26"/>
      <c r="J63" s="12" t="str">
        <f t="shared" si="0"/>
        <v>* header.documentMetadata 0..0 BackboneElement ##34#A.1.8-Document metadata [Mandatory]##34# ##334#A.1.8-Document metadata [Mandatory]##334#</v>
      </c>
      <c r="L63" s="12" t="str">
        <f t="shared" si="1"/>
        <v/>
      </c>
    </row>
    <row r="64" spans="1:12" ht="29.5" x14ac:dyDescent="0.75">
      <c r="A64" s="11"/>
      <c r="B64" s="11" t="s">
        <v>2008</v>
      </c>
      <c r="C64" s="12" t="s">
        <v>1987</v>
      </c>
      <c r="D64" s="12" t="s">
        <v>1031</v>
      </c>
      <c r="E64" s="157">
        <v>0</v>
      </c>
      <c r="F64" s="157">
        <v>0</v>
      </c>
      <c r="G64" s="11" t="s">
        <v>927</v>
      </c>
      <c r="H64" s="12"/>
      <c r="I64" s="26"/>
      <c r="J64" s="12" t="str">
        <f t="shared" si="0"/>
        <v>* header.documentMetadata.identifier 0..0 Identifier ##34#A.1.8.1-Document ID [Mandatory]##34# ##334#Unique identifier of the document##334#</v>
      </c>
      <c r="L64" s="12" t="str">
        <f t="shared" si="1"/>
        <v/>
      </c>
    </row>
    <row r="65" spans="1:13" ht="44.25" x14ac:dyDescent="0.75">
      <c r="A65" s="11"/>
      <c r="B65" s="11" t="s">
        <v>2009</v>
      </c>
      <c r="C65" s="12" t="s">
        <v>1988</v>
      </c>
      <c r="D65" s="12" t="s">
        <v>2045</v>
      </c>
      <c r="E65" s="157">
        <v>0</v>
      </c>
      <c r="F65" s="157">
        <v>0</v>
      </c>
      <c r="G65" s="11" t="s">
        <v>0</v>
      </c>
      <c r="H65" s="12" t="s">
        <v>1035</v>
      </c>
      <c r="I65" s="26"/>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2010</v>
      </c>
      <c r="C66" s="12" t="s">
        <v>1989</v>
      </c>
      <c r="D66" s="12" t="s">
        <v>1038</v>
      </c>
      <c r="E66" s="157">
        <v>0</v>
      </c>
      <c r="F66" s="157">
        <v>0</v>
      </c>
      <c r="G66" s="11" t="s">
        <v>0</v>
      </c>
      <c r="H66" s="12" t="s">
        <v>2042</v>
      </c>
      <c r="I66" s="26"/>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2011</v>
      </c>
      <c r="C67" s="12" t="s">
        <v>1990</v>
      </c>
      <c r="D67" s="12" t="s">
        <v>1042</v>
      </c>
      <c r="E67" s="157">
        <v>0</v>
      </c>
      <c r="F67" s="157">
        <v>0</v>
      </c>
      <c r="G67" s="11" t="s">
        <v>1921</v>
      </c>
      <c r="H67" s="12"/>
      <c r="I67" s="26"/>
      <c r="J67" s="12" t="str">
        <f t="shared" si="0"/>
        <v>* header.documentMetadata.dateTime 0..0 dateTime ##34#A.1.8.4-Report date and time [Mandatory]##34# ##334#Date and time of the result report creation.##334#</v>
      </c>
      <c r="L67" s="12" t="str">
        <f t="shared" si="1"/>
        <v/>
      </c>
    </row>
    <row r="68" spans="1:13" ht="44.25" x14ac:dyDescent="0.75">
      <c r="A68" s="11"/>
      <c r="B68" s="11" t="s">
        <v>2012</v>
      </c>
      <c r="C68" s="12" t="s">
        <v>1991</v>
      </c>
      <c r="D68" s="12" t="s">
        <v>2046</v>
      </c>
      <c r="E68" s="157">
        <v>0</v>
      </c>
      <c r="F68" s="157">
        <v>0</v>
      </c>
      <c r="G68" s="11" t="s">
        <v>1</v>
      </c>
      <c r="H68" s="12"/>
      <c r="I68" s="26"/>
      <c r="J68" s="12" t="str">
        <f t="shared" si="0"/>
        <v>* header.documentMetadata.title 0..0 string ##34#A.1.8.5-Document title [Mandatory]##34# ##334#Document title, e.g. 'Hospital discharge report'##334#</v>
      </c>
      <c r="L68" s="12" t="str">
        <f t="shared" si="1"/>
        <v/>
      </c>
    </row>
    <row r="69" spans="1:13" ht="44.25" x14ac:dyDescent="0.75">
      <c r="A69" s="11"/>
      <c r="B69" s="11" t="s">
        <v>2013</v>
      </c>
      <c r="C69" s="12" t="s">
        <v>1992</v>
      </c>
      <c r="D69" s="12" t="s">
        <v>1048</v>
      </c>
      <c r="E69" s="157">
        <v>0</v>
      </c>
      <c r="F69" s="157">
        <v>0</v>
      </c>
      <c r="G69" s="11" t="s">
        <v>2</v>
      </c>
      <c r="H69" s="12"/>
      <c r="I69" s="26"/>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2014</v>
      </c>
      <c r="C70" s="12" t="s">
        <v>1993</v>
      </c>
      <c r="D70" s="12" t="s">
        <v>1051</v>
      </c>
      <c r="E70" s="157">
        <v>0</v>
      </c>
      <c r="F70" s="157">
        <v>0</v>
      </c>
      <c r="G70" s="11" t="s">
        <v>0</v>
      </c>
      <c r="H70" s="12" t="s">
        <v>1052</v>
      </c>
      <c r="I70" s="26"/>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2015</v>
      </c>
      <c r="C71" s="12" t="s">
        <v>1994</v>
      </c>
      <c r="D71" s="12" t="s">
        <v>1055</v>
      </c>
      <c r="E71" s="157">
        <v>0</v>
      </c>
      <c r="F71" s="157">
        <v>0</v>
      </c>
      <c r="G71" s="11" t="s">
        <v>0</v>
      </c>
      <c r="H71" s="12" t="s">
        <v>911</v>
      </c>
      <c r="I71" s="26"/>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2016</v>
      </c>
      <c r="C72" s="12" t="s">
        <v>1995</v>
      </c>
      <c r="D72" s="12" t="s">
        <v>1057</v>
      </c>
      <c r="E72" s="157">
        <v>0</v>
      </c>
      <c r="F72" s="157">
        <v>0</v>
      </c>
      <c r="G72" s="11" t="s">
        <v>1</v>
      </c>
      <c r="H72" s="12"/>
      <c r="I72" s="26"/>
      <c r="J72" s="12" t="str">
        <f t="shared" si="0"/>
        <v>* header.documentMetadata.version 0..0 string ##34#A.1.8.9-Version [Required]##34# ##334#Version of the document##334#</v>
      </c>
      <c r="L72" s="12" t="str">
        <f t="shared" si="1"/>
        <v/>
      </c>
    </row>
    <row r="73" spans="1:13" ht="29.5" x14ac:dyDescent="0.75">
      <c r="A73" s="11">
        <v>41</v>
      </c>
      <c r="B73" s="11" t="s">
        <v>1902</v>
      </c>
      <c r="C73" s="12" t="s">
        <v>1880</v>
      </c>
      <c r="D73" s="12" t="s">
        <v>1880</v>
      </c>
      <c r="E73" s="157">
        <v>0</v>
      </c>
      <c r="F73" s="157">
        <v>0</v>
      </c>
      <c r="G73" s="11" t="s">
        <v>2</v>
      </c>
      <c r="H73" s="12"/>
      <c r="I73" s="26"/>
      <c r="J73" s="12" t="str">
        <f t="shared" si="0"/>
        <v>* header.digitalSignature 0..0 BackboneElement ##34#A.1.9-Digital signatures [Required]##34# ##334#A.1.9-Digital signatures [Required]##334#</v>
      </c>
      <c r="L73" s="12" t="str">
        <f t="shared" si="1"/>
        <v/>
      </c>
    </row>
    <row r="74" spans="1:13" ht="29.5" x14ac:dyDescent="0.75">
      <c r="A74" s="11"/>
      <c r="B74" s="11" t="s">
        <v>2017</v>
      </c>
      <c r="C74" s="12" t="s">
        <v>1996</v>
      </c>
      <c r="D74" s="12" t="s">
        <v>1062</v>
      </c>
      <c r="E74" s="157">
        <v>0</v>
      </c>
      <c r="F74" s="157">
        <v>0</v>
      </c>
      <c r="G74" s="156" t="s">
        <v>2</v>
      </c>
      <c r="H74" s="12"/>
      <c r="I74" s="26"/>
      <c r="J74" s="12" t="str">
        <f t="shared" si="0"/>
        <v>* header.digitalSignature.signature 0..0 BackboneElement ##34#A.1.9.1-Digital signature [Required]##34# ##334#Digital signature of the document##334#</v>
      </c>
      <c r="L74" s="12" t="str">
        <f t="shared" si="1"/>
        <v/>
      </c>
    </row>
    <row r="75" spans="1:13" ht="29.5" x14ac:dyDescent="0.75">
      <c r="A75" s="11"/>
      <c r="B75" s="11" t="s">
        <v>2018</v>
      </c>
      <c r="C75" s="12" t="s">
        <v>1997</v>
      </c>
      <c r="D75" s="12" t="s">
        <v>1065</v>
      </c>
      <c r="E75" s="157">
        <v>0</v>
      </c>
      <c r="F75" s="157">
        <v>0</v>
      </c>
      <c r="G75" s="11" t="s">
        <v>1921</v>
      </c>
      <c r="H75" s="12"/>
      <c r="I75" s="26"/>
      <c r="J75" s="12" t="str">
        <f t="shared" si="0"/>
        <v>* header.digitalSignature.timeStamp 0..0 dateTime ##34#A.1.9.2-Time stamp [Required]##34# ##334#An electronic time stamp##334#</v>
      </c>
      <c r="L75" s="12" t="str">
        <f t="shared" si="1"/>
        <v/>
      </c>
    </row>
    <row r="76" spans="1:13" ht="29.5" x14ac:dyDescent="0.75">
      <c r="A76" s="11">
        <v>42</v>
      </c>
      <c r="B76" s="11" t="s">
        <v>1893</v>
      </c>
      <c r="C76" s="12" t="s">
        <v>1881</v>
      </c>
      <c r="D76" s="12" t="s">
        <v>1870</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1903</v>
      </c>
      <c r="C77" s="12" t="s">
        <v>1882</v>
      </c>
      <c r="D77" s="12" t="s">
        <v>1882</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1904</v>
      </c>
      <c r="C78" s="12" t="s">
        <v>1883</v>
      </c>
      <c r="D78" s="12" t="s">
        <v>1883</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1905</v>
      </c>
      <c r="C79" s="12" t="s">
        <v>1884</v>
      </c>
      <c r="D79" s="12" t="s">
        <v>1884</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1906</v>
      </c>
      <c r="C80" s="12" t="s">
        <v>1885</v>
      </c>
      <c r="D80" s="12" t="s">
        <v>1885</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1907</v>
      </c>
      <c r="C81" s="12" t="s">
        <v>1886</v>
      </c>
      <c r="D81" s="12" t="s">
        <v>1886</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1908</v>
      </c>
      <c r="C82" s="12" t="s">
        <v>1887</v>
      </c>
      <c r="D82" s="12" t="s">
        <v>1887</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1909</v>
      </c>
      <c r="C83" s="12" t="s">
        <v>1888</v>
      </c>
      <c r="D83" s="12" t="s">
        <v>1892</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1910</v>
      </c>
      <c r="C84" s="12" t="s">
        <v>1889</v>
      </c>
      <c r="D84" s="12" t="s">
        <v>1889</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tr">
        <f>CONCATENATE(HospitalDischargeReportSK!B4,"2FHIR")</f>
        <v>HospitalDischargeReportSK2FHIR</v>
      </c>
      <c r="E4" s="20" t="str">
        <f>CONCATENATE("Mapping: ",C4)</f>
        <v>Mapping: HospitalDischargeReportSK2FHIR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1916</v>
      </c>
      <c r="E6" s="21" t="str">
        <f>CONCATENATE("Title: ##34#",C6,"##34#")</f>
        <v>Title: ##34#Hospital Discharge Report model to FHIR R4 Map##34#</v>
      </c>
      <c r="H6" s="7"/>
      <c r="I6" s="7"/>
      <c r="J6" s="7"/>
      <c r="K6" s="7"/>
      <c r="L6" s="7"/>
      <c r="M6" s="7"/>
      <c r="N6" s="7"/>
      <c r="O6" s="7"/>
    </row>
    <row r="7" spans="1:15" ht="15.5" thickBot="1" x14ac:dyDescent="0.9">
      <c r="B7" s="10" t="s">
        <v>19</v>
      </c>
      <c r="C7" s="8" t="str">
        <f>B9</f>
        <v>HospitalDischargeReportSK</v>
      </c>
      <c r="E7" s="21" t="str">
        <f>CONCATENATE("Source: ",C7)</f>
        <v>Source: HospitalDischargeReportSK</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HospitalDischargeReportSK!B5</f>
        <v>HospitalDischargeReportSK</v>
      </c>
      <c r="C9" s="6" t="s">
        <v>168</v>
      </c>
      <c r="E9" s="28" t="str">
        <f>CONCATENATE("* -&gt; ##34#",C9,"##34#")</f>
        <v>* -&gt; ##34#TBD##34#</v>
      </c>
      <c r="H9" s="7"/>
      <c r="I9" s="7"/>
      <c r="J9" s="7"/>
      <c r="K9" s="7"/>
      <c r="L9" s="7"/>
      <c r="M9" s="7"/>
      <c r="N9" s="7"/>
      <c r="O9" s="7"/>
    </row>
    <row r="10" spans="1:15" x14ac:dyDescent="0.75">
      <c r="A10" s="11"/>
      <c r="B10" s="11" t="str">
        <f>HospitalDischargeReportSK!B8</f>
        <v>header</v>
      </c>
      <c r="C10" s="11" t="s">
        <v>168</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168</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168</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168</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168</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168</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168</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168</v>
      </c>
      <c r="E17" s="12" t="str">
        <f t="shared" si="1"/>
        <v>* header.subject-identification.gender -&gt; ##34#TBD##34#</v>
      </c>
    </row>
    <row r="18" spans="1:5" x14ac:dyDescent="0.75">
      <c r="A18" s="11"/>
      <c r="B18" s="11" t="str">
        <f>HospitalDischargeReportSK!B16</f>
        <v>header.subject-identification.language</v>
      </c>
      <c r="C18" s="11" t="s">
        <v>168</v>
      </c>
      <c r="E18" s="12" t="str">
        <f t="shared" si="1"/>
        <v>* header.subject-identification.language -&gt; ##34#TBD##34#</v>
      </c>
    </row>
    <row r="19" spans="1:5" x14ac:dyDescent="0.75">
      <c r="A19" s="11"/>
      <c r="B19" s="11" t="str">
        <f>HospitalDischargeReportSK!B17</f>
        <v>header.subject-contact</v>
      </c>
      <c r="C19" s="11" t="s">
        <v>168</v>
      </c>
      <c r="E19" s="12" t="str">
        <f t="shared" si="1"/>
        <v>* header.subject-contact -&gt; ##34#TBD##34#</v>
      </c>
    </row>
    <row r="20" spans="1:5" x14ac:dyDescent="0.75">
      <c r="A20" s="11"/>
      <c r="B20" s="11" t="str">
        <f>HospitalDischargeReportSK!B18</f>
        <v>header.subject-contact.contactPoint</v>
      </c>
      <c r="C20" s="11" t="s">
        <v>168</v>
      </c>
      <c r="E20" s="12" t="str">
        <f t="shared" si="1"/>
        <v>* header.subject-contact.contactPoint -&gt; ##34#TBD##34#</v>
      </c>
    </row>
    <row r="21" spans="1:5" x14ac:dyDescent="0.75">
      <c r="B21" s="11" t="str">
        <f>HospitalDischargeReportSK!B19</f>
        <v>header.subject-contact.contactPoint.address</v>
      </c>
      <c r="C21" s="11" t="s">
        <v>168</v>
      </c>
      <c r="E21" s="12" t="str">
        <f t="shared" si="1"/>
        <v>* header.subject-contact.contactPoint.address -&gt; ##34#TBD##34#</v>
      </c>
    </row>
    <row r="22" spans="1:5" x14ac:dyDescent="0.75">
      <c r="B22" s="11" t="str">
        <f>HospitalDischargeReportSK!B20</f>
        <v>header.subject-contact.contactPoint.telecom</v>
      </c>
      <c r="C22" s="11" t="s">
        <v>168</v>
      </c>
      <c r="E22" s="12" t="str">
        <f t="shared" si="1"/>
        <v>* header.subject-contact.contactPoint.telecom -&gt; ##34#TBD##34#</v>
      </c>
    </row>
    <row r="23" spans="1:5" x14ac:dyDescent="0.75">
      <c r="B23" s="11" t="str">
        <f>HospitalDischargeReportSK!B21</f>
        <v>header.subject-contact.contactPoint.preferredHP</v>
      </c>
      <c r="C23" s="11" t="s">
        <v>168</v>
      </c>
      <c r="E23" s="12" t="str">
        <f t="shared" si="1"/>
        <v>* header.subject-contact.contactPoint.preferredHP -&gt; ##34#TBD##34#</v>
      </c>
    </row>
    <row r="24" spans="1:5" x14ac:dyDescent="0.75">
      <c r="B24" s="11" t="str">
        <f>HospitalDischargeReportSK!B22</f>
        <v>header.subject-contact.contactPoint.preferredHP.identifier</v>
      </c>
      <c r="C24" s="11" t="s">
        <v>168</v>
      </c>
      <c r="E24" s="12" t="str">
        <f t="shared" si="1"/>
        <v>* header.subject-contact.contactPoint.preferredHP.identifier -&gt; ##34#TBD##34#</v>
      </c>
    </row>
    <row r="25" spans="1:5" x14ac:dyDescent="0.75">
      <c r="B25" s="11" t="str">
        <f>HospitalDischargeReportSK!B23</f>
        <v>header.subject-contact.contactPoint.preferredHP.name</v>
      </c>
      <c r="C25" s="11" t="s">
        <v>168</v>
      </c>
      <c r="E25" s="12" t="str">
        <f t="shared" si="1"/>
        <v>* header.subject-contact.contactPoint.preferredHP.name -&gt; ##34#TBD##34#</v>
      </c>
    </row>
    <row r="26" spans="1:5" x14ac:dyDescent="0.75">
      <c r="B26" s="11" t="str">
        <f>HospitalDischargeReportSK!B24</f>
        <v>header.subject-contact.contactPoint.preferredHP.role</v>
      </c>
      <c r="C26" s="11" t="s">
        <v>168</v>
      </c>
      <c r="E26" s="12" t="str">
        <f t="shared" si="1"/>
        <v>* header.subject-contact.contactPoint.preferredHP.role -&gt; ##34#TBD##34#</v>
      </c>
    </row>
    <row r="27" spans="1:5" x14ac:dyDescent="0.75">
      <c r="B27" s="11" t="str">
        <f>HospitalDischargeReportSK!B25</f>
        <v>header.subject-contact.contactPoint.preferredHP.organization</v>
      </c>
      <c r="C27" s="11" t="s">
        <v>168</v>
      </c>
      <c r="E27" s="12" t="str">
        <f t="shared" si="1"/>
        <v>* header.subject-contact.contactPoint.preferredHP.organization -&gt; ##34#TBD##34#</v>
      </c>
    </row>
    <row r="28" spans="1:5" x14ac:dyDescent="0.75">
      <c r="B28" s="11" t="str">
        <f>HospitalDischargeReportSK!B26</f>
        <v>header.subject-contact.contactPoint.preferredHP.address</v>
      </c>
      <c r="C28" s="11" t="s">
        <v>168</v>
      </c>
      <c r="E28" s="12" t="str">
        <f t="shared" si="1"/>
        <v>* header.subject-contact.contactPoint.preferredHP.address -&gt; ##34#TBD##34#</v>
      </c>
    </row>
    <row r="29" spans="1:5" x14ac:dyDescent="0.75">
      <c r="B29" s="11" t="str">
        <f>HospitalDischargeReportSK!B27</f>
        <v>header.subject-contact.contactPoint.preferredHP.telecom</v>
      </c>
      <c r="C29" s="11" t="s">
        <v>168</v>
      </c>
      <c r="E29" s="12" t="str">
        <f t="shared" si="1"/>
        <v>* header.subject-contact.contactPoint.preferredHP.telecom -&gt; ##34#TBD##34#</v>
      </c>
    </row>
    <row r="30" spans="1:5" x14ac:dyDescent="0.75">
      <c r="B30" s="11" t="str">
        <f>HospitalDischargeReportSK!B28</f>
        <v>header.subject-contact.contactPoint.person</v>
      </c>
      <c r="C30" s="11" t="s">
        <v>168</v>
      </c>
      <c r="E30" s="12" t="str">
        <f t="shared" si="1"/>
        <v>* header.subject-contact.contactPoint.person -&gt; ##34#TBD##34#</v>
      </c>
    </row>
    <row r="31" spans="1:5" x14ac:dyDescent="0.75">
      <c r="B31" s="11" t="str">
        <f>HospitalDischargeReportSK!B29</f>
        <v>header.subject-contact.contactPoint.person.role</v>
      </c>
      <c r="C31" s="11" t="s">
        <v>168</v>
      </c>
      <c r="E31" s="12" t="str">
        <f t="shared" si="1"/>
        <v>* header.subject-contact.contactPoint.person.role -&gt; ##34#TBD##34#</v>
      </c>
    </row>
    <row r="32" spans="1:5" x14ac:dyDescent="0.75">
      <c r="B32" s="11" t="str">
        <f>HospitalDischargeReportSK!B30</f>
        <v>header.subject-contact.contactPoint.person.relationship</v>
      </c>
      <c r="C32" s="11" t="s">
        <v>168</v>
      </c>
      <c r="E32" s="12" t="str">
        <f t="shared" si="1"/>
        <v>* header.subject-contact.contactPoint.person.relationship -&gt; ##34#TBD##34#</v>
      </c>
    </row>
    <row r="33" spans="2:5" x14ac:dyDescent="0.75">
      <c r="B33" s="11" t="str">
        <f>HospitalDischargeReportSK!B31</f>
        <v>header.subject-contact.contactPoint.person.identifier</v>
      </c>
      <c r="C33" s="11" t="s">
        <v>168</v>
      </c>
      <c r="E33" s="12" t="str">
        <f t="shared" si="1"/>
        <v>* header.subject-contact.contactPoint.person.identifier -&gt; ##34#TBD##34#</v>
      </c>
    </row>
    <row r="34" spans="2:5" x14ac:dyDescent="0.75">
      <c r="B34" s="11" t="str">
        <f>HospitalDischargeReportSK!B32</f>
        <v>header.subject-contact.contactPoint.person.given</v>
      </c>
      <c r="C34" s="11" t="s">
        <v>168</v>
      </c>
      <c r="E34" s="12" t="str">
        <f t="shared" si="1"/>
        <v>* header.subject-contact.contactPoint.person.given -&gt; ##34#TBD##34#</v>
      </c>
    </row>
    <row r="35" spans="2:5" x14ac:dyDescent="0.75">
      <c r="B35" s="11" t="str">
        <f>HospitalDischargeReportSK!B33</f>
        <v>header.subject-contact.contactPoint.person.name</v>
      </c>
      <c r="C35" s="11" t="s">
        <v>168</v>
      </c>
      <c r="E35" s="12" t="str">
        <f t="shared" si="1"/>
        <v>* header.subject-contact.contactPoint.person.name -&gt; ##34#TBD##34#</v>
      </c>
    </row>
    <row r="36" spans="2:5" x14ac:dyDescent="0.75">
      <c r="B36" s="11" t="str">
        <f>HospitalDischargeReportSK!B34</f>
        <v>header.subject-contact.contactPoint.person.address</v>
      </c>
      <c r="C36" s="11" t="s">
        <v>168</v>
      </c>
      <c r="E36" s="12" t="str">
        <f t="shared" si="1"/>
        <v>* header.subject-contact.contactPoint.person.address -&gt; ##34#TBD##34#</v>
      </c>
    </row>
    <row r="37" spans="2:5" x14ac:dyDescent="0.75">
      <c r="B37" s="11" t="str">
        <f>HospitalDischargeReportSK!B35</f>
        <v>header.subject-contact.contactPoint.person.telecom</v>
      </c>
      <c r="C37" s="11" t="s">
        <v>168</v>
      </c>
      <c r="E37" s="12" t="str">
        <f t="shared" si="1"/>
        <v>* header.subject-contact.contactPoint.person.telecom -&gt; ##34#TBD##34#</v>
      </c>
    </row>
    <row r="38" spans="2:5" x14ac:dyDescent="0.75">
      <c r="B38" s="11" t="str">
        <f>HospitalDischargeReportSK!B36</f>
        <v>header.payer</v>
      </c>
      <c r="C38" s="11" t="s">
        <v>168</v>
      </c>
      <c r="E38" s="12" t="str">
        <f t="shared" si="1"/>
        <v>* header.payer -&gt; ##34#TBD##34#</v>
      </c>
    </row>
    <row r="39" spans="2:5" x14ac:dyDescent="0.75">
      <c r="B39" s="11" t="str">
        <f>HospitalDischargeReportSK!B37</f>
        <v>header.payer.insuranceCode</v>
      </c>
      <c r="C39" s="11" t="s">
        <v>168</v>
      </c>
      <c r="E39" s="12" t="str">
        <f t="shared" si="1"/>
        <v>* header.payer.insuranceCode -&gt; ##34#TBD##34#</v>
      </c>
    </row>
    <row r="40" spans="2:5" x14ac:dyDescent="0.75">
      <c r="B40" s="11" t="str">
        <f>HospitalDischargeReportSK!B38</f>
        <v>header.payer.insuranceName</v>
      </c>
      <c r="C40" s="11" t="s">
        <v>168</v>
      </c>
      <c r="E40" s="12" t="str">
        <f t="shared" si="1"/>
        <v>* header.payer.insuranceName -&gt; ##34#TBD##34#</v>
      </c>
    </row>
    <row r="41" spans="2:5" x14ac:dyDescent="0.75">
      <c r="B41" s="11" t="str">
        <f>HospitalDischargeReportSK!B39</f>
        <v>header.payer.insuranceNumber</v>
      </c>
      <c r="C41" s="11" t="s">
        <v>168</v>
      </c>
      <c r="E41" s="12" t="str">
        <f t="shared" si="1"/>
        <v>* header.payer.insuranceNumber -&gt; ##34#TBD##34#</v>
      </c>
    </row>
    <row r="42" spans="2:5" x14ac:dyDescent="0.75">
      <c r="B42" s="11" t="str">
        <f>HospitalDischargeReportSK!B40</f>
        <v>header.informationRecipient</v>
      </c>
      <c r="C42" s="11" t="s">
        <v>168</v>
      </c>
      <c r="E42" s="12" t="str">
        <f t="shared" si="1"/>
        <v>* header.informationRecipient -&gt; ##34#TBD##34#</v>
      </c>
    </row>
    <row r="43" spans="2:5" x14ac:dyDescent="0.75">
      <c r="B43" s="11" t="str">
        <f>HospitalDischargeReportSK!B41</f>
        <v>header.informationRecipient.identifier</v>
      </c>
      <c r="C43" s="11" t="s">
        <v>168</v>
      </c>
      <c r="E43" s="12" t="str">
        <f t="shared" si="1"/>
        <v>* header.informationRecipient.identifier -&gt; ##34#TBD##34#</v>
      </c>
    </row>
    <row r="44" spans="2:5" x14ac:dyDescent="0.75">
      <c r="B44" s="11" t="str">
        <f>HospitalDischargeReportSK!B42</f>
        <v>header.informationRecipient.name</v>
      </c>
      <c r="C44" s="11" t="s">
        <v>168</v>
      </c>
      <c r="E44" s="12" t="str">
        <f t="shared" si="1"/>
        <v>* header.informationRecipient.name -&gt; ##34#TBD##34#</v>
      </c>
    </row>
    <row r="45" spans="2:5" x14ac:dyDescent="0.75">
      <c r="B45" s="11" t="str">
        <f>HospitalDischargeReportSK!B43</f>
        <v>header.informationRecipient.organizationID</v>
      </c>
      <c r="C45" s="11" t="s">
        <v>168</v>
      </c>
      <c r="E45" s="12" t="str">
        <f t="shared" si="1"/>
        <v>* header.informationRecipient.organizationID -&gt; ##34#TBD##34#</v>
      </c>
    </row>
    <row r="46" spans="2:5" x14ac:dyDescent="0.75">
      <c r="B46" s="11" t="str">
        <f>HospitalDischargeReportSK!B44</f>
        <v>header.informationRecipient.organization</v>
      </c>
      <c r="C46" s="11" t="s">
        <v>168</v>
      </c>
      <c r="E46" s="12" t="str">
        <f t="shared" si="1"/>
        <v>* header.informationRecipient.organization -&gt; ##34#TBD##34#</v>
      </c>
    </row>
    <row r="47" spans="2:5" x14ac:dyDescent="0.75">
      <c r="B47" s="11" t="str">
        <f>HospitalDischargeReportSK!B45</f>
        <v>header.author</v>
      </c>
      <c r="C47" s="11" t="s">
        <v>168</v>
      </c>
      <c r="E47" s="12" t="str">
        <f t="shared" si="1"/>
        <v>* header.author -&gt; ##34#TBD##34#</v>
      </c>
    </row>
    <row r="48" spans="2:5" x14ac:dyDescent="0.75">
      <c r="B48" s="11" t="str">
        <f>HospitalDischargeReportSK!B46</f>
        <v>header.author.identifier</v>
      </c>
      <c r="C48" s="11" t="s">
        <v>168</v>
      </c>
      <c r="E48" s="12" t="str">
        <f t="shared" si="1"/>
        <v>* header.author.identifier -&gt; ##34#TBD##34#</v>
      </c>
    </row>
    <row r="49" spans="2:5" x14ac:dyDescent="0.75">
      <c r="B49" s="11" t="str">
        <f>HospitalDischargeReportSK!B47</f>
        <v>header.author.name</v>
      </c>
      <c r="C49" s="11" t="s">
        <v>168</v>
      </c>
      <c r="E49" s="12" t="str">
        <f t="shared" si="1"/>
        <v>* header.author.name -&gt; ##34#TBD##34#</v>
      </c>
    </row>
    <row r="50" spans="2:5" x14ac:dyDescent="0.75">
      <c r="B50" s="11" t="str">
        <f>HospitalDischargeReportSK!B48</f>
        <v>header.author.organizationID</v>
      </c>
      <c r="C50" s="11" t="s">
        <v>168</v>
      </c>
      <c r="E50" s="12" t="str">
        <f t="shared" si="1"/>
        <v>* header.author.organizationID -&gt; ##34#TBD##34#</v>
      </c>
    </row>
    <row r="51" spans="2:5" x14ac:dyDescent="0.75">
      <c r="B51" s="11" t="str">
        <f>HospitalDischargeReportSK!B49</f>
        <v>header.author.organization</v>
      </c>
      <c r="C51" s="11" t="s">
        <v>168</v>
      </c>
      <c r="E51" s="12" t="str">
        <f t="shared" si="1"/>
        <v>* header.author.organization -&gt; ##34#TBD##34#</v>
      </c>
    </row>
    <row r="52" spans="2:5" x14ac:dyDescent="0.75">
      <c r="B52" s="11" t="str">
        <f>HospitalDischargeReportSK!B50</f>
        <v>header.author.dateTime</v>
      </c>
      <c r="C52" s="11" t="s">
        <v>168</v>
      </c>
      <c r="E52" s="12" t="str">
        <f t="shared" si="1"/>
        <v>* header.author.dateTime -&gt; ##34#TBD##34#</v>
      </c>
    </row>
    <row r="53" spans="2:5" x14ac:dyDescent="0.75">
      <c r="B53" s="11" t="str">
        <f>HospitalDischargeReportSK!B51</f>
        <v>header.attester</v>
      </c>
      <c r="C53" s="11" t="s">
        <v>168</v>
      </c>
      <c r="E53" s="12" t="str">
        <f t="shared" si="1"/>
        <v>* header.attester -&gt; ##34#TBD##34#</v>
      </c>
    </row>
    <row r="54" spans="2:5" x14ac:dyDescent="0.75">
      <c r="B54" s="11" t="str">
        <f>HospitalDischargeReportSK!B52</f>
        <v>header.attester.identifier</v>
      </c>
      <c r="C54" s="11" t="s">
        <v>168</v>
      </c>
      <c r="E54" s="12" t="str">
        <f t="shared" si="1"/>
        <v>* header.attester.identifier -&gt; ##34#TBD##34#</v>
      </c>
    </row>
    <row r="55" spans="2:5" x14ac:dyDescent="0.75">
      <c r="B55" s="11" t="str">
        <f>HospitalDischargeReportSK!B53</f>
        <v>header.attester.name</v>
      </c>
      <c r="C55" s="11" t="s">
        <v>168</v>
      </c>
      <c r="E55" s="12" t="str">
        <f t="shared" si="1"/>
        <v>* header.attester.name -&gt; ##34#TBD##34#</v>
      </c>
    </row>
    <row r="56" spans="2:5" x14ac:dyDescent="0.75">
      <c r="B56" s="11" t="str">
        <f>HospitalDischargeReportSK!B54</f>
        <v>header.attester.organizationID</v>
      </c>
      <c r="C56" s="11" t="s">
        <v>168</v>
      </c>
      <c r="E56" s="12" t="str">
        <f t="shared" si="1"/>
        <v>* header.attester.organizationID -&gt; ##34#TBD##34#</v>
      </c>
    </row>
    <row r="57" spans="2:5" x14ac:dyDescent="0.75">
      <c r="B57" s="11" t="str">
        <f>HospitalDischargeReportSK!B55</f>
        <v>header.attester.organization</v>
      </c>
      <c r="C57" s="11" t="s">
        <v>168</v>
      </c>
      <c r="E57" s="12" t="str">
        <f t="shared" si="1"/>
        <v>* header.attester.organization -&gt; ##34#TBD##34#</v>
      </c>
    </row>
    <row r="58" spans="2:5" x14ac:dyDescent="0.75">
      <c r="B58" s="11" t="str">
        <f>HospitalDischargeReportSK!B56</f>
        <v>header.attester.dateTime</v>
      </c>
      <c r="C58" s="11" t="s">
        <v>168</v>
      </c>
      <c r="E58" s="12" t="str">
        <f t="shared" si="1"/>
        <v>* header.attester.dateTime -&gt; ##34#TBD##34#</v>
      </c>
    </row>
    <row r="59" spans="2:5" x14ac:dyDescent="0.75">
      <c r="B59" s="11" t="str">
        <f>HospitalDischargeReportSK!B57</f>
        <v>header.legalAuthenticator</v>
      </c>
      <c r="C59" s="11" t="s">
        <v>168</v>
      </c>
      <c r="E59" s="12" t="str">
        <f t="shared" si="1"/>
        <v>* header.legalAuthenticator -&gt; ##34#TBD##34#</v>
      </c>
    </row>
    <row r="60" spans="2:5" x14ac:dyDescent="0.75">
      <c r="B60" s="11" t="str">
        <f>HospitalDischargeReportSK!B58</f>
        <v>header.legalAuthenticator.identifier</v>
      </c>
      <c r="C60" s="11" t="s">
        <v>168</v>
      </c>
      <c r="E60" s="12" t="str">
        <f t="shared" si="1"/>
        <v>* header.legalAuthenticator.identifier -&gt; ##34#TBD##34#</v>
      </c>
    </row>
    <row r="61" spans="2:5" x14ac:dyDescent="0.75">
      <c r="B61" s="11" t="str">
        <f>HospitalDischargeReportSK!B59</f>
        <v>header.legalAuthenticator.name</v>
      </c>
      <c r="C61" s="11" t="s">
        <v>168</v>
      </c>
      <c r="E61" s="12" t="str">
        <f t="shared" si="1"/>
        <v>* header.legalAuthenticator.name -&gt; ##34#TBD##34#</v>
      </c>
    </row>
    <row r="62" spans="2:5" x14ac:dyDescent="0.75">
      <c r="B62" s="11" t="str">
        <f>HospitalDischargeReportSK!B60</f>
        <v>header.legalAuthenticator.organizationID</v>
      </c>
      <c r="C62" s="11" t="s">
        <v>168</v>
      </c>
      <c r="E62" s="12" t="str">
        <f t="shared" si="1"/>
        <v>* header.legalAuthenticator.organizationID -&gt; ##34#TBD##34#</v>
      </c>
    </row>
    <row r="63" spans="2:5" x14ac:dyDescent="0.75">
      <c r="B63" s="11" t="str">
        <f>HospitalDischargeReportSK!B61</f>
        <v>header.legalAuthenticator.organization</v>
      </c>
      <c r="C63" s="11" t="s">
        <v>168</v>
      </c>
      <c r="E63" s="12" t="str">
        <f t="shared" si="1"/>
        <v>* header.legalAuthenticator.organization -&gt; ##34#TBD##34#</v>
      </c>
    </row>
    <row r="64" spans="2:5" x14ac:dyDescent="0.75">
      <c r="B64" s="11" t="str">
        <f>HospitalDischargeReportSK!B62</f>
        <v>header.legalAuthenticator.dateTime</v>
      </c>
      <c r="C64" s="11" t="s">
        <v>168</v>
      </c>
      <c r="E64" s="12" t="str">
        <f t="shared" si="1"/>
        <v>* header.legalAuthenticator.dateTime -&gt; ##34#TBD##34#</v>
      </c>
    </row>
    <row r="65" spans="2:5" x14ac:dyDescent="0.75">
      <c r="B65" s="11" t="str">
        <f>HospitalDischargeReportSK!B63</f>
        <v>header.documentMetadata</v>
      </c>
      <c r="C65" s="11" t="s">
        <v>168</v>
      </c>
      <c r="E65" s="12" t="str">
        <f t="shared" si="1"/>
        <v>* header.documentMetadata -&gt; ##34#TBD##34#</v>
      </c>
    </row>
    <row r="66" spans="2:5" x14ac:dyDescent="0.75">
      <c r="B66" s="11" t="str">
        <f>HospitalDischargeReportSK!B64</f>
        <v>header.documentMetadata.identifier</v>
      </c>
      <c r="C66" s="11" t="s">
        <v>168</v>
      </c>
      <c r="E66" s="12" t="str">
        <f t="shared" si="1"/>
        <v>* header.documentMetadata.identifier -&gt; ##34#TBD##34#</v>
      </c>
    </row>
    <row r="67" spans="2:5" x14ac:dyDescent="0.75">
      <c r="B67" s="11" t="str">
        <f>HospitalDischargeReportSK!B65</f>
        <v>header.documentMetadata.type</v>
      </c>
      <c r="C67" s="11" t="s">
        <v>168</v>
      </c>
      <c r="E67" s="12" t="str">
        <f t="shared" si="1"/>
        <v>* header.documentMetadata.type -&gt; ##34#TBD##34#</v>
      </c>
    </row>
    <row r="68" spans="2:5" x14ac:dyDescent="0.75">
      <c r="B68" s="11" t="str">
        <f>HospitalDischargeReportSK!B66</f>
        <v>header.documentMetadata.status</v>
      </c>
      <c r="C68" s="11" t="s">
        <v>168</v>
      </c>
      <c r="E68" s="12" t="str">
        <f t="shared" si="1"/>
        <v>* header.documentMetadata.status -&gt; ##34#TBD##34#</v>
      </c>
    </row>
    <row r="69" spans="2:5" x14ac:dyDescent="0.75">
      <c r="B69" s="11" t="str">
        <f>HospitalDischargeReportSK!B67</f>
        <v>header.documentMetadata.dateTime</v>
      </c>
      <c r="C69" s="11" t="s">
        <v>168</v>
      </c>
      <c r="E69" s="12" t="str">
        <f t="shared" si="1"/>
        <v>* header.documentMetadata.dateTime -&gt; ##34#TBD##34#</v>
      </c>
    </row>
    <row r="70" spans="2:5" x14ac:dyDescent="0.75">
      <c r="B70" s="11" t="str">
        <f>HospitalDischargeReportSK!B68</f>
        <v>header.documentMetadata.title</v>
      </c>
      <c r="C70" s="11" t="s">
        <v>168</v>
      </c>
      <c r="E70" s="12" t="str">
        <f t="shared" si="1"/>
        <v>* header.documentMetadata.title -&gt; ##34#TBD##34#</v>
      </c>
    </row>
    <row r="71" spans="2:5" x14ac:dyDescent="0.75">
      <c r="B71" s="11" t="str">
        <f>HospitalDischargeReportSK!B69</f>
        <v>header.documentMetadata.custodian</v>
      </c>
      <c r="C71" s="11" t="s">
        <v>168</v>
      </c>
      <c r="E71" s="12" t="str">
        <f t="shared" si="1"/>
        <v>* header.documentMetadata.custodian -&gt; ##34#TBD##34#</v>
      </c>
    </row>
    <row r="72" spans="2:5" x14ac:dyDescent="0.75">
      <c r="B72" s="11" t="str">
        <f>HospitalDischargeReportSK!B70</f>
        <v>header.documentMetadata.confidentiality</v>
      </c>
      <c r="C72" s="11" t="s">
        <v>168</v>
      </c>
      <c r="E72" s="12" t="str">
        <f t="shared" si="1"/>
        <v>* header.documentMetadata.confidentiality -&gt; ##34#TBD##34#</v>
      </c>
    </row>
    <row r="73" spans="2:5" x14ac:dyDescent="0.75">
      <c r="B73" s="11" t="str">
        <f>HospitalDischargeReportSK!B71</f>
        <v>header.documentMetadata.language</v>
      </c>
      <c r="C73" s="11" t="s">
        <v>168</v>
      </c>
      <c r="E73" s="12" t="str">
        <f t="shared" si="1"/>
        <v>* header.documentMetadata.language -&gt; ##34#TBD##34#</v>
      </c>
    </row>
    <row r="74" spans="2:5" x14ac:dyDescent="0.75">
      <c r="B74" s="11" t="str">
        <f>HospitalDischargeReportSK!B72</f>
        <v>header.documentMetadata.version</v>
      </c>
      <c r="C74" s="11" t="s">
        <v>168</v>
      </c>
      <c r="E74" s="12" t="str">
        <f t="shared" si="1"/>
        <v>* header.documentMetadata.version -&gt; ##34#TBD##34#</v>
      </c>
    </row>
    <row r="75" spans="2:5" x14ac:dyDescent="0.75">
      <c r="B75" s="11" t="str">
        <f>HospitalDischargeReportSK!B73</f>
        <v>header.digitalSignature</v>
      </c>
      <c r="C75" s="11" t="s">
        <v>168</v>
      </c>
      <c r="E75" s="12" t="str">
        <f t="shared" ref="E75:E89" si="2">IF(B75=0,"*  -&gt; ##34###34#",CONCATENATE("* ",B75," -&gt; ##34#",C75,"##34#"))</f>
        <v>* header.digitalSignature -&gt; ##34#TBD##34#</v>
      </c>
    </row>
    <row r="76" spans="2:5" x14ac:dyDescent="0.75">
      <c r="B76" s="11" t="str">
        <f>HospitalDischargeReportSK!B74</f>
        <v>header.digitalSignature.signature</v>
      </c>
      <c r="C76" s="11" t="s">
        <v>168</v>
      </c>
      <c r="E76" s="12" t="str">
        <f t="shared" si="2"/>
        <v>* header.digitalSignature.signature -&gt; ##34#TBD##34#</v>
      </c>
    </row>
    <row r="77" spans="2:5" x14ac:dyDescent="0.75">
      <c r="B77" s="11" t="str">
        <f>HospitalDischargeReportSK!B75</f>
        <v>header.digitalSignature.timeStamp</v>
      </c>
      <c r="C77" s="11" t="s">
        <v>168</v>
      </c>
      <c r="E77" s="12" t="str">
        <f t="shared" si="2"/>
        <v>* header.digitalSignature.timeStamp -&gt; ##34#TBD##34#</v>
      </c>
    </row>
    <row r="78" spans="2:5" x14ac:dyDescent="0.75">
      <c r="B78" s="11" t="str">
        <f>HospitalDischargeReportSK!B76</f>
        <v>body</v>
      </c>
      <c r="C78" s="11" t="s">
        <v>168</v>
      </c>
      <c r="E78" s="12" t="str">
        <f t="shared" si="2"/>
        <v>* body -&gt; ##34#TBD##34#</v>
      </c>
    </row>
    <row r="79" spans="2:5" x14ac:dyDescent="0.75">
      <c r="B79" s="11" t="str">
        <f>HospitalDischargeReportSK!B77</f>
        <v>body.advanceDirectives</v>
      </c>
      <c r="C79" s="11" t="s">
        <v>168</v>
      </c>
      <c r="E79" s="12" t="str">
        <f t="shared" si="2"/>
        <v>* body.advanceDirectives -&gt; ##34#TBD##34#</v>
      </c>
    </row>
    <row r="80" spans="2:5" x14ac:dyDescent="0.75">
      <c r="B80" s="11" t="str">
        <f>HospitalDischargeReportSK!B78</f>
        <v>body.emergencyInfos</v>
      </c>
      <c r="C80" s="11" t="s">
        <v>168</v>
      </c>
      <c r="E80" s="12" t="str">
        <f t="shared" si="2"/>
        <v>* body.emergencyInfos -&gt; ##34#TBD##34#</v>
      </c>
    </row>
    <row r="81" spans="2:5" x14ac:dyDescent="0.75">
      <c r="B81" s="11" t="str">
        <f>HospitalDischargeReportSK!B79</f>
        <v>body.encounter</v>
      </c>
      <c r="C81" s="11" t="s">
        <v>168</v>
      </c>
      <c r="E81" s="12" t="str">
        <f t="shared" si="2"/>
        <v>* body.encounter -&gt; ##34#TBD##34#</v>
      </c>
    </row>
    <row r="82" spans="2:5" x14ac:dyDescent="0.75">
      <c r="B82" s="11" t="str">
        <f>HospitalDischargeReportSK!B80</f>
        <v>body.admissionEvaluation</v>
      </c>
      <c r="C82" s="11" t="s">
        <v>168</v>
      </c>
      <c r="E82" s="12" t="str">
        <f t="shared" si="2"/>
        <v>* body.admissionEvaluation -&gt; ##34#TBD##34#</v>
      </c>
    </row>
    <row r="83" spans="2:5" x14ac:dyDescent="0.75">
      <c r="B83" s="11" t="str">
        <f>HospitalDischargeReportSK!B81</f>
        <v>body.patientHistory</v>
      </c>
      <c r="C83" s="11" t="s">
        <v>168</v>
      </c>
      <c r="E83" s="12" t="str">
        <f t="shared" si="2"/>
        <v>* body.patientHistory -&gt; ##34#TBD##34#</v>
      </c>
    </row>
    <row r="84" spans="2:5" x14ac:dyDescent="0.75">
      <c r="B84" s="11" t="str">
        <f>HospitalDischargeReportSK!B82</f>
        <v>body.hospitalStay</v>
      </c>
      <c r="C84" s="11" t="s">
        <v>168</v>
      </c>
      <c r="E84" s="12" t="str">
        <f t="shared" si="2"/>
        <v>* body.hospitalStay -&gt; ##34#TBD##34#</v>
      </c>
    </row>
    <row r="85" spans="2:5" x14ac:dyDescent="0.75">
      <c r="B85" s="11" t="str">
        <f>HospitalDischargeReportSK!B83</f>
        <v>body.dischargeDetails</v>
      </c>
      <c r="C85" s="11" t="s">
        <v>168</v>
      </c>
      <c r="E85" s="12" t="str">
        <f t="shared" si="2"/>
        <v>* body.dischargeDetails -&gt; ##34#TBD##34#</v>
      </c>
    </row>
    <row r="86" spans="2:5" x14ac:dyDescent="0.75">
      <c r="B86" s="11" t="str">
        <f>HospitalDischargeReportSK!B84</f>
        <v>body.recommendations</v>
      </c>
      <c r="C86" s="11" t="s">
        <v>168</v>
      </c>
      <c r="E86" s="12" t="str">
        <f t="shared" si="2"/>
        <v>* body.recommendations -&gt; ##34#TBD##34#</v>
      </c>
    </row>
    <row r="87" spans="2:5" x14ac:dyDescent="0.75">
      <c r="B87" s="11"/>
      <c r="C87" s="11" t="s">
        <v>168</v>
      </c>
      <c r="E87" s="12" t="str">
        <f t="shared" si="2"/>
        <v>*  -&gt; ##34###34#</v>
      </c>
    </row>
    <row r="88" spans="2:5" x14ac:dyDescent="0.75">
      <c r="B88" s="11"/>
      <c r="C88" s="11" t="s">
        <v>168</v>
      </c>
      <c r="E88" s="12" t="str">
        <f t="shared" si="2"/>
        <v>*  -&gt; ##34###34#</v>
      </c>
    </row>
    <row r="89" spans="2:5" x14ac:dyDescent="0.75">
      <c r="B89" s="11"/>
      <c r="C89" s="11" t="s">
        <v>168</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HospitalDischargeReportSK!J1</f>
        <v>//===================================================</v>
      </c>
    </row>
    <row r="2" spans="3:7" ht="16.75" thickBot="1" x14ac:dyDescent="0.9">
      <c r="C2" s="25" t="str">
        <f>HospitalDischargeReportSK!J2</f>
        <v>//  Logical Model</v>
      </c>
      <c r="G2" s="30" t="s">
        <v>1915</v>
      </c>
    </row>
    <row r="3" spans="3:7" x14ac:dyDescent="0.75">
      <c r="C3" s="25" t="str">
        <f>HospitalDischargeReportSK!J3</f>
        <v>//===================================================</v>
      </c>
    </row>
    <row r="4" spans="3:7" x14ac:dyDescent="0.75">
      <c r="C4" s="17" t="str">
        <f>HospitalDischargeReportSK!J4</f>
        <v>Logical: HospitalDischargeReportSK</v>
      </c>
    </row>
    <row r="5" spans="3:7" x14ac:dyDescent="0.75">
      <c r="C5" s="17" t="str">
        <f>HospitalDischargeReportSK!J5</f>
        <v>Id: HospitalDischargeReportSK</v>
      </c>
    </row>
    <row r="6" spans="3:7" x14ac:dyDescent="0.75">
      <c r="C6" s="17" t="str">
        <f>HospitalDischargeReportSK!J6</f>
        <v>Title: ##34#Hospital Discharge Report (SK)##34#</v>
      </c>
    </row>
    <row r="7" spans="3:7" ht="29.5" x14ac:dyDescent="0.75">
      <c r="C7" s="17"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29.5"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4" t="s">
        <v>172</v>
      </c>
    </row>
    <row r="94" spans="3:3" x14ac:dyDescent="0.75">
      <c r="C94" s="25" t="s">
        <v>20</v>
      </c>
    </row>
    <row r="95" spans="3:3" x14ac:dyDescent="0.75">
      <c r="C95" s="25" t="s">
        <v>172</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4" t="str">
        <f>'HospitalDischargeReportSK-Map'!E1</f>
        <v>// -------------------------------------------------------------------------------</v>
      </c>
    </row>
    <row r="179" spans="3:3" x14ac:dyDescent="0.75">
      <c r="C179" s="25" t="str">
        <f>'HospitalDischargeReportSK-Map'!E2</f>
        <v>//  Map to FHIR R4</v>
      </c>
    </row>
    <row r="180" spans="3:3" x14ac:dyDescent="0.75">
      <c r="C180" s="25"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35</v>
      </c>
      <c r="I4" s="17" t="str">
        <f>CONCATENATE("Logical: ",B4)</f>
        <v>Logical: SubjectI4rc</v>
      </c>
    </row>
    <row r="5" spans="1:9" x14ac:dyDescent="0.75">
      <c r="A5" s="15" t="s">
        <v>17</v>
      </c>
      <c r="B5" s="32" t="s">
        <v>10</v>
      </c>
      <c r="I5" s="17" t="str">
        <f>CONCATENATE("Id: ",B5)</f>
        <v>Id: Subject</v>
      </c>
    </row>
    <row r="6" spans="1:9" x14ac:dyDescent="0.75">
      <c r="A6" s="15" t="s">
        <v>11</v>
      </c>
      <c r="B6" s="33" t="s">
        <v>36</v>
      </c>
      <c r="I6" s="18" t="str">
        <f>CONCATENATE("Title: ##34#",B6,"##34#")</f>
        <v>Title: ##34#Subject of care##34#</v>
      </c>
    </row>
    <row r="7" spans="1:9" ht="30.25" thickBot="1" x14ac:dyDescent="0.9">
      <c r="A7" s="27" t="s">
        <v>3</v>
      </c>
      <c r="B7" s="34" t="s">
        <v>37</v>
      </c>
      <c r="C7" s="9" t="s">
        <v>4</v>
      </c>
      <c r="D7" s="1" t="s">
        <v>5</v>
      </c>
      <c r="E7" s="3" t="s">
        <v>6</v>
      </c>
      <c r="F7" s="3" t="s">
        <v>7</v>
      </c>
      <c r="G7" s="3" t="s">
        <v>8</v>
      </c>
      <c r="I7" s="18" t="str">
        <f>CONCATENATE("Description: "," ##334#",B7,"##334#",)</f>
        <v>Description:  ##334#Subject of care 
Maturity Level: 0 Draft##334#</v>
      </c>
    </row>
    <row r="8" spans="1:9" ht="59" x14ac:dyDescent="0.75">
      <c r="A8" s="11">
        <v>1</v>
      </c>
      <c r="B8" s="11" t="s">
        <v>38</v>
      </c>
      <c r="C8" s="14" t="s">
        <v>24</v>
      </c>
      <c r="D8" s="12" t="s">
        <v>25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x14ac:dyDescent="0.75">
      <c r="A9" s="11">
        <v>2</v>
      </c>
      <c r="B9" s="11" t="s">
        <v>39</v>
      </c>
      <c r="C9" s="14" t="s">
        <v>24</v>
      </c>
      <c r="D9" s="12" t="s">
        <v>25</v>
      </c>
      <c r="E9" s="11">
        <v>0</v>
      </c>
      <c r="F9" s="11">
        <v>1</v>
      </c>
      <c r="G9" s="11" t="s">
        <v>45</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x14ac:dyDescent="0.75">
      <c r="A10" s="11">
        <v>3</v>
      </c>
      <c r="B10" s="11" t="s">
        <v>40</v>
      </c>
      <c r="C10" s="14" t="s">
        <v>26</v>
      </c>
      <c r="D10" s="12" t="s">
        <v>28</v>
      </c>
      <c r="E10" s="11">
        <v>0</v>
      </c>
      <c r="F10" s="11">
        <v>1</v>
      </c>
      <c r="G10" s="11" t="s">
        <v>46</v>
      </c>
      <c r="H10" s="26"/>
      <c r="I10" s="12" t="str">
        <f t="shared" si="0"/>
        <v>* dateOfBirth.unknown 0..1 boolean ##34#Date of birth day unknown##34# ##334#Describes if day of date of birthday is unknown##334#</v>
      </c>
    </row>
    <row r="11" spans="1:9" ht="44.25" x14ac:dyDescent="0.75">
      <c r="A11" s="11">
        <v>4</v>
      </c>
      <c r="B11" s="11" t="s">
        <v>41</v>
      </c>
      <c r="C11" s="14" t="s">
        <v>29</v>
      </c>
      <c r="D11" s="12" t="s">
        <v>30</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x14ac:dyDescent="0.75">
      <c r="A12" s="11">
        <v>5</v>
      </c>
      <c r="B12" s="11" t="s">
        <v>42</v>
      </c>
      <c r="C12" s="35" t="s">
        <v>47</v>
      </c>
      <c r="D12" s="36" t="s">
        <v>48</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x14ac:dyDescent="0.75">
      <c r="A13" s="11">
        <v>6</v>
      </c>
      <c r="B13" s="11" t="s">
        <v>43</v>
      </c>
      <c r="C13" s="14" t="s">
        <v>31</v>
      </c>
      <c r="D13" s="12" t="s">
        <v>32</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x14ac:dyDescent="0.75">
      <c r="A14" s="11">
        <v>7</v>
      </c>
      <c r="B14" s="11" t="s">
        <v>44</v>
      </c>
      <c r="C14" s="14" t="s">
        <v>33</v>
      </c>
      <c r="D14" s="12" t="s">
        <v>34</v>
      </c>
      <c r="E14" s="11">
        <v>0</v>
      </c>
      <c r="F14" s="11" t="s">
        <v>9</v>
      </c>
      <c r="G14" s="11" t="s">
        <v>0</v>
      </c>
      <c r="H14" s="26"/>
      <c r="I14" s="12" t="str">
        <f t="shared" si="0"/>
        <v>* countryOfResidence 0..* CodeableConcept ##34#Country of Residence ##34# ##334#Country of residence at the time of diagnosis##334#</v>
      </c>
    </row>
    <row r="15" spans="1:9" x14ac:dyDescent="0.75">
      <c r="A15" s="11"/>
      <c r="B15" s="11"/>
      <c r="C15" s="11"/>
      <c r="D15" s="11"/>
      <c r="E15" s="11"/>
      <c r="F15" s="11"/>
      <c r="G15" s="11"/>
      <c r="H15" s="26"/>
      <c r="I15" s="12" t="str">
        <f t="shared" si="0"/>
        <v>*  ..  ##34###34# ##334###334#</v>
      </c>
    </row>
    <row r="16" spans="1:9" x14ac:dyDescent="0.75">
      <c r="A16" s="11"/>
      <c r="B16" s="11"/>
      <c r="C16" s="11"/>
      <c r="D16" s="12"/>
      <c r="E16" s="11"/>
      <c r="F16" s="11"/>
      <c r="G16" s="11"/>
      <c r="H16" s="26"/>
      <c r="I16" s="12" t="str">
        <f t="shared" si="0"/>
        <v>*  ..  ##34###34# ##334###334#</v>
      </c>
    </row>
    <row r="17" spans="9:9" x14ac:dyDescent="0.75">
      <c r="I17" s="12" t="str">
        <f t="shared" si="0"/>
        <v>*  ..  ##34###34# ##334###334#</v>
      </c>
    </row>
    <row r="18" spans="9:9" x14ac:dyDescent="0.75">
      <c r="I18" s="12" t="str">
        <f t="shared" si="0"/>
        <v>*  ..  ##34###34# ##334###334#</v>
      </c>
    </row>
    <row r="19" spans="9:9" x14ac:dyDescent="0.75">
      <c r="I19" s="12" t="str">
        <f t="shared" si="0"/>
        <v>*  ..  ##34###34# ##334###334#</v>
      </c>
    </row>
    <row r="20" spans="9:9" x14ac:dyDescent="0.75">
      <c r="I20" s="12" t="str">
        <f t="shared" si="0"/>
        <v>*  ..  ##34###34# ##334###334#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57</v>
      </c>
      <c r="E4" s="20" t="str">
        <f>CONCATENATE("Mapping: ",C4)</f>
        <v>Mapping: I4RCSubject2Fhir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Subject</v>
      </c>
      <c r="E7" s="21" t="str">
        <f>CONCATENATE("Source: ",C7)</f>
        <v>Source: Subject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Subject!B5</f>
        <v>Subject</v>
      </c>
      <c r="C9" s="6" t="s">
        <v>15</v>
      </c>
      <c r="E9" s="28" t="str">
        <f>CONCATENATE("* -&gt; ##34#",C9,"##34#")</f>
        <v>* -&gt; ##34#Patient##34#</v>
      </c>
      <c r="H9" s="7"/>
      <c r="I9" s="7"/>
      <c r="J9" s="7"/>
      <c r="K9" s="7"/>
      <c r="L9" s="7"/>
      <c r="M9" s="7"/>
      <c r="N9" s="7"/>
      <c r="O9" s="7"/>
    </row>
    <row r="10" spans="1:15" x14ac:dyDescent="0.75">
      <c r="A10" s="11"/>
      <c r="B10" s="11" t="str">
        <f>Subject!B8</f>
        <v>dateOfBirth</v>
      </c>
      <c r="C10" s="11" t="s">
        <v>50</v>
      </c>
      <c r="E10" s="12" t="str">
        <f t="shared" ref="E10:E25" si="0">IF(B10=0,"*  -&gt; ##34###34#",CONCATENATE("* ",B10," -&gt; ##34#",C10,"##34#"))</f>
        <v>* dateOfBirth -&gt; ##34#.birthDate##34#</v>
      </c>
      <c r="H10" s="7"/>
      <c r="I10" s="7"/>
      <c r="J10" s="7"/>
      <c r="K10" s="7"/>
      <c r="L10" s="7"/>
      <c r="M10" s="7"/>
      <c r="N10" s="7"/>
      <c r="O10" s="7"/>
    </row>
    <row r="11" spans="1:15" x14ac:dyDescent="0.75">
      <c r="A11" s="11"/>
      <c r="B11" s="11" t="str">
        <f>Subject!B9</f>
        <v>dateOfBirth.date</v>
      </c>
      <c r="C11" s="11" t="s">
        <v>50</v>
      </c>
      <c r="E11" s="12" t="str">
        <f t="shared" si="0"/>
        <v>* dateOfBirth.date -&gt; ##34#.birthDate##34#</v>
      </c>
      <c r="H11" s="7"/>
      <c r="I11" s="7"/>
      <c r="J11" s="7"/>
      <c r="K11" s="7"/>
      <c r="L11" s="7"/>
      <c r="M11" s="7"/>
      <c r="N11" s="7"/>
      <c r="O11" s="7"/>
    </row>
    <row r="12" spans="1:15" x14ac:dyDescent="0.75">
      <c r="A12" s="11"/>
      <c r="B12" s="11" t="str">
        <f>Subject!B10</f>
        <v>dateOfBirth.unknown</v>
      </c>
      <c r="C12" s="11" t="s">
        <v>51</v>
      </c>
      <c r="E12" s="12" t="str">
        <f t="shared" si="0"/>
        <v>* dateOfBirth.unknown -&gt; ##34#.birthDate.extension('data-absent-reason').where(valueCode = 'unknown')##34#</v>
      </c>
      <c r="H12" s="7"/>
      <c r="I12" s="7"/>
      <c r="J12" s="7"/>
      <c r="K12" s="7"/>
      <c r="L12" s="7"/>
      <c r="M12" s="7"/>
      <c r="N12" s="7"/>
      <c r="O12" s="7"/>
    </row>
    <row r="13" spans="1:15" x14ac:dyDescent="0.75">
      <c r="A13" s="11"/>
      <c r="B13" s="11" t="str">
        <f>Subject!B11</f>
        <v>maritalStatus</v>
      </c>
      <c r="C13" s="11" t="s">
        <v>52</v>
      </c>
      <c r="E13" s="12" t="str">
        <f t="shared" si="0"/>
        <v>* maritalStatus -&gt; ##34#.maritalStatus##34#</v>
      </c>
      <c r="H13" s="7"/>
      <c r="I13" s="7"/>
      <c r="J13" s="7"/>
      <c r="K13" s="7"/>
      <c r="L13" s="7"/>
      <c r="M13" s="7"/>
      <c r="N13" s="7"/>
      <c r="O13" s="7"/>
    </row>
    <row r="14" spans="1:15" x14ac:dyDescent="0.75">
      <c r="A14" s="11"/>
      <c r="B14" s="11" t="str">
        <f>Subject!$B$12</f>
        <v>sexOrGender</v>
      </c>
      <c r="C14" s="11" t="s">
        <v>53</v>
      </c>
      <c r="E14" s="12" t="str">
        <f t="shared" si="0"/>
        <v>* sexOrGender -&gt; ##34#.gender##34#</v>
      </c>
      <c r="H14" s="7"/>
      <c r="I14" s="7"/>
      <c r="J14" s="7"/>
      <c r="K14" s="7"/>
      <c r="L14" s="7"/>
      <c r="M14" s="7"/>
      <c r="N14" s="7"/>
      <c r="O14" s="7"/>
    </row>
    <row r="15" spans="1:15" x14ac:dyDescent="0.75">
      <c r="A15" s="11"/>
      <c r="B15" s="11" t="str">
        <f>Subject!$B$12</f>
        <v>sexOrGender</v>
      </c>
      <c r="C15" s="11" t="s">
        <v>54</v>
      </c>
      <c r="E15" s="12" t="str">
        <f t="shared" si="0"/>
        <v>* sexOrGender -&gt; ##34#.extension('individual-recordedSexOrGender').value##34#</v>
      </c>
      <c r="H15" s="7"/>
      <c r="I15" s="7"/>
      <c r="J15" s="7"/>
      <c r="K15" s="7"/>
      <c r="L15" s="7"/>
      <c r="M15" s="7"/>
      <c r="N15" s="7"/>
      <c r="O15" s="7"/>
    </row>
    <row r="16" spans="1:15" x14ac:dyDescent="0.75">
      <c r="A16" s="11"/>
      <c r="B16" s="11" t="str">
        <f>Subject!$B$12</f>
        <v>sexOrGender</v>
      </c>
      <c r="C16" s="11" t="s">
        <v>55</v>
      </c>
      <c r="E16" s="12" t="str">
        <f t="shared" si="0"/>
        <v>* sexOrGender -&gt; ##34#.extension('patient-sexForClinicalUse').value##34#</v>
      </c>
      <c r="H16" s="7"/>
      <c r="I16" s="7"/>
      <c r="J16" s="7"/>
      <c r="K16" s="7"/>
      <c r="L16" s="7"/>
      <c r="M16" s="7"/>
      <c r="N16" s="7"/>
      <c r="O16" s="7"/>
    </row>
    <row r="17" spans="1:5" x14ac:dyDescent="0.75">
      <c r="A17" s="11"/>
      <c r="B17" s="11" t="str">
        <f>Subject!B13</f>
        <v>race</v>
      </c>
      <c r="C17" s="11" t="s">
        <v>23</v>
      </c>
      <c r="E17" s="12" t="str">
        <f t="shared" si="0"/>
        <v>* race -&gt; ##34#to be mapped##34#</v>
      </c>
    </row>
    <row r="18" spans="1:5" x14ac:dyDescent="0.75">
      <c r="A18" s="11"/>
      <c r="B18" s="11" t="str">
        <f>Subject!B14</f>
        <v>countryOfResidence</v>
      </c>
      <c r="C18" s="11" t="s">
        <v>56</v>
      </c>
      <c r="E18" s="12" t="str">
        <f t="shared" si="0"/>
        <v>* countryOfResidence -&gt; ##34#.address.country##34#</v>
      </c>
    </row>
    <row r="19" spans="1:5" x14ac:dyDescent="0.75">
      <c r="A19" s="11"/>
      <c r="B19" s="11">
        <f>Subject!B15</f>
        <v>0</v>
      </c>
      <c r="C19" s="12"/>
      <c r="E19" s="12" t="str">
        <f t="shared" si="0"/>
        <v>*  -&gt; ##34###34#</v>
      </c>
    </row>
    <row r="20" spans="1:5" x14ac:dyDescent="0.75">
      <c r="A20" s="11"/>
      <c r="B20" s="11">
        <f>Subject!B16</f>
        <v>0</v>
      </c>
      <c r="C20" s="12"/>
      <c r="E20" s="12" t="str">
        <f t="shared" si="0"/>
        <v>*  -&gt; ##34###34#</v>
      </c>
    </row>
    <row r="21" spans="1:5" x14ac:dyDescent="0.75">
      <c r="B21" s="11">
        <f>Subject!B17</f>
        <v>0</v>
      </c>
      <c r="C21" s="12"/>
      <c r="E21" s="12" t="str">
        <f t="shared" si="0"/>
        <v>*  -&gt; ##34###34#</v>
      </c>
    </row>
    <row r="22" spans="1:5" x14ac:dyDescent="0.75">
      <c r="B22" s="11">
        <f>Subject!B18</f>
        <v>0</v>
      </c>
      <c r="C22" s="12"/>
      <c r="E22" s="12" t="str">
        <f t="shared" si="0"/>
        <v>*  -&gt; ##34###34#</v>
      </c>
    </row>
    <row r="23" spans="1:5" x14ac:dyDescent="0.75">
      <c r="B23" s="11">
        <f>Subject!B19</f>
        <v>0</v>
      </c>
      <c r="C23" s="12"/>
      <c r="E23" s="12" t="str">
        <f t="shared" si="0"/>
        <v>*  -&gt; ##34###34#</v>
      </c>
    </row>
    <row r="24" spans="1:5" x14ac:dyDescent="0.75">
      <c r="B24" s="11">
        <f>Subject!B20</f>
        <v>0</v>
      </c>
      <c r="C24" s="12"/>
      <c r="E24" s="12" t="str">
        <f t="shared" si="0"/>
        <v>*  -&gt; ##34###34#</v>
      </c>
    </row>
    <row r="25" spans="1:5" x14ac:dyDescent="0.75">
      <c r="B25" s="11">
        <f>Subject!B21</f>
        <v>0</v>
      </c>
      <c r="C25" s="12"/>
      <c r="E25" s="12" t="str">
        <f t="shared" si="0"/>
        <v>*  -&gt; ##34###34#</v>
      </c>
    </row>
    <row r="26" spans="1:5" x14ac:dyDescent="0.75">
      <c r="B26" s="11">
        <f>Subject!B22</f>
        <v>0</v>
      </c>
      <c r="C26" s="12"/>
      <c r="E26" s="12"/>
    </row>
    <row r="27" spans="1:5" x14ac:dyDescent="0.75">
      <c r="B27" s="11">
        <f>Subject!B23</f>
        <v>0</v>
      </c>
      <c r="C27" s="12"/>
      <c r="E27" s="12"/>
    </row>
    <row r="28" spans="1:5" x14ac:dyDescent="0.75">
      <c r="B28" s="11">
        <f>Subject!B24</f>
        <v>0</v>
      </c>
      <c r="E28" s="12"/>
    </row>
    <row r="29" spans="1:5" x14ac:dyDescent="0.75">
      <c r="B29" s="11">
        <f>Subject!B25</f>
        <v>0</v>
      </c>
      <c r="C29" s="12"/>
      <c r="E29" s="12"/>
    </row>
    <row r="30" spans="1:5" x14ac:dyDescent="0.75">
      <c r="B30" s="11">
        <f>Subject!B26</f>
        <v>0</v>
      </c>
      <c r="E30" s="12"/>
    </row>
    <row r="31" spans="1:5" x14ac:dyDescent="0.75">
      <c r="B31" s="11">
        <f>Subject!B27</f>
        <v>0</v>
      </c>
      <c r="E31" s="12"/>
    </row>
    <row r="32" spans="1:5" x14ac:dyDescent="0.75">
      <c r="B32" s="11">
        <f>Subject!B28</f>
        <v>0</v>
      </c>
      <c r="E32" s="12"/>
    </row>
    <row r="33" spans="2:2" x14ac:dyDescent="0.75">
      <c r="B33" s="11">
        <f>Subject!B29</f>
        <v>0</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Subject!I1</f>
        <v>// -------------------------------------------------------------------------------</v>
      </c>
    </row>
    <row r="2" spans="3:7" ht="16.75" thickBot="1" x14ac:dyDescent="0.9">
      <c r="C2" s="25" t="str">
        <f>Subject!I2</f>
        <v>//  Logical Model</v>
      </c>
      <c r="G2" s="30" t="s">
        <v>58</v>
      </c>
    </row>
    <row r="3" spans="3:7" x14ac:dyDescent="0.75">
      <c r="C3" s="25" t="str">
        <f>Subject!I3</f>
        <v>// -------------------------------------------------------------------------------</v>
      </c>
    </row>
    <row r="4" spans="3:7" x14ac:dyDescent="0.75">
      <c r="C4" s="17" t="str">
        <f>Subject!I4</f>
        <v>Logical: SubjectI4rc</v>
      </c>
    </row>
    <row r="5" spans="3:7" x14ac:dyDescent="0.75">
      <c r="C5" s="17" t="str">
        <f>Subject!I5</f>
        <v>Id: Subject</v>
      </c>
    </row>
    <row r="6" spans="3:7" x14ac:dyDescent="0.75">
      <c r="C6" s="17" t="str">
        <f>Subject!I6</f>
        <v>Title: ##34#Subject of care##34#</v>
      </c>
    </row>
    <row r="7" spans="3:7" ht="29.5" x14ac:dyDescent="0.75">
      <c r="C7" s="17" t="str">
        <f>Subject!I7</f>
        <v>Description:  ##334#Subject of care 
Maturity Level: 0 Draft##334#</v>
      </c>
    </row>
    <row r="8" spans="3:7" ht="29.5" x14ac:dyDescent="0.7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x14ac:dyDescent="0.7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x14ac:dyDescent="0.75">
      <c r="C10" s="12" t="str">
        <f>IF(Subject!I10="*  ..  ##34###34# ##334###334#","//--- END",Subject!I10)</f>
        <v>* dateOfBirth.unknown 0..1 boolean ##34#Date of birth day unknown##34# ##334#Describes if day of date of birthday is unknown##334#</v>
      </c>
    </row>
    <row r="11" spans="3:7" ht="29.5" x14ac:dyDescent="0.75">
      <c r="C11" s="12" t="str">
        <f>IF(Subject!I11="*  ..  ##34###34# ##334###334#","//--- END",Subject!I11)</f>
        <v>* maritalStatus 0..1 CodeableConcept ##34#Marital status##34# ##334#Describes the marital status declared by the patient, at the time of diagnosis (section 4, Primary Cancer)##334#</v>
      </c>
    </row>
    <row r="12" spans="3:7" ht="44.25" x14ac:dyDescent="0.7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x14ac:dyDescent="0.75">
      <c r="C13" s="12" t="str">
        <f>IF(Subject!I13="*  ..  ##34###34# ##334###334#","//--- END",Subject!I13)</f>
        <v>* race 0..* CodeableConcept ##34#Race##34# ##334#Describes race as recorded in  the hospital record, the one declared by the patient,, otherwise, the onerecognized by the observer##334#</v>
      </c>
    </row>
    <row r="14" spans="3:7" ht="29.5" x14ac:dyDescent="0.75">
      <c r="C14" s="12" t="str">
        <f>IF(Subject!I14="*  ..  ##34###34# ##334###334#","//--- END",Subject!I14)</f>
        <v>* countryOfResidence 0..* CodeableConcept ##34#Country of Residence ##34# ##334#Country of residence at the time of diagnosis##334#</v>
      </c>
    </row>
    <row r="15" spans="3:7" x14ac:dyDescent="0.75">
      <c r="C15" s="12" t="str">
        <f>IF(Subject!I15="*  ..  ##34###34# ##334###334#","//--- END",Subject!I15)</f>
        <v>//--- END</v>
      </c>
    </row>
    <row r="16" spans="3:7" x14ac:dyDescent="0.75">
      <c r="C16" s="12" t="str">
        <f>IF(Subject!I16="*  ..  ##34###34# ##334###334#","//--- END",Subject!I16)</f>
        <v>//--- END</v>
      </c>
    </row>
    <row r="17" spans="3:3" x14ac:dyDescent="0.75">
      <c r="C17" s="12" t="str">
        <f>IF(Subject!I17="*  ..  ##34###34# ##334###334#","//--- END",Subject!I17)</f>
        <v>//--- END</v>
      </c>
    </row>
    <row r="30" spans="3:3" x14ac:dyDescent="0.75">
      <c r="C30" s="24" t="str">
        <f>'Subject-Map-1'!E1</f>
        <v>// -------------------------------------------------------------------------------</v>
      </c>
    </row>
    <row r="31" spans="3:3" x14ac:dyDescent="0.75">
      <c r="C31" s="25" t="str">
        <f>'Subject-Map-1'!E2</f>
        <v>//  Map to FHIR R4</v>
      </c>
    </row>
    <row r="32" spans="3:3" x14ac:dyDescent="0.75">
      <c r="C32" s="25" t="str">
        <f>'Subject-Map-1'!E3</f>
        <v>// -------------------------------------------------------------------------------</v>
      </c>
    </row>
    <row r="33" spans="3:3" x14ac:dyDescent="0.75">
      <c r="C33" s="12" t="str">
        <f>'Subject-Map-1'!E4</f>
        <v>Mapping: I4RCSubject2Fhir</v>
      </c>
    </row>
    <row r="34" spans="3:3" x14ac:dyDescent="0.75">
      <c r="C34" s="12" t="str">
        <f>'Subject-Map-1'!E5</f>
        <v>Id: fhir</v>
      </c>
    </row>
    <row r="35" spans="3:3" x14ac:dyDescent="0.75">
      <c r="C35" s="12" t="str">
        <f>'Subject-Map-1'!E6</f>
        <v>Title: ##34#Idea4RC Subject model to FHIR R4 Map##34#</v>
      </c>
    </row>
    <row r="36" spans="3:3" x14ac:dyDescent="0.75">
      <c r="C36" s="12" t="str">
        <f>'Subject-Map-1'!E7</f>
        <v>Source: Subject</v>
      </c>
    </row>
    <row r="37" spans="3:3" x14ac:dyDescent="0.75">
      <c r="C37" s="12" t="str">
        <f>'Subject-Map-1'!E8</f>
        <v>Target: ##34#hl7.org/fhir/r4##34#</v>
      </c>
    </row>
    <row r="39" spans="3:3" x14ac:dyDescent="0.75">
      <c r="C39" s="4" t="str">
        <f>'Subject-Map-1'!E9</f>
        <v>* -&gt; ##34#Patient##34#</v>
      </c>
    </row>
    <row r="40" spans="3:3" x14ac:dyDescent="0.75">
      <c r="C40" s="12" t="str">
        <f>IF('Subject-Map-1'!E10="*  -&gt; ##34###34#","// --END",'Subject-Map-1'!E10)</f>
        <v>* dateOfBirth -&gt; ##34#.birthDate##34#</v>
      </c>
    </row>
    <row r="41" spans="3:3" x14ac:dyDescent="0.75">
      <c r="C41" s="12" t="str">
        <f>IF('Subject-Map-1'!E11="*  -&gt; ##34###34#","// --END",'Subject-Map-1'!E11)</f>
        <v>* dateOfBirth.date -&gt; ##34#.birthDate##34#</v>
      </c>
    </row>
    <row r="42" spans="3:3" x14ac:dyDescent="0.75">
      <c r="C42" s="12" t="str">
        <f>IF('Subject-Map-1'!E12="*  -&gt; ##34###34#","// --END",'Subject-Map-1'!E12)</f>
        <v>* dateOfBirth.unknown -&gt; ##34#.birthDate.extension('data-absent-reason').where(valueCode = 'unknown')##34#</v>
      </c>
    </row>
    <row r="43" spans="3:3" x14ac:dyDescent="0.75">
      <c r="C43" s="12" t="str">
        <f>IF('Subject-Map-1'!E13="*  -&gt; ##34###34#","// --END",'Subject-Map-1'!E13)</f>
        <v>* maritalStatus -&gt; ##34#.maritalStatus##34#</v>
      </c>
    </row>
    <row r="44" spans="3:3" x14ac:dyDescent="0.75">
      <c r="C44" s="12" t="str">
        <f>IF('Subject-Map-1'!E14="*  -&gt; ##34###34#","// --END",'Subject-Map-1'!E14)</f>
        <v>* sexOrGender -&gt; ##34#.gender##34#</v>
      </c>
    </row>
    <row r="45" spans="3:3" x14ac:dyDescent="0.75">
      <c r="C45" s="12" t="str">
        <f>IF('Subject-Map-1'!E15="*  -&gt; ##34###34#","// --END",'Subject-Map-1'!E15)</f>
        <v>* sexOrGender -&gt; ##34#.extension('individual-recordedSexOrGender').value##34#</v>
      </c>
    </row>
    <row r="46" spans="3:3" x14ac:dyDescent="0.75">
      <c r="C46" s="12" t="str">
        <f>IF('Subject-Map-1'!E16="*  -&gt; ##34###34#","// --END",'Subject-Map-1'!E16)</f>
        <v>* sexOrGender -&gt; ##34#.extension('patient-sexForClinicalUse').value##34#</v>
      </c>
    </row>
    <row r="47" spans="3:3" x14ac:dyDescent="0.75">
      <c r="C47" s="12" t="str">
        <f>IF('Subject-Map-1'!E17="*  -&gt; ##34###34#","// --END",'Subject-Map-1'!E17)</f>
        <v>* race -&gt; ##34#to be mapped##34#</v>
      </c>
    </row>
    <row r="48" spans="3:3" x14ac:dyDescent="0.75">
      <c r="C48" s="12" t="str">
        <f>IF('Subject-Map-1'!E18="*  -&gt; ##34###34#","// --END",'Subject-Map-1'!E18)</f>
        <v>* countryOfResidence -&gt; ##34#.address.country##34#</v>
      </c>
    </row>
    <row r="49" spans="3:3" x14ac:dyDescent="0.75">
      <c r="C49" s="12" t="str">
        <f>IF('Subject-Map-1'!E19="*  -&gt; ##34###34#","// --END",'Subject-Map-1'!E19)</f>
        <v>// --END</v>
      </c>
    </row>
    <row r="50" spans="3:3" x14ac:dyDescent="0.75">
      <c r="C50" s="12" t="str">
        <f>IF('Subject-Map-1'!E20="*  -&gt; ##34###34#","// --END",'Subject-Map-1'!E20)</f>
        <v>// --END</v>
      </c>
    </row>
    <row r="51" spans="3:3" x14ac:dyDescent="0.75">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Subject!B5</f>
        <v>Subject</v>
      </c>
      <c r="C10" s="6" t="str">
        <f>Subject!B6</f>
        <v>Subject of care</v>
      </c>
      <c r="D10" s="46" t="e">
        <f>ConvertOsiris!I2</f>
        <v>#REF!</v>
      </c>
      <c r="E10" s="46" t="e">
        <f>ConvertOsiris!J2</f>
        <v>#REF!</v>
      </c>
      <c r="F10" s="53" t="s">
        <v>121</v>
      </c>
      <c r="G10" s="47"/>
      <c r="H10" s="12" t="str">
        <f>"* group[=].element[+].code = #"&amp;B10</f>
        <v>* group[=].element[+].code = #Subject</v>
      </c>
      <c r="I10" s="12" t="str">
        <f>"* group[=].element[=].display = ##34#"&amp;C10&amp;"##34#"</f>
        <v>* group[=].element[=].display = ##34#Subject of care##34#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x14ac:dyDescent="0.75">
      <c r="A11" s="48"/>
      <c r="B11" s="11" t="str">
        <f>$B$10&amp;"."&amp;Subject!B8</f>
        <v>Subject.dateOfBirth</v>
      </c>
      <c r="C11" s="11" t="str">
        <f>Subject!C8</f>
        <v>Date of birth</v>
      </c>
      <c r="D11" s="11" t="e">
        <f>ConvertOsiris!I6</f>
        <v>#REF!</v>
      </c>
      <c r="E11" s="11" t="e">
        <f>ConvertOsiris!J6</f>
        <v>#REF!</v>
      </c>
      <c r="F11" s="53" t="s">
        <v>99</v>
      </c>
      <c r="G11" s="47"/>
      <c r="H11" s="12" t="str">
        <f t="shared" ref="H11:H17" si="0">"* group[=].element[+].code = #"&amp;B11</f>
        <v>* group[=].element[+].code = #Subject.dateOfBirth</v>
      </c>
      <c r="I11" s="12" t="str">
        <f t="shared" ref="I11:I17" si="1">"* group[=].element[=].display = ##34#"&amp;C11&amp;"##34#"</f>
        <v>* group[=].element[=].display = ##34#Date of birth##34#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x14ac:dyDescent="0.75">
      <c r="A12" s="48"/>
      <c r="B12" s="11" t="str">
        <f>$B$10&amp;"."&amp;Subject!B9</f>
        <v>Subject.dateOfBirth.date</v>
      </c>
      <c r="C12" s="11" t="str">
        <f>Subject!C9</f>
        <v>Date of birth</v>
      </c>
      <c r="D12" s="11" t="e">
        <f>ConvertOsiris!I6</f>
        <v>#REF!</v>
      </c>
      <c r="E12" s="11" t="e">
        <f>ConvertOsiris!J6</f>
        <v>#REF!</v>
      </c>
      <c r="F12" s="53" t="s">
        <v>121</v>
      </c>
      <c r="G12" s="47"/>
      <c r="H12" s="12" t="str">
        <f t="shared" si="0"/>
        <v>* group[=].element[+].code = #Subject.dateOfBirth.date</v>
      </c>
      <c r="I12" s="12" t="str">
        <f t="shared" si="1"/>
        <v>* group[=].element[=].display = ##34#Date of birth##34#</v>
      </c>
      <c r="J12" s="12" t="e">
        <f t="shared" si="2"/>
        <v>#REF!</v>
      </c>
      <c r="K12" s="12" t="e">
        <f t="shared" si="3"/>
        <v>#REF!</v>
      </c>
      <c r="L12" s="12" t="str">
        <f t="shared" si="4"/>
        <v>* group[=].element[=].target.equivalence = #equivalent</v>
      </c>
      <c r="N12" s="11">
        <v>3</v>
      </c>
      <c r="O12" s="11">
        <f t="shared" si="5"/>
        <v>0</v>
      </c>
      <c r="P12" s="11">
        <f t="shared" si="6"/>
        <v>3</v>
      </c>
      <c r="Q12" s="12" t="e" cm="1">
        <f t="array" ref="Q12">INDEX('Subject-ConceptMap'!$H$10:$L$264,O12+1,P12)</f>
        <v>#REF!</v>
      </c>
    </row>
    <row r="13" spans="1:17" ht="44.25" x14ac:dyDescent="0.75">
      <c r="A13" s="48"/>
      <c r="B13" s="11" t="str">
        <f>$B$10&amp;"."&amp;Subject!B10</f>
        <v>Subject.dateOfBirth.unknown</v>
      </c>
      <c r="C13" s="11" t="str">
        <f>Subject!C10</f>
        <v>Date of birth day unknown</v>
      </c>
      <c r="D13" s="11"/>
      <c r="E13" s="11"/>
      <c r="F13" s="53" t="s">
        <v>116</v>
      </c>
      <c r="G13" s="47"/>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INDEX('Subject-ConceptMap'!$H$10:$L$264,O13+1,P13)</f>
        <v>#REF!</v>
      </c>
    </row>
    <row r="14" spans="1:17" ht="44.25" x14ac:dyDescent="0.75">
      <c r="A14" s="48"/>
      <c r="B14" s="11" t="str">
        <f>$B$10&amp;"."&amp;Subject!B11</f>
        <v>Subject.maritalStatus</v>
      </c>
      <c r="C14" s="11" t="str">
        <f>Subject!C11</f>
        <v>Marital status</v>
      </c>
      <c r="D14" s="11"/>
      <c r="E14" s="11"/>
      <c r="F14" s="53" t="s">
        <v>116</v>
      </c>
      <c r="G14" s="47"/>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x14ac:dyDescent="0.75">
      <c r="A15" s="48"/>
      <c r="B15" s="11" t="str">
        <f>$B$10&amp;"."&amp;Subject!B12</f>
        <v>Subject.sexOrGender</v>
      </c>
      <c r="C15" s="11" t="str">
        <f>Subject!C12</f>
        <v>Gender/Sex</v>
      </c>
      <c r="D15" s="11" t="e">
        <f>ConvertOsiris!I4</f>
        <v>#REF!</v>
      </c>
      <c r="E15" s="11" t="e">
        <f>ConvertOsiris!J4</f>
        <v>#REF!</v>
      </c>
      <c r="F15" s="53" t="s">
        <v>125</v>
      </c>
      <c r="G15" s="47"/>
      <c r="H15" s="12" t="str">
        <f t="shared" si="0"/>
        <v>* group[=].element[+].code = #Subject.sexOrGender</v>
      </c>
      <c r="I15" s="12" t="str">
        <f t="shared" si="1"/>
        <v>* group[=].element[=].display = ##34#Gender/Sex##34#</v>
      </c>
      <c r="J15" s="12" t="e">
        <f t="shared" si="2"/>
        <v>#REF!</v>
      </c>
      <c r="K15" s="12" t="e">
        <f t="shared" si="3"/>
        <v>#REF!</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x14ac:dyDescent="0.75">
      <c r="A16" s="48"/>
      <c r="B16" s="11" t="str">
        <f>$B$10&amp;"."&amp;Subject!B13</f>
        <v>Subject.race</v>
      </c>
      <c r="C16" s="11" t="str">
        <f>Subject!C13</f>
        <v>Race</v>
      </c>
      <c r="D16" s="11" t="e">
        <f>ConvertOsiris!I5</f>
        <v>#REF!</v>
      </c>
      <c r="E16" s="11" t="e">
        <f>ConvertOsiris!J5</f>
        <v>#REF!</v>
      </c>
      <c r="F16" s="53" t="s">
        <v>123</v>
      </c>
      <c r="G16" s="47"/>
      <c r="H16" s="12" t="str">
        <f t="shared" si="0"/>
        <v>* group[=].element[+].code = #Subject.race</v>
      </c>
      <c r="I16" s="12" t="str">
        <f t="shared" si="1"/>
        <v>* group[=].element[=].display = ##34#Race##34#</v>
      </c>
      <c r="J16" s="12" t="e">
        <f t="shared" si="2"/>
        <v>#REF!</v>
      </c>
      <c r="K16" s="12" t="e">
        <f t="shared" si="3"/>
        <v>#REF!</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x14ac:dyDescent="0.75">
      <c r="A17" s="48"/>
      <c r="B17" s="11" t="str">
        <f>$B$10&amp;"."&amp;Subject!B14</f>
        <v>Subject.countryOfResidence</v>
      </c>
      <c r="C17" s="11" t="str">
        <f>Subject!C14</f>
        <v xml:space="preserve">Country of Residence </v>
      </c>
      <c r="D17" s="11"/>
      <c r="E17" s="12"/>
      <c r="F17" s="53" t="s">
        <v>116</v>
      </c>
      <c r="G17" s="47"/>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INDEX('Subject-ConceptMap'!$H$10:$L$264,O17+1,P17)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INDEX('Subject-ConceptMap'!$H$10:$L$264,O18+1,P18)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INDEX('Subject-ConceptMap'!$H$10:$L$264,O19+1,P19)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INDEX('Subject-ConceptMap'!$H$10:$L$264,O20+1,P20)</f>
        <v>* group[=].element[+].code = #Subject.dateOfBirth.date</v>
      </c>
    </row>
    <row r="21" spans="1:17" x14ac:dyDescent="0.75">
      <c r="B21" s="11"/>
      <c r="C21" s="11"/>
      <c r="D21" s="11"/>
      <c r="E21" s="12"/>
      <c r="F21" s="53"/>
      <c r="G21" s="47"/>
      <c r="J21" s="47"/>
      <c r="K21" s="47"/>
      <c r="L21" s="55"/>
      <c r="N21" s="11">
        <v>12</v>
      </c>
      <c r="O21" s="11">
        <f t="shared" si="5"/>
        <v>2</v>
      </c>
      <c r="P21" s="11">
        <f t="shared" si="6"/>
        <v>2</v>
      </c>
      <c r="Q21" s="12" t="str" cm="1">
        <f t="array" ref="Q21">INDEX('Subject-ConceptMap'!$H$10:$L$264,O21+1,P21)</f>
        <v>* group[=].element[=].display = ##34#Date of birth##34#</v>
      </c>
    </row>
    <row r="22" spans="1:17" x14ac:dyDescent="0.75">
      <c r="B22" s="11"/>
      <c r="C22" s="11"/>
      <c r="D22" s="11"/>
      <c r="E22" s="12"/>
      <c r="F22" s="53"/>
      <c r="G22" s="47"/>
      <c r="J22" s="47"/>
      <c r="K22" s="47"/>
      <c r="L22" s="55"/>
      <c r="N22" s="11">
        <v>13</v>
      </c>
      <c r="O22" s="11">
        <f t="shared" si="5"/>
        <v>2</v>
      </c>
      <c r="P22" s="11">
        <f t="shared" si="6"/>
        <v>3</v>
      </c>
      <c r="Q22" s="12" t="e" cm="1">
        <f t="array" ref="Q22">INDEX('Subject-ConceptMap'!$H$10:$L$264,O22+1,P22)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INDEX('Subject-ConceptMap'!$H$10:$L$264,O23+1,P23)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INDEX('Subject-ConceptMap'!$H$10:$L$264,O24+1,P24)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INDEX('Subject-ConceptMap'!$H$10:$L$264,O25+1,P25)</f>
        <v>* group[=].element[+].code = #Subject.dateOfBirth.unknown</v>
      </c>
    </row>
    <row r="26" spans="1:17" x14ac:dyDescent="0.75">
      <c r="B26" s="11"/>
      <c r="C26" s="11"/>
      <c r="D26" s="11"/>
      <c r="E26" s="12"/>
      <c r="F26" s="53"/>
      <c r="G26" s="47"/>
      <c r="J26" s="47"/>
      <c r="K26" s="47"/>
      <c r="L26" s="55"/>
      <c r="N26" s="11">
        <v>17</v>
      </c>
      <c r="O26" s="11">
        <f t="shared" si="5"/>
        <v>3</v>
      </c>
      <c r="P26" s="11">
        <f t="shared" si="6"/>
        <v>2</v>
      </c>
      <c r="Q26" s="12" t="str" cm="1">
        <f t="array" ref="Q26">INDEX('Subject-ConceptMap'!$H$10:$L$264,O26+1,P26)</f>
        <v>* group[=].element[=].display = ##34#Date of birth day unknown##34#</v>
      </c>
    </row>
    <row r="27" spans="1:17" x14ac:dyDescent="0.75">
      <c r="B27" s="11"/>
      <c r="C27" s="11"/>
      <c r="D27" s="11"/>
      <c r="E27" s="12"/>
      <c r="F27" s="53"/>
      <c r="G27" s="47"/>
      <c r="J27" s="47"/>
      <c r="K27" s="47"/>
      <c r="L27" s="55"/>
      <c r="N27" s="11">
        <v>18</v>
      </c>
      <c r="O27" s="11">
        <f t="shared" si="5"/>
        <v>3</v>
      </c>
      <c r="P27" s="11">
        <f t="shared" si="6"/>
        <v>3</v>
      </c>
      <c r="Q27" s="12" t="str" cm="1">
        <f t="array" ref="Q27">INDEX('Subject-ConceptMap'!$H$10:$L$264,O27+1,P27)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INDEX('Subject-ConceptMap'!$H$10:$L$264,O28+1,P28)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INDEX('Subject-ConceptMap'!$H$10:$L$264,O29+1,P29)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INDEX('Subject-ConceptMap'!$H$10:$L$264,O30+1,P30)</f>
        <v>* group[=].element[+].code = #Subject.maritalStatus</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INDEX('Subject-ConceptMap'!$H$10:$L$264,O31+1,P31)</f>
        <v>* group[=].element[=].display = ##34#Marital status##34#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INDEX('Subject-ConceptMap'!$H$10:$L$264,O32+1,P32)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INDEX('Subject-ConceptMap'!$H$10:$L$264,O33+1,P33)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INDEX('Subject-ConceptMap'!$H$10:$L$264,O34+1,P34)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INDEX('Subject-ConceptMap'!$H$10:$L$264,O35+1,P35)</f>
        <v>* group[=].element[+].code = #Subject.sexOrGender</v>
      </c>
    </row>
    <row r="36" spans="1:17" s="2" customFormat="1" x14ac:dyDescent="0.75">
      <c r="A36"/>
      <c r="B36" s="11"/>
      <c r="C36"/>
      <c r="F36" s="47"/>
      <c r="G36" s="47"/>
      <c r="I36" s="47"/>
      <c r="J36" s="47"/>
      <c r="K36" s="47"/>
      <c r="L36" s="55"/>
      <c r="N36" s="11">
        <v>27</v>
      </c>
      <c r="O36" s="11">
        <f t="shared" si="5"/>
        <v>5</v>
      </c>
      <c r="P36" s="11">
        <f t="shared" si="6"/>
        <v>2</v>
      </c>
      <c r="Q36" s="12" t="str" cm="1">
        <f t="array" ref="Q36">INDEX('Subject-ConceptMap'!$H$10:$L$264,O36+1,P36)</f>
        <v>* group[=].element[=].display = ##34#Gender/Sex##34#</v>
      </c>
    </row>
    <row r="37" spans="1:17" s="2" customFormat="1" x14ac:dyDescent="0.75">
      <c r="A37"/>
      <c r="B37" s="11"/>
      <c r="C37"/>
      <c r="F37" s="47"/>
      <c r="G37" s="47"/>
      <c r="I37" s="47"/>
      <c r="J37" s="47"/>
      <c r="K37" s="47"/>
      <c r="L37" s="47"/>
      <c r="N37" s="11">
        <v>28</v>
      </c>
      <c r="O37" s="11">
        <f t="shared" si="5"/>
        <v>5</v>
      </c>
      <c r="P37" s="11">
        <f t="shared" si="6"/>
        <v>3</v>
      </c>
      <c r="Q37" s="12" t="e" cm="1">
        <f t="array" ref="Q37">INDEX('Subject-ConceptMap'!$H$10:$L$264,O37+1,P37)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INDEX('Subject-ConceptMap'!$H$10:$L$264,O38+1,P38)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INDEX('Subject-ConceptMap'!$H$10:$L$264,O39+1,P39)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INDEX('Subject-ConceptMap'!$H$10:$L$264,O40+1,P40)</f>
        <v>* group[=].element[+].code = #Subject.race</v>
      </c>
    </row>
    <row r="41" spans="1:17" s="2" customFormat="1" x14ac:dyDescent="0.75">
      <c r="A41"/>
      <c r="B41" s="11"/>
      <c r="C41"/>
      <c r="F41" s="47"/>
      <c r="G41" s="47"/>
      <c r="I41" s="47"/>
      <c r="J41" s="47"/>
      <c r="K41" s="47"/>
      <c r="L41" s="47"/>
      <c r="N41" s="11">
        <v>32</v>
      </c>
      <c r="O41" s="11">
        <f t="shared" si="5"/>
        <v>6</v>
      </c>
      <c r="P41" s="11">
        <f t="shared" si="6"/>
        <v>2</v>
      </c>
      <c r="Q41" s="12" t="str" cm="1">
        <f t="array" ref="Q41">INDEX('Subject-ConceptMap'!$H$10:$L$264,O41+1,P41)</f>
        <v>* group[=].element[=].display = ##34#Race##34#</v>
      </c>
    </row>
    <row r="42" spans="1:17" s="2" customFormat="1" x14ac:dyDescent="0.75">
      <c r="A42"/>
      <c r="B42" s="11"/>
      <c r="C42"/>
      <c r="F42" s="47"/>
      <c r="G42" s="47"/>
      <c r="I42" s="47"/>
      <c r="J42" s="47"/>
      <c r="K42" s="47"/>
      <c r="L42" s="47"/>
      <c r="N42" s="11">
        <v>33</v>
      </c>
      <c r="O42" s="11">
        <f t="shared" si="5"/>
        <v>6</v>
      </c>
      <c r="P42" s="11">
        <f t="shared" si="6"/>
        <v>3</v>
      </c>
      <c r="Q42" s="12" t="e" cm="1">
        <f t="array" ref="Q42">INDEX('Subject-ConceptMap'!$H$10:$L$264,O42+1,P42)</f>
        <v>#REF!</v>
      </c>
    </row>
    <row r="43" spans="1:17" x14ac:dyDescent="0.75">
      <c r="F43" s="47"/>
      <c r="G43" s="47"/>
      <c r="I43" s="47"/>
      <c r="J43" s="47"/>
      <c r="K43" s="47"/>
      <c r="L43" s="47"/>
      <c r="N43" s="11">
        <v>34</v>
      </c>
      <c r="O43" s="11">
        <f t="shared" si="5"/>
        <v>6</v>
      </c>
      <c r="P43" s="11">
        <f t="shared" si="6"/>
        <v>4</v>
      </c>
      <c r="Q43" s="12" t="e" cm="1">
        <f t="array" ref="Q43">INDEX('Subject-ConceptMap'!$H$10:$L$264,O43+1,P43)</f>
        <v>#REF!</v>
      </c>
    </row>
    <row r="44" spans="1:17" x14ac:dyDescent="0.75">
      <c r="F44" s="47"/>
      <c r="G44" s="47"/>
      <c r="I44" s="47"/>
      <c r="J44" s="47"/>
      <c r="K44" s="47"/>
      <c r="L44" s="47"/>
      <c r="N44" s="11">
        <v>35</v>
      </c>
      <c r="O44" s="11">
        <f t="shared" si="5"/>
        <v>6</v>
      </c>
      <c r="P44" s="11">
        <f t="shared" si="6"/>
        <v>5</v>
      </c>
      <c r="Q44" s="12" t="str" cm="1">
        <f t="array" ref="Q44">INDEX('Subject-ConceptMap'!$H$10:$L$264,O44+1,P44)</f>
        <v>* group[=].element[=].target.equivalence = #wider</v>
      </c>
    </row>
    <row r="45" spans="1:17" x14ac:dyDescent="0.75">
      <c r="F45" s="47"/>
      <c r="G45" s="47"/>
      <c r="I45" s="47"/>
      <c r="J45" s="47"/>
      <c r="K45" s="47"/>
      <c r="L45" s="47"/>
      <c r="N45" s="11">
        <v>36</v>
      </c>
      <c r="O45" s="11">
        <f t="shared" si="5"/>
        <v>7</v>
      </c>
      <c r="P45" s="11">
        <f t="shared" si="6"/>
        <v>1</v>
      </c>
      <c r="Q45" s="12" t="str" cm="1">
        <f t="array" ref="Q45">INDEX('Subject-ConceptMap'!$H$10:$L$264,O45+1,P45)</f>
        <v>* group[=].element[+].code = #Subject.countryOfResidence</v>
      </c>
    </row>
    <row r="46" spans="1:17" x14ac:dyDescent="0.75">
      <c r="F46" s="47"/>
      <c r="G46" s="47"/>
      <c r="I46" s="47"/>
      <c r="J46" s="47"/>
      <c r="K46" s="47"/>
      <c r="L46" s="47"/>
      <c r="N46" s="11">
        <v>37</v>
      </c>
      <c r="O46" s="11">
        <f t="shared" si="5"/>
        <v>7</v>
      </c>
      <c r="P46" s="11">
        <f t="shared" si="6"/>
        <v>2</v>
      </c>
      <c r="Q46" s="12" t="str" cm="1">
        <f t="array" ref="Q46">INDEX('Subject-ConceptMap'!$H$10:$L$264,O46+1,P46)</f>
        <v>* group[=].element[=].display = ##34#Country of Residence ##34#</v>
      </c>
    </row>
    <row r="47" spans="1:17" x14ac:dyDescent="0.75">
      <c r="B47" t="s">
        <v>94</v>
      </c>
      <c r="C47" t="s">
        <v>95</v>
      </c>
      <c r="D47" t="s">
        <v>96</v>
      </c>
      <c r="E47" t="s">
        <v>97</v>
      </c>
      <c r="N47" s="11">
        <v>38</v>
      </c>
      <c r="O47" s="11">
        <f t="shared" si="5"/>
        <v>7</v>
      </c>
      <c r="P47" s="11">
        <f t="shared" si="6"/>
        <v>3</v>
      </c>
      <c r="Q47" s="12" t="str" cm="1">
        <f t="array" ref="Q47">INDEX('Subject-ConceptMap'!$H$10:$L$264,O47+1,P47)</f>
        <v>//-- unmatched</v>
      </c>
    </row>
    <row r="48" spans="1:17" x14ac:dyDescent="0.75">
      <c r="N48" s="11">
        <v>39</v>
      </c>
      <c r="O48" s="11">
        <f t="shared" si="5"/>
        <v>7</v>
      </c>
      <c r="P48" s="11">
        <f t="shared" si="6"/>
        <v>4</v>
      </c>
      <c r="Q48" s="12" t="str" cm="1">
        <f t="array" ref="Q48">INDEX('Subject-ConceptMap'!$H$10:$L$264,O48+1,P48)</f>
        <v>//-- unmatched</v>
      </c>
    </row>
    <row r="49" spans="14:17" x14ac:dyDescent="0.75">
      <c r="N49" s="11">
        <v>40</v>
      </c>
      <c r="O49" s="11">
        <f t="shared" si="5"/>
        <v>7</v>
      </c>
      <c r="P49" s="11">
        <f t="shared" si="6"/>
        <v>5</v>
      </c>
      <c r="Q49" s="12" t="str" cm="1">
        <f t="array" ref="Q49">INDEX('Subject-ConceptMap'!$H$10:$L$264,O49+1,P49)</f>
        <v>* group[=].element[=].target.equivalence = #unmatched</v>
      </c>
    </row>
    <row r="50" spans="14:17" x14ac:dyDescent="0.75">
      <c r="N50" s="11">
        <v>41</v>
      </c>
      <c r="O50" s="11">
        <f t="shared" si="5"/>
        <v>8</v>
      </c>
      <c r="P50" s="11">
        <f t="shared" si="6"/>
        <v>1</v>
      </c>
      <c r="Q50" s="12" cm="1">
        <f t="array" ref="Q50">INDEX('Subject-ConceptMap'!$H$10:$L$264,O50+1,P50)</f>
        <v>0</v>
      </c>
    </row>
    <row r="51" spans="14:17" x14ac:dyDescent="0.75">
      <c r="N51" s="11">
        <v>42</v>
      </c>
      <c r="O51" s="11">
        <f t="shared" si="5"/>
        <v>8</v>
      </c>
      <c r="P51" s="11">
        <f t="shared" si="6"/>
        <v>2</v>
      </c>
      <c r="Q51" s="12" cm="1">
        <f t="array" ref="Q51">INDEX('Subject-ConceptMap'!$H$10:$L$264,O51+1,P51)</f>
        <v>0</v>
      </c>
    </row>
    <row r="52" spans="14:17" x14ac:dyDescent="0.75">
      <c r="N52" s="11">
        <v>43</v>
      </c>
      <c r="O52" s="11">
        <f t="shared" si="5"/>
        <v>8</v>
      </c>
      <c r="P52" s="11">
        <f t="shared" si="6"/>
        <v>3</v>
      </c>
      <c r="Q52" s="12" cm="1">
        <f t="array" ref="Q52">INDEX('Subject-ConceptMap'!$H$10:$L$264,O52+1,P52)</f>
        <v>0</v>
      </c>
    </row>
    <row r="53" spans="14:17" x14ac:dyDescent="0.75">
      <c r="N53" s="11">
        <v>44</v>
      </c>
      <c r="O53" s="11">
        <f t="shared" si="5"/>
        <v>8</v>
      </c>
      <c r="P53" s="11">
        <f t="shared" si="6"/>
        <v>4</v>
      </c>
      <c r="Q53" s="12" cm="1">
        <f t="array" ref="Q53">INDEX('Subject-ConceptMap'!$H$10:$L$264,O53+1,P53)</f>
        <v>0</v>
      </c>
    </row>
    <row r="54" spans="14:17" x14ac:dyDescent="0.75">
      <c r="N54" s="11">
        <v>45</v>
      </c>
      <c r="O54" s="11">
        <f t="shared" si="5"/>
        <v>8</v>
      </c>
      <c r="P54" s="11">
        <f t="shared" si="6"/>
        <v>5</v>
      </c>
      <c r="Q54" s="12" cm="1">
        <f t="array" ref="Q54">INDEX('Subject-ConceptMap'!$H$10:$L$264,O54+1,P54)</f>
        <v>0</v>
      </c>
    </row>
    <row r="55" spans="14:17" x14ac:dyDescent="0.75">
      <c r="N55" s="11">
        <v>46</v>
      </c>
      <c r="O55" s="11">
        <f t="shared" si="5"/>
        <v>9</v>
      </c>
      <c r="P55" s="11">
        <f t="shared" si="6"/>
        <v>1</v>
      </c>
      <c r="Q55" s="12" cm="1">
        <f t="array" ref="Q55">INDEX('Subject-ConceptMap'!$H$10:$L$264,O55+1,P55)</f>
        <v>0</v>
      </c>
    </row>
    <row r="56" spans="14:17" x14ac:dyDescent="0.75">
      <c r="N56" s="11">
        <v>47</v>
      </c>
      <c r="O56" s="11">
        <f t="shared" si="5"/>
        <v>9</v>
      </c>
      <c r="P56" s="11">
        <f t="shared" si="6"/>
        <v>2</v>
      </c>
      <c r="Q56" s="12" cm="1">
        <f t="array" ref="Q56">INDEX('Subject-ConceptMap'!$H$10:$L$264,O56+1,P56)</f>
        <v>0</v>
      </c>
    </row>
    <row r="57" spans="14:17" x14ac:dyDescent="0.75">
      <c r="N57" s="11">
        <v>48</v>
      </c>
      <c r="O57" s="11">
        <f t="shared" si="5"/>
        <v>9</v>
      </c>
      <c r="P57" s="11">
        <f t="shared" si="6"/>
        <v>3</v>
      </c>
      <c r="Q57" s="12" cm="1">
        <f t="array" ref="Q57">INDEX('Subject-ConceptMap'!$H$10:$L$264,O57+1,P57)</f>
        <v>0</v>
      </c>
    </row>
    <row r="58" spans="14:17" x14ac:dyDescent="0.75">
      <c r="N58" s="11">
        <v>49</v>
      </c>
      <c r="O58" s="11">
        <f t="shared" si="5"/>
        <v>9</v>
      </c>
      <c r="P58" s="11">
        <f t="shared" si="6"/>
        <v>4</v>
      </c>
      <c r="Q58" s="12" cm="1">
        <f t="array" ref="Q58">INDEX('Subject-ConceptMap'!$H$10:$L$264,O58+1,P58)</f>
        <v>0</v>
      </c>
    </row>
    <row r="59" spans="14:17" x14ac:dyDescent="0.75">
      <c r="N59" s="11">
        <v>50</v>
      </c>
      <c r="O59" s="11">
        <f t="shared" si="5"/>
        <v>9</v>
      </c>
      <c r="P59" s="11">
        <f t="shared" si="6"/>
        <v>5</v>
      </c>
      <c r="Q59" s="12" cm="1">
        <f t="array" ref="Q59">INDEX('Subject-ConceptMap'!$H$10:$L$264,O59+1,P59)</f>
        <v>0</v>
      </c>
    </row>
    <row r="60" spans="14:17" x14ac:dyDescent="0.75">
      <c r="N60" s="11">
        <v>51</v>
      </c>
      <c r="O60" s="11">
        <f t="shared" si="5"/>
        <v>10</v>
      </c>
      <c r="P60" s="11">
        <f t="shared" si="6"/>
        <v>1</v>
      </c>
      <c r="Q60" s="12" cm="1">
        <f t="array" ref="Q60">INDEX('Subject-ConceptMap'!$H$10:$L$264,O60+1,P60)</f>
        <v>0</v>
      </c>
    </row>
    <row r="61" spans="14:17" x14ac:dyDescent="0.75">
      <c r="N61" s="11">
        <v>52</v>
      </c>
      <c r="O61" s="11">
        <f t="shared" si="5"/>
        <v>10</v>
      </c>
      <c r="P61" s="11">
        <f t="shared" si="6"/>
        <v>2</v>
      </c>
      <c r="Q61" s="12" cm="1">
        <f t="array" ref="Q61">INDEX('Subject-ConceptMap'!$H$10:$L$264,O61+1,P61)</f>
        <v>0</v>
      </c>
    </row>
    <row r="62" spans="14:17" x14ac:dyDescent="0.75">
      <c r="N62" s="11">
        <v>53</v>
      </c>
      <c r="O62" s="11">
        <f t="shared" si="5"/>
        <v>10</v>
      </c>
      <c r="P62" s="11">
        <f t="shared" si="6"/>
        <v>3</v>
      </c>
      <c r="Q62" s="12" cm="1">
        <f t="array" ref="Q62">INDEX('Subject-ConceptMap'!$H$10:$L$264,O62+1,P62)</f>
        <v>0</v>
      </c>
    </row>
    <row r="63" spans="14:17" x14ac:dyDescent="0.75">
      <c r="N63" s="11">
        <v>54</v>
      </c>
      <c r="O63" s="11">
        <f t="shared" si="5"/>
        <v>10</v>
      </c>
      <c r="P63" s="11">
        <f t="shared" si="6"/>
        <v>4</v>
      </c>
      <c r="Q63" s="12" cm="1">
        <f t="array" ref="Q63">INDEX('Subject-ConceptMap'!$H$10:$L$264,O63+1,P63)</f>
        <v>0</v>
      </c>
    </row>
    <row r="64" spans="14:17" x14ac:dyDescent="0.75">
      <c r="N64" s="11">
        <v>55</v>
      </c>
      <c r="O64" s="11">
        <f t="shared" si="5"/>
        <v>10</v>
      </c>
      <c r="P64" s="11">
        <f t="shared" si="6"/>
        <v>5</v>
      </c>
      <c r="Q64" s="12" cm="1">
        <f t="array" ref="Q64">INDEX('Subject-ConceptMap'!$H$10:$L$264,O64+1,P64)</f>
        <v>0</v>
      </c>
    </row>
    <row r="65" spans="14:17" x14ac:dyDescent="0.75">
      <c r="N65" s="11">
        <v>56</v>
      </c>
      <c r="O65" s="11">
        <f t="shared" si="5"/>
        <v>11</v>
      </c>
      <c r="P65" s="11">
        <f t="shared" si="6"/>
        <v>1</v>
      </c>
      <c r="Q65" s="12" cm="1">
        <f t="array" ref="Q65">INDEX('Subject-ConceptMap'!$H$10:$L$264,O65+1,P65)</f>
        <v>0</v>
      </c>
    </row>
    <row r="66" spans="14:17" x14ac:dyDescent="0.75">
      <c r="N66" s="11">
        <v>57</v>
      </c>
      <c r="O66" s="11">
        <f t="shared" si="5"/>
        <v>11</v>
      </c>
      <c r="P66" s="11">
        <f t="shared" si="6"/>
        <v>2</v>
      </c>
      <c r="Q66" s="12" cm="1">
        <f t="array" ref="Q66">INDEX('Subject-ConceptMap'!$H$10:$L$264,O66+1,P66)</f>
        <v>0</v>
      </c>
    </row>
    <row r="67" spans="14:17" x14ac:dyDescent="0.75">
      <c r="N67" s="11">
        <v>58</v>
      </c>
      <c r="O67" s="11">
        <f t="shared" si="5"/>
        <v>11</v>
      </c>
      <c r="P67" s="11">
        <f t="shared" si="6"/>
        <v>3</v>
      </c>
      <c r="Q67" s="12" cm="1">
        <f t="array" ref="Q67">INDEX('Subject-ConceptMap'!$H$10:$L$264,O67+1,P67)</f>
        <v>0</v>
      </c>
    </row>
    <row r="68" spans="14:17" x14ac:dyDescent="0.75">
      <c r="N68" s="11">
        <v>59</v>
      </c>
      <c r="O68" s="11">
        <f t="shared" si="5"/>
        <v>11</v>
      </c>
      <c r="P68" s="11">
        <f t="shared" si="6"/>
        <v>4</v>
      </c>
      <c r="Q68" s="12" cm="1">
        <f t="array" ref="Q68">INDEX('Subject-ConceptMap'!$H$10:$L$264,O68+1,P68)</f>
        <v>0</v>
      </c>
    </row>
    <row r="69" spans="14:17" x14ac:dyDescent="0.75">
      <c r="N69" s="11">
        <v>60</v>
      </c>
      <c r="O69" s="11">
        <f t="shared" si="5"/>
        <v>11</v>
      </c>
      <c r="P69" s="11">
        <f t="shared" si="6"/>
        <v>5</v>
      </c>
      <c r="Q69" s="12" cm="1">
        <f t="array" ref="Q69">INDEX('Subject-ConceptMap'!$H$10:$L$264,O69+1,P69)</f>
        <v>0</v>
      </c>
    </row>
    <row r="70" spans="14:17" x14ac:dyDescent="0.75">
      <c r="N70" s="11">
        <v>61</v>
      </c>
      <c r="O70" s="11">
        <f t="shared" si="5"/>
        <v>12</v>
      </c>
      <c r="P70" s="11">
        <f t="shared" si="6"/>
        <v>1</v>
      </c>
      <c r="Q70" s="12" cm="1">
        <f t="array" ref="Q70">INDEX('Subject-ConceptMap'!$H$10:$L$264,O70+1,P70)</f>
        <v>0</v>
      </c>
    </row>
    <row r="71" spans="14:17" x14ac:dyDescent="0.75">
      <c r="N71" s="11">
        <v>62</v>
      </c>
      <c r="O71" s="11">
        <f t="shared" si="5"/>
        <v>12</v>
      </c>
      <c r="P71" s="11">
        <f t="shared" si="6"/>
        <v>2</v>
      </c>
      <c r="Q71" s="12" cm="1">
        <f t="array" ref="Q71">INDEX('Subject-ConceptMap'!$H$10:$L$264,O71+1,P71)</f>
        <v>0</v>
      </c>
    </row>
    <row r="72" spans="14:17" x14ac:dyDescent="0.75">
      <c r="N72" s="11">
        <v>63</v>
      </c>
      <c r="O72" s="11">
        <f t="shared" si="5"/>
        <v>12</v>
      </c>
      <c r="P72" s="11">
        <f t="shared" si="6"/>
        <v>3</v>
      </c>
      <c r="Q72" s="12" cm="1">
        <f t="array" ref="Q72">INDEX('Subject-ConceptMap'!$H$10:$L$264,O72+1,P72)</f>
        <v>0</v>
      </c>
    </row>
    <row r="73" spans="14:17" x14ac:dyDescent="0.75">
      <c r="N73" s="11">
        <v>64</v>
      </c>
      <c r="O73" s="11">
        <f t="shared" si="5"/>
        <v>12</v>
      </c>
      <c r="P73" s="11">
        <f t="shared" si="6"/>
        <v>4</v>
      </c>
      <c r="Q73" s="12" cm="1">
        <f t="array" ref="Q73">INDEX('Subject-ConceptMap'!$H$10:$L$264,O73+1,P73)</f>
        <v>0</v>
      </c>
    </row>
    <row r="74" spans="14:17" x14ac:dyDescent="0.75">
      <c r="N74" s="11">
        <v>65</v>
      </c>
      <c r="O74" s="11">
        <f t="shared" si="5"/>
        <v>12</v>
      </c>
      <c r="P74" s="11">
        <f t="shared" si="6"/>
        <v>5</v>
      </c>
      <c r="Q74" s="12" cm="1">
        <f t="array" ref="Q74">INDEX('Subject-ConceptMap'!$H$10:$L$264,O74+1,P74)</f>
        <v>0</v>
      </c>
    </row>
    <row r="75" spans="14:17" x14ac:dyDescent="0.75">
      <c r="N75" s="11">
        <v>66</v>
      </c>
      <c r="O75" s="11">
        <f t="shared" ref="O75:O138" si="7">IF(MOD(N75,$O$3)=0,N75/$O$3-1,INT(N75/$O$3))</f>
        <v>13</v>
      </c>
      <c r="P75" s="11">
        <f t="shared" ref="P75:P138" si="8">IF(MOD(N75,$O$3)=0,$O$3,MOD(N75,$O$3))</f>
        <v>1</v>
      </c>
      <c r="Q75" s="12" cm="1">
        <f t="array" ref="Q75">INDEX('Subject-ConceptMap'!$H$10:$L$264,O75+1,P75)</f>
        <v>0</v>
      </c>
    </row>
    <row r="76" spans="14:17" x14ac:dyDescent="0.75">
      <c r="N76" s="11">
        <v>67</v>
      </c>
      <c r="O76" s="11">
        <f t="shared" si="7"/>
        <v>13</v>
      </c>
      <c r="P76" s="11">
        <f t="shared" si="8"/>
        <v>2</v>
      </c>
      <c r="Q76" s="12" cm="1">
        <f t="array" ref="Q76">INDEX('Subject-ConceptMap'!$H$10:$L$264,O76+1,P76)</f>
        <v>0</v>
      </c>
    </row>
    <row r="77" spans="14:17" x14ac:dyDescent="0.75">
      <c r="N77" s="11">
        <v>68</v>
      </c>
      <c r="O77" s="11">
        <f t="shared" si="7"/>
        <v>13</v>
      </c>
      <c r="P77" s="11">
        <f t="shared" si="8"/>
        <v>3</v>
      </c>
      <c r="Q77" s="12" cm="1">
        <f t="array" ref="Q77">INDEX('Subject-ConceptMap'!$H$10:$L$264,O77+1,P77)</f>
        <v>0</v>
      </c>
    </row>
    <row r="78" spans="14:17" x14ac:dyDescent="0.75">
      <c r="N78" s="11">
        <v>69</v>
      </c>
      <c r="O78" s="11">
        <f t="shared" si="7"/>
        <v>13</v>
      </c>
      <c r="P78" s="11">
        <f t="shared" si="8"/>
        <v>4</v>
      </c>
      <c r="Q78" s="12" cm="1">
        <f t="array" ref="Q78">INDEX('Subject-ConceptMap'!$H$10:$L$264,O78+1,P78)</f>
        <v>0</v>
      </c>
    </row>
    <row r="79" spans="14:17" x14ac:dyDescent="0.75">
      <c r="N79" s="11">
        <v>70</v>
      </c>
      <c r="O79" s="11">
        <f t="shared" si="7"/>
        <v>13</v>
      </c>
      <c r="P79" s="11">
        <f t="shared" si="8"/>
        <v>5</v>
      </c>
      <c r="Q79" s="12" cm="1">
        <f t="array" ref="Q79">INDEX('Subject-ConceptMap'!$H$10:$L$264,O79+1,P79)</f>
        <v>0</v>
      </c>
    </row>
    <row r="80" spans="14:17" x14ac:dyDescent="0.75">
      <c r="N80" s="11">
        <v>71</v>
      </c>
      <c r="O80" s="11">
        <f t="shared" si="7"/>
        <v>14</v>
      </c>
      <c r="P80" s="11">
        <f t="shared" si="8"/>
        <v>1</v>
      </c>
      <c r="Q80" s="12" cm="1">
        <f t="array" ref="Q80">INDEX('Subject-ConceptMap'!$H$10:$L$264,O80+1,P80)</f>
        <v>0</v>
      </c>
    </row>
    <row r="81" spans="14:17" x14ac:dyDescent="0.75">
      <c r="N81" s="11">
        <v>72</v>
      </c>
      <c r="O81" s="11">
        <f t="shared" si="7"/>
        <v>14</v>
      </c>
      <c r="P81" s="11">
        <f t="shared" si="8"/>
        <v>2</v>
      </c>
      <c r="Q81" s="12" cm="1">
        <f t="array" ref="Q81">INDEX('Subject-ConceptMap'!$H$10:$L$264,O81+1,P81)</f>
        <v>0</v>
      </c>
    </row>
    <row r="82" spans="14:17" x14ac:dyDescent="0.75">
      <c r="N82" s="11">
        <v>73</v>
      </c>
      <c r="O82" s="11">
        <f t="shared" si="7"/>
        <v>14</v>
      </c>
      <c r="P82" s="11">
        <f t="shared" si="8"/>
        <v>3</v>
      </c>
      <c r="Q82" s="12" cm="1">
        <f t="array" ref="Q82">INDEX('Subject-ConceptMap'!$H$10:$L$264,O82+1,P82)</f>
        <v>0</v>
      </c>
    </row>
    <row r="83" spans="14:17" x14ac:dyDescent="0.75">
      <c r="N83" s="11">
        <v>74</v>
      </c>
      <c r="O83" s="11">
        <f t="shared" si="7"/>
        <v>14</v>
      </c>
      <c r="P83" s="11">
        <f t="shared" si="8"/>
        <v>4</v>
      </c>
      <c r="Q83" s="12" cm="1">
        <f t="array" ref="Q83">INDEX('Subject-ConceptMap'!$H$10:$L$264,O83+1,P83)</f>
        <v>0</v>
      </c>
    </row>
    <row r="84" spans="14:17" x14ac:dyDescent="0.75">
      <c r="N84" s="11">
        <v>75</v>
      </c>
      <c r="O84" s="11">
        <f t="shared" si="7"/>
        <v>14</v>
      </c>
      <c r="P84" s="11">
        <f t="shared" si="8"/>
        <v>5</v>
      </c>
      <c r="Q84" s="12" cm="1">
        <f t="array" ref="Q84">INDEX('Subject-ConceptMap'!$H$10:$L$264,O84+1,P84)</f>
        <v>0</v>
      </c>
    </row>
    <row r="85" spans="14:17" x14ac:dyDescent="0.75">
      <c r="N85" s="11">
        <v>76</v>
      </c>
      <c r="O85" s="11">
        <f t="shared" si="7"/>
        <v>15</v>
      </c>
      <c r="P85" s="11">
        <f t="shared" si="8"/>
        <v>1</v>
      </c>
      <c r="Q85" s="12" cm="1">
        <f t="array" ref="Q85">INDEX('Subject-ConceptMap'!$H$10:$L$264,O85+1,P85)</f>
        <v>0</v>
      </c>
    </row>
    <row r="86" spans="14:17" x14ac:dyDescent="0.75">
      <c r="N86" s="11">
        <v>77</v>
      </c>
      <c r="O86" s="11">
        <f t="shared" si="7"/>
        <v>15</v>
      </c>
      <c r="P86" s="11">
        <f t="shared" si="8"/>
        <v>2</v>
      </c>
      <c r="Q86" s="12" cm="1">
        <f t="array" ref="Q86">INDEX('Subject-ConceptMap'!$H$10:$L$264,O86+1,P86)</f>
        <v>0</v>
      </c>
    </row>
    <row r="87" spans="14:17" x14ac:dyDescent="0.75">
      <c r="N87" s="11">
        <v>78</v>
      </c>
      <c r="O87" s="11">
        <f t="shared" si="7"/>
        <v>15</v>
      </c>
      <c r="P87" s="11">
        <f t="shared" si="8"/>
        <v>3</v>
      </c>
      <c r="Q87" s="12" cm="1">
        <f t="array" ref="Q87">INDEX('Subject-ConceptMap'!$H$10:$L$264,O87+1,P87)</f>
        <v>0</v>
      </c>
    </row>
    <row r="88" spans="14:17" x14ac:dyDescent="0.75">
      <c r="N88" s="11">
        <v>79</v>
      </c>
      <c r="O88" s="11">
        <f t="shared" si="7"/>
        <v>15</v>
      </c>
      <c r="P88" s="11">
        <f t="shared" si="8"/>
        <v>4</v>
      </c>
      <c r="Q88" s="12" cm="1">
        <f t="array" ref="Q88">INDEX('Subject-ConceptMap'!$H$10:$L$264,O88+1,P88)</f>
        <v>0</v>
      </c>
    </row>
    <row r="89" spans="14:17" x14ac:dyDescent="0.75">
      <c r="N89" s="11">
        <v>80</v>
      </c>
      <c r="O89" s="11">
        <f t="shared" si="7"/>
        <v>15</v>
      </c>
      <c r="P89" s="11">
        <f t="shared" si="8"/>
        <v>5</v>
      </c>
      <c r="Q89" s="12" cm="1">
        <f t="array" ref="Q89">INDEX('Subject-ConceptMap'!$H$10:$L$264,O89+1,P89)</f>
        <v>0</v>
      </c>
    </row>
    <row r="90" spans="14:17" x14ac:dyDescent="0.75">
      <c r="N90" s="11">
        <v>81</v>
      </c>
      <c r="O90" s="11">
        <f t="shared" si="7"/>
        <v>16</v>
      </c>
      <c r="P90" s="11">
        <f t="shared" si="8"/>
        <v>1</v>
      </c>
      <c r="Q90" s="12" cm="1">
        <f t="array" ref="Q90">INDEX('Subject-ConceptMap'!$H$10:$L$264,O90+1,P90)</f>
        <v>0</v>
      </c>
    </row>
    <row r="91" spans="14:17" x14ac:dyDescent="0.75">
      <c r="N91" s="11">
        <v>82</v>
      </c>
      <c r="O91" s="11">
        <f t="shared" si="7"/>
        <v>16</v>
      </c>
      <c r="P91" s="11">
        <f t="shared" si="8"/>
        <v>2</v>
      </c>
      <c r="Q91" s="12" cm="1">
        <f t="array" ref="Q91">INDEX('Subject-ConceptMap'!$H$10:$L$264,O91+1,P91)</f>
        <v>0</v>
      </c>
    </row>
    <row r="92" spans="14:17" x14ac:dyDescent="0.75">
      <c r="N92" s="11">
        <v>83</v>
      </c>
      <c r="O92" s="11">
        <f t="shared" si="7"/>
        <v>16</v>
      </c>
      <c r="P92" s="11">
        <f t="shared" si="8"/>
        <v>3</v>
      </c>
      <c r="Q92" s="12" cm="1">
        <f t="array" ref="Q92">INDEX('Subject-ConceptMap'!$H$10:$L$264,O92+1,P92)</f>
        <v>0</v>
      </c>
    </row>
    <row r="93" spans="14:17" x14ac:dyDescent="0.75">
      <c r="N93" s="11">
        <v>84</v>
      </c>
      <c r="O93" s="11">
        <f t="shared" si="7"/>
        <v>16</v>
      </c>
      <c r="P93" s="11">
        <f t="shared" si="8"/>
        <v>4</v>
      </c>
      <c r="Q93" s="12" cm="1">
        <f t="array" ref="Q93">INDEX('Subject-ConceptMap'!$H$10:$L$264,O93+1,P93)</f>
        <v>0</v>
      </c>
    </row>
    <row r="94" spans="14:17" x14ac:dyDescent="0.75">
      <c r="N94" s="11">
        <v>85</v>
      </c>
      <c r="O94" s="11">
        <f t="shared" si="7"/>
        <v>16</v>
      </c>
      <c r="P94" s="11">
        <f t="shared" si="8"/>
        <v>5</v>
      </c>
      <c r="Q94" s="12" cm="1">
        <f t="array" ref="Q94">INDEX('Subject-ConceptMap'!$H$10:$L$264,O94+1,P94)</f>
        <v>0</v>
      </c>
    </row>
    <row r="95" spans="14:17" x14ac:dyDescent="0.75">
      <c r="N95" s="11">
        <v>86</v>
      </c>
      <c r="O95" s="11">
        <f t="shared" si="7"/>
        <v>17</v>
      </c>
      <c r="P95" s="11">
        <f t="shared" si="8"/>
        <v>1</v>
      </c>
      <c r="Q95" s="12" cm="1">
        <f t="array" ref="Q95">INDEX('Subject-ConceptMap'!$H$10:$L$264,O95+1,P95)</f>
        <v>0</v>
      </c>
    </row>
    <row r="96" spans="14:17" x14ac:dyDescent="0.75">
      <c r="N96" s="11">
        <v>87</v>
      </c>
      <c r="O96" s="11">
        <f t="shared" si="7"/>
        <v>17</v>
      </c>
      <c r="P96" s="11">
        <f t="shared" si="8"/>
        <v>2</v>
      </c>
      <c r="Q96" s="12" cm="1">
        <f t="array" ref="Q96">INDEX('Subject-ConceptMap'!$H$10:$L$264,O96+1,P96)</f>
        <v>0</v>
      </c>
    </row>
    <row r="97" spans="14:17" x14ac:dyDescent="0.75">
      <c r="N97" s="11">
        <v>88</v>
      </c>
      <c r="O97" s="11">
        <f t="shared" si="7"/>
        <v>17</v>
      </c>
      <c r="P97" s="11">
        <f t="shared" si="8"/>
        <v>3</v>
      </c>
      <c r="Q97" s="12" cm="1">
        <f t="array" ref="Q97">INDEX('Subject-ConceptMap'!$H$10:$L$264,O97+1,P97)</f>
        <v>0</v>
      </c>
    </row>
    <row r="98" spans="14:17" x14ac:dyDescent="0.75">
      <c r="N98" s="11">
        <v>89</v>
      </c>
      <c r="O98" s="11">
        <f t="shared" si="7"/>
        <v>17</v>
      </c>
      <c r="P98" s="11">
        <f t="shared" si="8"/>
        <v>4</v>
      </c>
      <c r="Q98" s="12" cm="1">
        <f t="array" ref="Q98">INDEX('Subject-ConceptMap'!$H$10:$L$264,O98+1,P98)</f>
        <v>0</v>
      </c>
    </row>
    <row r="99" spans="14:17" x14ac:dyDescent="0.75">
      <c r="N99" s="11">
        <v>90</v>
      </c>
      <c r="O99" s="11">
        <f t="shared" si="7"/>
        <v>17</v>
      </c>
      <c r="P99" s="11">
        <f t="shared" si="8"/>
        <v>5</v>
      </c>
      <c r="Q99" s="12" cm="1">
        <f t="array" ref="Q99">INDEX('Subject-ConceptMap'!$H$10:$L$264,O99+1,P99)</f>
        <v>0</v>
      </c>
    </row>
    <row r="100" spans="14:17" x14ac:dyDescent="0.75">
      <c r="N100" s="11">
        <v>91</v>
      </c>
      <c r="O100" s="11">
        <f t="shared" si="7"/>
        <v>18</v>
      </c>
      <c r="P100" s="11">
        <f t="shared" si="8"/>
        <v>1</v>
      </c>
      <c r="Q100" s="12" cm="1">
        <f t="array" ref="Q100">INDEX('Subject-ConceptMap'!$H$10:$L$264,O100+1,P100)</f>
        <v>0</v>
      </c>
    </row>
    <row r="101" spans="14:17" x14ac:dyDescent="0.75">
      <c r="N101" s="11">
        <v>92</v>
      </c>
      <c r="O101" s="11">
        <f t="shared" si="7"/>
        <v>18</v>
      </c>
      <c r="P101" s="11">
        <f t="shared" si="8"/>
        <v>2</v>
      </c>
      <c r="Q101" s="12" cm="1">
        <f t="array" ref="Q101">INDEX('Subject-ConceptMap'!U85:Y339,1+O101,P101)</f>
        <v>0</v>
      </c>
    </row>
    <row r="102" spans="14:17" x14ac:dyDescent="0.75">
      <c r="N102" s="11">
        <v>93</v>
      </c>
      <c r="O102" s="11">
        <f t="shared" si="7"/>
        <v>18</v>
      </c>
      <c r="P102" s="11">
        <f t="shared" si="8"/>
        <v>3</v>
      </c>
      <c r="Q102" s="12" cm="1">
        <f t="array" ref="Q102">INDEX('Subject-ConceptMap'!U86:Y340,1+O102,P102)</f>
        <v>0</v>
      </c>
    </row>
    <row r="103" spans="14:17" x14ac:dyDescent="0.75">
      <c r="N103" s="11">
        <v>94</v>
      </c>
      <c r="O103" s="11">
        <f t="shared" si="7"/>
        <v>18</v>
      </c>
      <c r="P103" s="11">
        <f t="shared" si="8"/>
        <v>4</v>
      </c>
      <c r="Q103" s="12" cm="1">
        <f t="array" ref="Q103">INDEX('Subject-ConceptMap'!U87:Y341,1+O103,P103)</f>
        <v>0</v>
      </c>
    </row>
    <row r="104" spans="14:17" x14ac:dyDescent="0.75">
      <c r="N104" s="11">
        <v>95</v>
      </c>
      <c r="O104" s="11">
        <f t="shared" si="7"/>
        <v>18</v>
      </c>
      <c r="P104" s="11">
        <f t="shared" si="8"/>
        <v>5</v>
      </c>
      <c r="Q104" s="12" cm="1">
        <f t="array" ref="Q104">INDEX('Subject-ConceptMap'!U88:Y342,1+O104,P104)</f>
        <v>0</v>
      </c>
    </row>
    <row r="105" spans="14:17" x14ac:dyDescent="0.75">
      <c r="N105" s="11">
        <v>96</v>
      </c>
      <c r="O105" s="11">
        <f t="shared" si="7"/>
        <v>19</v>
      </c>
      <c r="P105" s="11">
        <f t="shared" si="8"/>
        <v>1</v>
      </c>
      <c r="Q105" s="12" cm="1">
        <f t="array" ref="Q105">INDEX('Subject-ConceptMap'!U89:Y343,1+O105,P105)</f>
        <v>0</v>
      </c>
    </row>
    <row r="106" spans="14:17" x14ac:dyDescent="0.75">
      <c r="N106" s="11">
        <v>97</v>
      </c>
      <c r="O106" s="11">
        <f t="shared" si="7"/>
        <v>19</v>
      </c>
      <c r="P106" s="11">
        <f t="shared" si="8"/>
        <v>2</v>
      </c>
      <c r="Q106" s="12" cm="1">
        <f t="array" ref="Q106">INDEX('Subject-ConceptMap'!U90:Y344,1+O106,P106)</f>
        <v>0</v>
      </c>
    </row>
    <row r="107" spans="14:17" x14ac:dyDescent="0.75">
      <c r="N107" s="11">
        <v>98</v>
      </c>
      <c r="O107" s="11">
        <f t="shared" si="7"/>
        <v>19</v>
      </c>
      <c r="P107" s="11">
        <f t="shared" si="8"/>
        <v>3</v>
      </c>
      <c r="Q107" s="12" cm="1">
        <f t="array" ref="Q107">INDEX('Subject-ConceptMap'!U91:Y345,1+O107,P107)</f>
        <v>0</v>
      </c>
    </row>
    <row r="108" spans="14:17" x14ac:dyDescent="0.75">
      <c r="N108" s="11">
        <v>99</v>
      </c>
      <c r="O108" s="11">
        <f t="shared" si="7"/>
        <v>19</v>
      </c>
      <c r="P108" s="11">
        <f t="shared" si="8"/>
        <v>4</v>
      </c>
      <c r="Q108" s="12" cm="1">
        <f t="array" ref="Q108">INDEX('Subject-ConceptMap'!U92:Y346,1+O108,P108)</f>
        <v>0</v>
      </c>
    </row>
    <row r="109" spans="14:17" x14ac:dyDescent="0.75">
      <c r="N109" s="11">
        <v>100</v>
      </c>
      <c r="O109" s="11">
        <f t="shared" si="7"/>
        <v>19</v>
      </c>
      <c r="P109" s="11">
        <f t="shared" si="8"/>
        <v>5</v>
      </c>
      <c r="Q109" s="12" cm="1">
        <f t="array" ref="Q109">INDEX('Subject-ConceptMap'!U93:Y347,1+O109,P109)</f>
        <v>0</v>
      </c>
    </row>
    <row r="110" spans="14:17" x14ac:dyDescent="0.75">
      <c r="N110" s="11">
        <v>101</v>
      </c>
      <c r="O110" s="11">
        <f t="shared" si="7"/>
        <v>20</v>
      </c>
      <c r="P110" s="11">
        <f t="shared" si="8"/>
        <v>1</v>
      </c>
      <c r="Q110" s="12" cm="1">
        <f t="array" ref="Q110">INDEX('Subject-ConceptMap'!U94:Y348,1+O110,P110)</f>
        <v>0</v>
      </c>
    </row>
    <row r="111" spans="14:17" x14ac:dyDescent="0.75">
      <c r="N111" s="11">
        <v>102</v>
      </c>
      <c r="O111" s="11">
        <f t="shared" si="7"/>
        <v>20</v>
      </c>
      <c r="P111" s="11">
        <f t="shared" si="8"/>
        <v>2</v>
      </c>
      <c r="Q111" s="12" cm="1">
        <f t="array" ref="Q111">INDEX('Subject-ConceptMap'!U95:Y349,1+O111,P111)</f>
        <v>0</v>
      </c>
    </row>
    <row r="112" spans="14:17" x14ac:dyDescent="0.75">
      <c r="N112" s="11">
        <v>103</v>
      </c>
      <c r="O112" s="11">
        <f t="shared" si="7"/>
        <v>20</v>
      </c>
      <c r="P112" s="11">
        <f t="shared" si="8"/>
        <v>3</v>
      </c>
      <c r="Q112" s="12" cm="1">
        <f t="array" ref="Q112">INDEX('Subject-ConceptMap'!U96:Y350,1+O112,P112)</f>
        <v>0</v>
      </c>
    </row>
    <row r="113" spans="14:17" x14ac:dyDescent="0.75">
      <c r="N113" s="11">
        <v>104</v>
      </c>
      <c r="O113" s="11">
        <f t="shared" si="7"/>
        <v>20</v>
      </c>
      <c r="P113" s="11">
        <f t="shared" si="8"/>
        <v>4</v>
      </c>
      <c r="Q113" s="12" cm="1">
        <f t="array" ref="Q113">INDEX('Subject-ConceptMap'!U97:Y351,1+O113,P113)</f>
        <v>0</v>
      </c>
    </row>
    <row r="114" spans="14:17" x14ac:dyDescent="0.75">
      <c r="N114" s="11">
        <v>105</v>
      </c>
      <c r="O114" s="11">
        <f t="shared" si="7"/>
        <v>20</v>
      </c>
      <c r="P114" s="11">
        <f t="shared" si="8"/>
        <v>5</v>
      </c>
      <c r="Q114" s="12" cm="1">
        <f t="array" ref="Q114">INDEX('Subject-ConceptMap'!U98:Y352,1+O114,P114)</f>
        <v>0</v>
      </c>
    </row>
    <row r="115" spans="14:17" x14ac:dyDescent="0.75">
      <c r="N115" s="11">
        <v>106</v>
      </c>
      <c r="O115" s="11">
        <f t="shared" si="7"/>
        <v>21</v>
      </c>
      <c r="P115" s="11">
        <f t="shared" si="8"/>
        <v>1</v>
      </c>
      <c r="Q115" s="12" cm="1">
        <f t="array" ref="Q115">INDEX('Subject-ConceptMap'!U99:Y353,1+O115,P115)</f>
        <v>0</v>
      </c>
    </row>
    <row r="116" spans="14:17" x14ac:dyDescent="0.75">
      <c r="N116" s="11">
        <v>107</v>
      </c>
      <c r="O116" s="11">
        <f t="shared" si="7"/>
        <v>21</v>
      </c>
      <c r="P116" s="11">
        <f t="shared" si="8"/>
        <v>2</v>
      </c>
      <c r="Q116" s="12" cm="1">
        <f t="array" ref="Q116">INDEX('Subject-ConceptMap'!U100:Y354,1+O116,P116)</f>
        <v>0</v>
      </c>
    </row>
    <row r="117" spans="14:17" x14ac:dyDescent="0.75">
      <c r="N117" s="11">
        <v>108</v>
      </c>
      <c r="O117" s="11">
        <f t="shared" si="7"/>
        <v>21</v>
      </c>
      <c r="P117" s="11">
        <f t="shared" si="8"/>
        <v>3</v>
      </c>
      <c r="Q117" s="12" cm="1">
        <f t="array" ref="Q117">INDEX('Subject-ConceptMap'!U101:Y355,1+O117,P117)</f>
        <v>0</v>
      </c>
    </row>
    <row r="118" spans="14:17" x14ac:dyDescent="0.75">
      <c r="N118" s="11">
        <v>109</v>
      </c>
      <c r="O118" s="11">
        <f t="shared" si="7"/>
        <v>21</v>
      </c>
      <c r="P118" s="11">
        <f t="shared" si="8"/>
        <v>4</v>
      </c>
      <c r="Q118" s="12" cm="1">
        <f t="array" ref="Q118">INDEX('Subject-ConceptMap'!U102:Y356,1+O118,P118)</f>
        <v>0</v>
      </c>
    </row>
    <row r="119" spans="14:17" x14ac:dyDescent="0.75">
      <c r="N119" s="11">
        <v>110</v>
      </c>
      <c r="O119" s="11">
        <f t="shared" si="7"/>
        <v>21</v>
      </c>
      <c r="P119" s="11">
        <f t="shared" si="8"/>
        <v>5</v>
      </c>
      <c r="Q119" s="12" cm="1">
        <f t="array" ref="Q119">INDEX('Subject-ConceptMap'!U103:Y357,1+O119,P119)</f>
        <v>0</v>
      </c>
    </row>
    <row r="120" spans="14:17" x14ac:dyDescent="0.75">
      <c r="N120" s="11">
        <v>111</v>
      </c>
      <c r="O120" s="11">
        <f t="shared" si="7"/>
        <v>22</v>
      </c>
      <c r="P120" s="11">
        <f t="shared" si="8"/>
        <v>1</v>
      </c>
      <c r="Q120" s="12" cm="1">
        <f t="array" ref="Q120">INDEX('Subject-ConceptMap'!U104:Y358,1+O120,P120)</f>
        <v>0</v>
      </c>
    </row>
    <row r="121" spans="14:17" x14ac:dyDescent="0.75">
      <c r="N121" s="11">
        <v>112</v>
      </c>
      <c r="O121" s="11">
        <f t="shared" si="7"/>
        <v>22</v>
      </c>
      <c r="P121" s="11">
        <f t="shared" si="8"/>
        <v>2</v>
      </c>
      <c r="Q121" s="12" cm="1">
        <f t="array" ref="Q121">INDEX('Subject-ConceptMap'!U105:Y359,1+O121,P121)</f>
        <v>0</v>
      </c>
    </row>
    <row r="122" spans="14:17" x14ac:dyDescent="0.75">
      <c r="N122" s="11">
        <v>113</v>
      </c>
      <c r="O122" s="11">
        <f t="shared" si="7"/>
        <v>22</v>
      </c>
      <c r="P122" s="11">
        <f t="shared" si="8"/>
        <v>3</v>
      </c>
      <c r="Q122" s="12" cm="1">
        <f t="array" ref="Q122">INDEX('Subject-ConceptMap'!U106:Y360,1+O122,P122)</f>
        <v>0</v>
      </c>
    </row>
    <row r="123" spans="14:17" x14ac:dyDescent="0.75">
      <c r="N123" s="11">
        <v>114</v>
      </c>
      <c r="O123" s="11">
        <f t="shared" si="7"/>
        <v>22</v>
      </c>
      <c r="P123" s="11">
        <f t="shared" si="8"/>
        <v>4</v>
      </c>
      <c r="Q123" s="12" cm="1">
        <f t="array" ref="Q123">INDEX('Subject-ConceptMap'!U107:Y361,1+O123,P123)</f>
        <v>0</v>
      </c>
    </row>
    <row r="124" spans="14:17" x14ac:dyDescent="0.75">
      <c r="N124" s="11">
        <v>115</v>
      </c>
      <c r="O124" s="11">
        <f t="shared" si="7"/>
        <v>22</v>
      </c>
      <c r="P124" s="11">
        <f t="shared" si="8"/>
        <v>5</v>
      </c>
      <c r="Q124" s="12" cm="1">
        <f t="array" ref="Q124">INDEX('Subject-ConceptMap'!U108:Y362,1+O124,P124)</f>
        <v>0</v>
      </c>
    </row>
    <row r="125" spans="14:17" x14ac:dyDescent="0.75">
      <c r="N125" s="11">
        <v>116</v>
      </c>
      <c r="O125" s="11">
        <f t="shared" si="7"/>
        <v>23</v>
      </c>
      <c r="P125" s="11">
        <f t="shared" si="8"/>
        <v>1</v>
      </c>
      <c r="Q125" s="12" cm="1">
        <f t="array" ref="Q125">INDEX('Subject-ConceptMap'!U109:Y363,1+O125,P125)</f>
        <v>0</v>
      </c>
    </row>
    <row r="126" spans="14:17" x14ac:dyDescent="0.75">
      <c r="N126" s="11">
        <v>117</v>
      </c>
      <c r="O126" s="11">
        <f t="shared" si="7"/>
        <v>23</v>
      </c>
      <c r="P126" s="11">
        <f t="shared" si="8"/>
        <v>2</v>
      </c>
      <c r="Q126" s="12" cm="1">
        <f t="array" ref="Q126">INDEX('Subject-ConceptMap'!U110:Y364,1+O126,P126)</f>
        <v>0</v>
      </c>
    </row>
    <row r="127" spans="14:17" x14ac:dyDescent="0.75">
      <c r="N127" s="11">
        <v>118</v>
      </c>
      <c r="O127" s="11">
        <f t="shared" si="7"/>
        <v>23</v>
      </c>
      <c r="P127" s="11">
        <f t="shared" si="8"/>
        <v>3</v>
      </c>
      <c r="Q127" s="12" cm="1">
        <f t="array" ref="Q127">INDEX('Subject-ConceptMap'!U111:Y365,1+O127,P127)</f>
        <v>0</v>
      </c>
    </row>
    <row r="128" spans="14:17" x14ac:dyDescent="0.75">
      <c r="N128" s="11">
        <v>119</v>
      </c>
      <c r="O128" s="11">
        <f t="shared" si="7"/>
        <v>23</v>
      </c>
      <c r="P128" s="11">
        <f t="shared" si="8"/>
        <v>4</v>
      </c>
      <c r="Q128" s="12" cm="1">
        <f t="array" ref="Q128">INDEX('Subject-ConceptMap'!U112:Y366,1+O128,P128)</f>
        <v>0</v>
      </c>
    </row>
    <row r="129" spans="14:17" x14ac:dyDescent="0.75">
      <c r="N129" s="11">
        <v>120</v>
      </c>
      <c r="O129" s="11">
        <f t="shared" si="7"/>
        <v>23</v>
      </c>
      <c r="P129" s="11">
        <f t="shared" si="8"/>
        <v>5</v>
      </c>
      <c r="Q129" s="12" cm="1">
        <f t="array" ref="Q129">INDEX('Subject-ConceptMap'!U113:Y367,1+O129,P129)</f>
        <v>0</v>
      </c>
    </row>
    <row r="130" spans="14:17" x14ac:dyDescent="0.75">
      <c r="N130" s="11">
        <v>121</v>
      </c>
      <c r="O130" s="11">
        <f t="shared" si="7"/>
        <v>24</v>
      </c>
      <c r="P130" s="11">
        <f t="shared" si="8"/>
        <v>1</v>
      </c>
      <c r="Q130" s="12" cm="1">
        <f t="array" ref="Q130">INDEX('Subject-ConceptMap'!U114:Y368,1+O130,P130)</f>
        <v>0</v>
      </c>
    </row>
    <row r="131" spans="14:17" x14ac:dyDescent="0.75">
      <c r="N131" s="11">
        <v>122</v>
      </c>
      <c r="O131" s="11">
        <f t="shared" si="7"/>
        <v>24</v>
      </c>
      <c r="P131" s="11">
        <f t="shared" si="8"/>
        <v>2</v>
      </c>
      <c r="Q131" s="12" cm="1">
        <f t="array" ref="Q131">INDEX('Subject-ConceptMap'!U115:Y369,1+O131,P131)</f>
        <v>0</v>
      </c>
    </row>
    <row r="132" spans="14:17" x14ac:dyDescent="0.75">
      <c r="N132" s="11">
        <v>123</v>
      </c>
      <c r="O132" s="11">
        <f t="shared" si="7"/>
        <v>24</v>
      </c>
      <c r="P132" s="11">
        <f t="shared" si="8"/>
        <v>3</v>
      </c>
      <c r="Q132" s="12" cm="1">
        <f t="array" ref="Q132">INDEX('Subject-ConceptMap'!U116:Y370,1+O132,P132)</f>
        <v>0</v>
      </c>
    </row>
    <row r="133" spans="14:17" x14ac:dyDescent="0.75">
      <c r="N133" s="11">
        <v>124</v>
      </c>
      <c r="O133" s="11">
        <f t="shared" si="7"/>
        <v>24</v>
      </c>
      <c r="P133" s="11">
        <f t="shared" si="8"/>
        <v>4</v>
      </c>
      <c r="Q133" s="12" cm="1">
        <f t="array" ref="Q133">INDEX('Subject-ConceptMap'!U117:Y371,1+O133,P133)</f>
        <v>0</v>
      </c>
    </row>
    <row r="134" spans="14:17" x14ac:dyDescent="0.75">
      <c r="N134" s="11">
        <v>125</v>
      </c>
      <c r="O134" s="11">
        <f t="shared" si="7"/>
        <v>24</v>
      </c>
      <c r="P134" s="11">
        <f t="shared" si="8"/>
        <v>5</v>
      </c>
      <c r="Q134" s="12" cm="1">
        <f t="array" ref="Q134">INDEX('Subject-ConceptMap'!U118:Y372,1+O134,P134)</f>
        <v>0</v>
      </c>
    </row>
    <row r="135" spans="14:17" x14ac:dyDescent="0.75">
      <c r="N135" s="11">
        <v>126</v>
      </c>
      <c r="O135" s="11">
        <f t="shared" si="7"/>
        <v>25</v>
      </c>
      <c r="P135" s="11">
        <f t="shared" si="8"/>
        <v>1</v>
      </c>
      <c r="Q135" s="12" cm="1">
        <f t="array" ref="Q135">INDEX('Subject-ConceptMap'!U119:Y373,1+O135,P135)</f>
        <v>0</v>
      </c>
    </row>
    <row r="136" spans="14:17" x14ac:dyDescent="0.75">
      <c r="N136" s="11">
        <v>127</v>
      </c>
      <c r="O136" s="11">
        <f t="shared" si="7"/>
        <v>25</v>
      </c>
      <c r="P136" s="11">
        <f t="shared" si="8"/>
        <v>2</v>
      </c>
      <c r="Q136" s="12" cm="1">
        <f t="array" ref="Q136">INDEX('Subject-ConceptMap'!U120:Y374,1+O136,P136)</f>
        <v>0</v>
      </c>
    </row>
    <row r="137" spans="14:17" x14ac:dyDescent="0.75">
      <c r="N137" s="11">
        <v>128</v>
      </c>
      <c r="O137" s="11">
        <f t="shared" si="7"/>
        <v>25</v>
      </c>
      <c r="P137" s="11">
        <f t="shared" si="8"/>
        <v>3</v>
      </c>
      <c r="Q137" s="12" cm="1">
        <f t="array" ref="Q137">INDEX('Subject-ConceptMap'!U121:Y375,1+O137,P137)</f>
        <v>0</v>
      </c>
    </row>
    <row r="138" spans="14:17" x14ac:dyDescent="0.75">
      <c r="N138" s="11">
        <v>129</v>
      </c>
      <c r="O138" s="11">
        <f t="shared" si="7"/>
        <v>25</v>
      </c>
      <c r="P138" s="11">
        <f t="shared" si="8"/>
        <v>4</v>
      </c>
      <c r="Q138" s="12" cm="1">
        <f t="array" ref="Q138">INDEX('Subject-ConceptMap'!U122:Y376,1+O138,P138)</f>
        <v>0</v>
      </c>
    </row>
    <row r="139" spans="14:17" x14ac:dyDescent="0.75">
      <c r="N139" s="11">
        <v>130</v>
      </c>
      <c r="O139" s="11">
        <f t="shared" ref="O139:O184" si="9">IF(MOD(N139,$O$3)=0,N139/$O$3-1,INT(N139/$O$3))</f>
        <v>25</v>
      </c>
      <c r="P139" s="11">
        <f t="shared" ref="P139:P184" si="10">IF(MOD(N139,$O$3)=0,$O$3,MOD(N139,$O$3))</f>
        <v>5</v>
      </c>
      <c r="Q139" s="12" cm="1">
        <f t="array" ref="Q139">INDEX('Subject-ConceptMap'!U123:Y377,1+O139,P139)</f>
        <v>0</v>
      </c>
    </row>
    <row r="140" spans="14:17" x14ac:dyDescent="0.75">
      <c r="N140" s="11">
        <v>131</v>
      </c>
      <c r="O140" s="11">
        <f t="shared" si="9"/>
        <v>26</v>
      </c>
      <c r="P140" s="11">
        <f t="shared" si="10"/>
        <v>1</v>
      </c>
      <c r="Q140" s="12" cm="1">
        <f t="array" ref="Q140">INDEX('Subject-ConceptMap'!U124:Y378,1+O140,P140)</f>
        <v>0</v>
      </c>
    </row>
    <row r="141" spans="14:17" x14ac:dyDescent="0.75">
      <c r="N141" s="11">
        <v>132</v>
      </c>
      <c r="O141" s="11">
        <f t="shared" si="9"/>
        <v>26</v>
      </c>
      <c r="P141" s="11">
        <f t="shared" si="10"/>
        <v>2</v>
      </c>
      <c r="Q141" s="12" cm="1">
        <f t="array" ref="Q141">INDEX('Subject-ConceptMap'!U125:Y379,1+O141,P141)</f>
        <v>0</v>
      </c>
    </row>
    <row r="142" spans="14:17" x14ac:dyDescent="0.75">
      <c r="N142" s="11">
        <v>133</v>
      </c>
      <c r="O142" s="11">
        <f t="shared" si="9"/>
        <v>26</v>
      </c>
      <c r="P142" s="11">
        <f t="shared" si="10"/>
        <v>3</v>
      </c>
      <c r="Q142" s="12" cm="1">
        <f t="array" ref="Q142">INDEX('Subject-ConceptMap'!U126:Y380,1+O142,P142)</f>
        <v>0</v>
      </c>
    </row>
    <row r="143" spans="14:17" x14ac:dyDescent="0.75">
      <c r="N143" s="11">
        <v>134</v>
      </c>
      <c r="O143" s="11">
        <f t="shared" si="9"/>
        <v>26</v>
      </c>
      <c r="P143" s="11">
        <f t="shared" si="10"/>
        <v>4</v>
      </c>
      <c r="Q143" s="12" cm="1">
        <f t="array" ref="Q143">INDEX('Subject-ConceptMap'!U127:Y381,1+O143,P143)</f>
        <v>0</v>
      </c>
    </row>
    <row r="144" spans="14:17" x14ac:dyDescent="0.75">
      <c r="N144" s="11">
        <v>135</v>
      </c>
      <c r="O144" s="11">
        <f t="shared" si="9"/>
        <v>26</v>
      </c>
      <c r="P144" s="11">
        <f t="shared" si="10"/>
        <v>5</v>
      </c>
      <c r="Q144" s="12" cm="1">
        <f t="array" ref="Q144">INDEX('Subject-ConceptMap'!U128:Y382,1+O144,P144)</f>
        <v>0</v>
      </c>
    </row>
    <row r="145" spans="14:17" x14ac:dyDescent="0.75">
      <c r="N145" s="11">
        <v>136</v>
      </c>
      <c r="O145" s="11">
        <f t="shared" si="9"/>
        <v>27</v>
      </c>
      <c r="P145" s="11">
        <f t="shared" si="10"/>
        <v>1</v>
      </c>
      <c r="Q145" s="12" cm="1">
        <f t="array" ref="Q145">INDEX('Subject-ConceptMap'!U129:Y383,1+O145,P145)</f>
        <v>0</v>
      </c>
    </row>
    <row r="146" spans="14:17" x14ac:dyDescent="0.75">
      <c r="N146" s="11">
        <v>137</v>
      </c>
      <c r="O146" s="11">
        <f t="shared" si="9"/>
        <v>27</v>
      </c>
      <c r="P146" s="11">
        <f t="shared" si="10"/>
        <v>2</v>
      </c>
      <c r="Q146" s="12" cm="1">
        <f t="array" ref="Q146">INDEX('Subject-ConceptMap'!U130:Y384,1+O146,P146)</f>
        <v>0</v>
      </c>
    </row>
    <row r="147" spans="14:17" x14ac:dyDescent="0.75">
      <c r="N147" s="11">
        <v>138</v>
      </c>
      <c r="O147" s="11">
        <f t="shared" si="9"/>
        <v>27</v>
      </c>
      <c r="P147" s="11">
        <f t="shared" si="10"/>
        <v>3</v>
      </c>
      <c r="Q147" s="12" cm="1">
        <f t="array" ref="Q147">INDEX('Subject-ConceptMap'!U131:Y385,1+O147,P147)</f>
        <v>0</v>
      </c>
    </row>
    <row r="148" spans="14:17" x14ac:dyDescent="0.75">
      <c r="N148" s="11">
        <v>139</v>
      </c>
      <c r="O148" s="11">
        <f t="shared" si="9"/>
        <v>27</v>
      </c>
      <c r="P148" s="11">
        <f t="shared" si="10"/>
        <v>4</v>
      </c>
      <c r="Q148" s="12" cm="1">
        <f t="array" ref="Q148">INDEX('Subject-ConceptMap'!U132:Y386,1+O148,P148)</f>
        <v>0</v>
      </c>
    </row>
    <row r="149" spans="14:17" x14ac:dyDescent="0.75">
      <c r="N149" s="11">
        <v>140</v>
      </c>
      <c r="O149" s="11">
        <f t="shared" si="9"/>
        <v>27</v>
      </c>
      <c r="P149" s="11">
        <f t="shared" si="10"/>
        <v>5</v>
      </c>
      <c r="Q149" s="12" cm="1">
        <f t="array" ref="Q149">INDEX('Subject-ConceptMap'!U133:Y387,1+O149,P149)</f>
        <v>0</v>
      </c>
    </row>
    <row r="150" spans="14:17" x14ac:dyDescent="0.75">
      <c r="N150" s="11">
        <v>141</v>
      </c>
      <c r="O150" s="11">
        <f t="shared" si="9"/>
        <v>28</v>
      </c>
      <c r="P150" s="11">
        <f t="shared" si="10"/>
        <v>1</v>
      </c>
      <c r="Q150" s="12" cm="1">
        <f t="array" ref="Q150">INDEX('Subject-ConceptMap'!U134:Y388,1+O150,P150)</f>
        <v>0</v>
      </c>
    </row>
    <row r="151" spans="14:17" x14ac:dyDescent="0.75">
      <c r="N151" s="11">
        <v>142</v>
      </c>
      <c r="O151" s="11">
        <f t="shared" si="9"/>
        <v>28</v>
      </c>
      <c r="P151" s="11">
        <f t="shared" si="10"/>
        <v>2</v>
      </c>
      <c r="Q151" s="12" cm="1">
        <f t="array" ref="Q151">INDEX('Subject-ConceptMap'!U135:Y389,1+O151,P151)</f>
        <v>0</v>
      </c>
    </row>
    <row r="152" spans="14:17" x14ac:dyDescent="0.75">
      <c r="N152" s="11">
        <v>143</v>
      </c>
      <c r="O152" s="11">
        <f t="shared" si="9"/>
        <v>28</v>
      </c>
      <c r="P152" s="11">
        <f t="shared" si="10"/>
        <v>3</v>
      </c>
      <c r="Q152" s="12" cm="1">
        <f t="array" ref="Q152">INDEX('Subject-ConceptMap'!U136:Y390,1+O152,P152)</f>
        <v>0</v>
      </c>
    </row>
    <row r="153" spans="14:17" x14ac:dyDescent="0.75">
      <c r="N153" s="11">
        <v>144</v>
      </c>
      <c r="O153" s="11">
        <f t="shared" si="9"/>
        <v>28</v>
      </c>
      <c r="P153" s="11">
        <f t="shared" si="10"/>
        <v>4</v>
      </c>
      <c r="Q153" s="12" cm="1">
        <f t="array" ref="Q153">INDEX('Subject-ConceptMap'!U137:Y391,1+O153,P153)</f>
        <v>0</v>
      </c>
    </row>
    <row r="154" spans="14:17" x14ac:dyDescent="0.75">
      <c r="N154" s="11">
        <v>145</v>
      </c>
      <c r="O154" s="11">
        <f t="shared" si="9"/>
        <v>28</v>
      </c>
      <c r="P154" s="11">
        <f t="shared" si="10"/>
        <v>5</v>
      </c>
      <c r="Q154" s="12" cm="1">
        <f t="array" ref="Q154">INDEX('Subject-ConceptMap'!U138:Y392,1+O154,P154)</f>
        <v>0</v>
      </c>
    </row>
    <row r="155" spans="14:17" x14ac:dyDescent="0.75">
      <c r="N155" s="11">
        <v>146</v>
      </c>
      <c r="O155" s="11">
        <f t="shared" si="9"/>
        <v>29</v>
      </c>
      <c r="P155" s="11">
        <f t="shared" si="10"/>
        <v>1</v>
      </c>
      <c r="Q155" s="12" cm="1">
        <f t="array" ref="Q155">INDEX('Subject-ConceptMap'!U139:Y393,1+O155,P155)</f>
        <v>0</v>
      </c>
    </row>
    <row r="156" spans="14:17" x14ac:dyDescent="0.75">
      <c r="N156" s="11">
        <v>147</v>
      </c>
      <c r="O156" s="11">
        <f t="shared" si="9"/>
        <v>29</v>
      </c>
      <c r="P156" s="11">
        <f t="shared" si="10"/>
        <v>2</v>
      </c>
      <c r="Q156" s="12" cm="1">
        <f t="array" ref="Q156">INDEX('Subject-ConceptMap'!U140:Y394,1+O156,P156)</f>
        <v>0</v>
      </c>
    </row>
    <row r="157" spans="14:17" x14ac:dyDescent="0.75">
      <c r="N157" s="11">
        <v>148</v>
      </c>
      <c r="O157" s="11">
        <f t="shared" si="9"/>
        <v>29</v>
      </c>
      <c r="P157" s="11">
        <f t="shared" si="10"/>
        <v>3</v>
      </c>
      <c r="Q157" s="12" cm="1">
        <f t="array" ref="Q157">INDEX('Subject-ConceptMap'!U141:Y395,1+O157,P157)</f>
        <v>0</v>
      </c>
    </row>
    <row r="158" spans="14:17" x14ac:dyDescent="0.75">
      <c r="N158" s="11">
        <v>149</v>
      </c>
      <c r="O158" s="11">
        <f t="shared" si="9"/>
        <v>29</v>
      </c>
      <c r="P158" s="11">
        <f t="shared" si="10"/>
        <v>4</v>
      </c>
      <c r="Q158" s="12" cm="1">
        <f t="array" ref="Q158">INDEX('Subject-ConceptMap'!U142:Y396,1+O158,P158)</f>
        <v>0</v>
      </c>
    </row>
    <row r="159" spans="14:17" x14ac:dyDescent="0.75">
      <c r="N159" s="11">
        <v>150</v>
      </c>
      <c r="O159" s="11">
        <f t="shared" si="9"/>
        <v>29</v>
      </c>
      <c r="P159" s="11">
        <f t="shared" si="10"/>
        <v>5</v>
      </c>
      <c r="Q159" s="12" cm="1">
        <f t="array" ref="Q159">INDEX('Subject-ConceptMap'!U143:Y397,1+O159,P159)</f>
        <v>0</v>
      </c>
    </row>
    <row r="160" spans="14:17" x14ac:dyDescent="0.75">
      <c r="N160" s="11">
        <v>151</v>
      </c>
      <c r="O160" s="11">
        <f t="shared" si="9"/>
        <v>30</v>
      </c>
      <c r="P160" s="11">
        <f t="shared" si="10"/>
        <v>1</v>
      </c>
      <c r="Q160" s="12" cm="1">
        <f t="array" ref="Q160">INDEX('Subject-ConceptMap'!U144:Y398,1+O160,P160)</f>
        <v>0</v>
      </c>
    </row>
    <row r="161" spans="14:17" x14ac:dyDescent="0.75">
      <c r="N161" s="11">
        <v>152</v>
      </c>
      <c r="O161" s="11">
        <f t="shared" si="9"/>
        <v>30</v>
      </c>
      <c r="P161" s="11">
        <f t="shared" si="10"/>
        <v>2</v>
      </c>
      <c r="Q161" s="12" cm="1">
        <f t="array" ref="Q161">INDEX('Subject-ConceptMap'!U145:Y399,1+O161,P161)</f>
        <v>0</v>
      </c>
    </row>
    <row r="162" spans="14:17" x14ac:dyDescent="0.75">
      <c r="N162" s="11">
        <v>153</v>
      </c>
      <c r="O162" s="11">
        <f t="shared" si="9"/>
        <v>30</v>
      </c>
      <c r="P162" s="11">
        <f t="shared" si="10"/>
        <v>3</v>
      </c>
      <c r="Q162" s="12" cm="1">
        <f t="array" ref="Q162">INDEX('Subject-ConceptMap'!U146:Y400,1+O162,P162)</f>
        <v>0</v>
      </c>
    </row>
    <row r="163" spans="14:17" x14ac:dyDescent="0.75">
      <c r="N163" s="11">
        <v>154</v>
      </c>
      <c r="O163" s="11">
        <f t="shared" si="9"/>
        <v>30</v>
      </c>
      <c r="P163" s="11">
        <f t="shared" si="10"/>
        <v>4</v>
      </c>
      <c r="Q163" s="12" cm="1">
        <f t="array" ref="Q163">INDEX('Subject-ConceptMap'!U147:Y401,1+O163,P163)</f>
        <v>0</v>
      </c>
    </row>
    <row r="164" spans="14:17" x14ac:dyDescent="0.75">
      <c r="N164" s="11">
        <v>155</v>
      </c>
      <c r="O164" s="11">
        <f t="shared" si="9"/>
        <v>30</v>
      </c>
      <c r="P164" s="11">
        <f t="shared" si="10"/>
        <v>5</v>
      </c>
      <c r="Q164" s="12" cm="1">
        <f t="array" ref="Q164">INDEX('Subject-ConceptMap'!U148:Y402,1+O164,P164)</f>
        <v>0</v>
      </c>
    </row>
    <row r="165" spans="14:17" x14ac:dyDescent="0.75">
      <c r="N165" s="11">
        <v>156</v>
      </c>
      <c r="O165" s="11">
        <f t="shared" si="9"/>
        <v>31</v>
      </c>
      <c r="P165" s="11">
        <f t="shared" si="10"/>
        <v>1</v>
      </c>
      <c r="Q165" s="12" cm="1">
        <f t="array" ref="Q165">INDEX('Subject-ConceptMap'!U149:Y403,1+O165,P165)</f>
        <v>0</v>
      </c>
    </row>
    <row r="166" spans="14:17" x14ac:dyDescent="0.75">
      <c r="N166" s="11">
        <v>157</v>
      </c>
      <c r="O166" s="11">
        <f t="shared" si="9"/>
        <v>31</v>
      </c>
      <c r="P166" s="11">
        <f t="shared" si="10"/>
        <v>2</v>
      </c>
      <c r="Q166" s="12" cm="1">
        <f t="array" ref="Q166">INDEX('Subject-ConceptMap'!U150:Y404,1+O166,P166)</f>
        <v>0</v>
      </c>
    </row>
    <row r="167" spans="14:17" x14ac:dyDescent="0.75">
      <c r="N167" s="11">
        <v>158</v>
      </c>
      <c r="O167" s="11">
        <f t="shared" si="9"/>
        <v>31</v>
      </c>
      <c r="P167" s="11">
        <f t="shared" si="10"/>
        <v>3</v>
      </c>
      <c r="Q167" s="12" cm="1">
        <f t="array" ref="Q167">INDEX('Subject-ConceptMap'!U151:Y405,1+O167,P167)</f>
        <v>0</v>
      </c>
    </row>
    <row r="168" spans="14:17" x14ac:dyDescent="0.75">
      <c r="N168" s="11">
        <v>159</v>
      </c>
      <c r="O168" s="11">
        <f t="shared" si="9"/>
        <v>31</v>
      </c>
      <c r="P168" s="11">
        <f t="shared" si="10"/>
        <v>4</v>
      </c>
      <c r="Q168" s="12" cm="1">
        <f t="array" ref="Q168">INDEX('Subject-ConceptMap'!U152:Y406,1+O168,P168)</f>
        <v>0</v>
      </c>
    </row>
    <row r="169" spans="14:17" x14ac:dyDescent="0.75">
      <c r="N169" s="11">
        <v>160</v>
      </c>
      <c r="O169" s="11">
        <f t="shared" si="9"/>
        <v>31</v>
      </c>
      <c r="P169" s="11">
        <f t="shared" si="10"/>
        <v>5</v>
      </c>
      <c r="Q169" s="12" cm="1">
        <f t="array" ref="Q169">INDEX('Subject-ConceptMap'!U153:Y407,1+O169,P169)</f>
        <v>0</v>
      </c>
    </row>
    <row r="170" spans="14:17" x14ac:dyDescent="0.75">
      <c r="N170" s="11">
        <v>161</v>
      </c>
      <c r="O170" s="11">
        <f t="shared" si="9"/>
        <v>32</v>
      </c>
      <c r="P170" s="11">
        <f t="shared" si="10"/>
        <v>1</v>
      </c>
      <c r="Q170" s="12" cm="1">
        <f t="array" ref="Q170">INDEX('Subject-ConceptMap'!U154:Y408,1+O170,P170)</f>
        <v>0</v>
      </c>
    </row>
    <row r="171" spans="14:17" x14ac:dyDescent="0.75">
      <c r="N171" s="11">
        <v>162</v>
      </c>
      <c r="O171" s="11">
        <f t="shared" si="9"/>
        <v>32</v>
      </c>
      <c r="P171" s="11">
        <f t="shared" si="10"/>
        <v>2</v>
      </c>
      <c r="Q171" s="12" cm="1">
        <f t="array" ref="Q171">INDEX('Subject-ConceptMap'!U155:Y409,1+O171,P171)</f>
        <v>0</v>
      </c>
    </row>
    <row r="172" spans="14:17" x14ac:dyDescent="0.75">
      <c r="N172" s="11">
        <v>163</v>
      </c>
      <c r="O172" s="11">
        <f t="shared" si="9"/>
        <v>32</v>
      </c>
      <c r="P172" s="11">
        <f t="shared" si="10"/>
        <v>3</v>
      </c>
      <c r="Q172" s="12" cm="1">
        <f t="array" ref="Q172">INDEX('Subject-ConceptMap'!U156:Y410,1+O172,P172)</f>
        <v>0</v>
      </c>
    </row>
    <row r="173" spans="14:17" x14ac:dyDescent="0.75">
      <c r="N173" s="11">
        <v>164</v>
      </c>
      <c r="O173" s="11">
        <f t="shared" si="9"/>
        <v>32</v>
      </c>
      <c r="P173" s="11">
        <f t="shared" si="10"/>
        <v>4</v>
      </c>
      <c r="Q173" s="12" cm="1">
        <f t="array" ref="Q173">INDEX('Subject-ConceptMap'!U157:Y411,1+O173,P173)</f>
        <v>0</v>
      </c>
    </row>
    <row r="174" spans="14:17" x14ac:dyDescent="0.75">
      <c r="N174" s="11">
        <v>165</v>
      </c>
      <c r="O174" s="11">
        <f t="shared" si="9"/>
        <v>32</v>
      </c>
      <c r="P174" s="11">
        <f t="shared" si="10"/>
        <v>5</v>
      </c>
      <c r="Q174" s="12" cm="1">
        <f t="array" ref="Q174">INDEX('Subject-ConceptMap'!U158:Y412,1+O174,P174)</f>
        <v>0</v>
      </c>
    </row>
    <row r="175" spans="14:17" x14ac:dyDescent="0.75">
      <c r="N175" s="11">
        <v>166</v>
      </c>
      <c r="O175" s="11">
        <f t="shared" si="9"/>
        <v>33</v>
      </c>
      <c r="P175" s="11">
        <f t="shared" si="10"/>
        <v>1</v>
      </c>
      <c r="Q175" s="12" cm="1">
        <f t="array" ref="Q175">INDEX('Subject-ConceptMap'!U159:Y413,1+O175,P175)</f>
        <v>0</v>
      </c>
    </row>
    <row r="176" spans="14:17" x14ac:dyDescent="0.75">
      <c r="N176" s="11">
        <v>167</v>
      </c>
      <c r="O176" s="11">
        <f t="shared" si="9"/>
        <v>33</v>
      </c>
      <c r="P176" s="11">
        <f t="shared" si="10"/>
        <v>2</v>
      </c>
      <c r="Q176" s="12" cm="1">
        <f t="array" ref="Q176">INDEX('Subject-ConceptMap'!U160:Y414,1+O176,P176)</f>
        <v>0</v>
      </c>
    </row>
    <row r="177" spans="14:17" x14ac:dyDescent="0.75">
      <c r="N177" s="11">
        <v>168</v>
      </c>
      <c r="O177" s="11">
        <f t="shared" si="9"/>
        <v>33</v>
      </c>
      <c r="P177" s="11">
        <f t="shared" si="10"/>
        <v>3</v>
      </c>
      <c r="Q177" s="12" cm="1">
        <f t="array" ref="Q177">INDEX('Subject-ConceptMap'!U161:Y415,1+O177,P177)</f>
        <v>0</v>
      </c>
    </row>
    <row r="178" spans="14:17" x14ac:dyDescent="0.75">
      <c r="N178" s="11">
        <v>169</v>
      </c>
      <c r="O178" s="11">
        <f t="shared" si="9"/>
        <v>33</v>
      </c>
      <c r="P178" s="11">
        <f t="shared" si="10"/>
        <v>4</v>
      </c>
      <c r="Q178" s="12" cm="1">
        <f t="array" ref="Q178">INDEX('Subject-ConceptMap'!U162:Y416,1+O178,P178)</f>
        <v>0</v>
      </c>
    </row>
    <row r="179" spans="14:17" x14ac:dyDescent="0.75">
      <c r="N179" s="11">
        <v>170</v>
      </c>
      <c r="O179" s="11">
        <f t="shared" si="9"/>
        <v>33</v>
      </c>
      <c r="P179" s="11">
        <f t="shared" si="10"/>
        <v>5</v>
      </c>
      <c r="Q179" s="12" cm="1">
        <f t="array" ref="Q179">INDEX('Subject-ConceptMap'!U163:Y417,1+O179,P179)</f>
        <v>0</v>
      </c>
    </row>
    <row r="180" spans="14:17" x14ac:dyDescent="0.75">
      <c r="N180" s="11">
        <v>171</v>
      </c>
      <c r="O180" s="11">
        <f t="shared" si="9"/>
        <v>34</v>
      </c>
      <c r="P180" s="11">
        <f t="shared" si="10"/>
        <v>1</v>
      </c>
      <c r="Q180" s="12" cm="1">
        <f t="array" ref="Q180">INDEX('Subject-ConceptMap'!U164:Y418,1+O180,P180)</f>
        <v>0</v>
      </c>
    </row>
    <row r="181" spans="14:17" x14ac:dyDescent="0.75">
      <c r="N181" s="11">
        <v>172</v>
      </c>
      <c r="O181" s="11">
        <f t="shared" si="9"/>
        <v>34</v>
      </c>
      <c r="P181" s="11">
        <f t="shared" si="10"/>
        <v>2</v>
      </c>
      <c r="Q181" s="12" cm="1">
        <f t="array" ref="Q181">INDEX('Subject-ConceptMap'!U165:Y419,1+O181,P181)</f>
        <v>0</v>
      </c>
    </row>
    <row r="182" spans="14:17" x14ac:dyDescent="0.75">
      <c r="N182" s="11">
        <v>173</v>
      </c>
      <c r="O182" s="11">
        <f t="shared" si="9"/>
        <v>34</v>
      </c>
      <c r="P182" s="11">
        <f t="shared" si="10"/>
        <v>3</v>
      </c>
      <c r="Q182" s="12" cm="1">
        <f t="array" ref="Q182">INDEX('Subject-ConceptMap'!U166:Y420,1+O182,P182)</f>
        <v>0</v>
      </c>
    </row>
    <row r="183" spans="14:17" x14ac:dyDescent="0.75">
      <c r="N183" s="11">
        <v>174</v>
      </c>
      <c r="O183" s="11">
        <f t="shared" si="9"/>
        <v>34</v>
      </c>
      <c r="P183" s="11">
        <f t="shared" si="10"/>
        <v>4</v>
      </c>
      <c r="Q183" s="12" cm="1">
        <f t="array" ref="Q183">INDEX('Subject-ConceptMap'!U167:Y421,1+O183,P183)</f>
        <v>0</v>
      </c>
    </row>
    <row r="184" spans="14:17" x14ac:dyDescent="0.75">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IF('Subject-ConceptMap'!Q10=0,"//---END",'Subject-ConceptMap'!Q10)</f>
        <v>* group[=].element[+].code = #Subject</v>
      </c>
    </row>
    <row r="21" spans="2:7" x14ac:dyDescent="0.75">
      <c r="B21" s="12" t="str">
        <f>IF('Subject-ConceptMap'!Q11=0,"//---END",'Subject-ConceptMap'!Q11)</f>
        <v>* group[=].element[=].display = ##34#Subject of care##34#</v>
      </c>
    </row>
    <row r="22" spans="2:7" x14ac:dyDescent="0.75">
      <c r="B22" s="12" t="e">
        <f>IF('Subject-ConceptMap'!Q12=0,"//---END",'Subject-ConceptMap'!Q12)</f>
        <v>#REF!</v>
      </c>
    </row>
    <row r="23" spans="2:7" x14ac:dyDescent="0.75">
      <c r="B23" s="12" t="e">
        <f>IF('Subject-ConceptMap'!Q13=0,"//---END",'Subject-ConceptMap'!Q13)</f>
        <v>#REF!</v>
      </c>
    </row>
    <row r="24" spans="2:7" x14ac:dyDescent="0.75">
      <c r="B24" s="12" t="str">
        <f>IF('Subject-ConceptMap'!Q14=0,"//---END",'Subject-ConceptMap'!Q14)</f>
        <v>* group[=].element[=].target.equivalence = #equivalent</v>
      </c>
    </row>
    <row r="25" spans="2:7" x14ac:dyDescent="0.75">
      <c r="B25" s="12" t="str">
        <f>IF('Subject-ConceptMap'!Q15=0,"//---END",'Subject-ConceptMap'!Q15)</f>
        <v>* group[=].element[+].code = #Subject.dateOfBirth</v>
      </c>
      <c r="G25" s="7"/>
    </row>
    <row r="26" spans="2:7" x14ac:dyDescent="0.75">
      <c r="B26" s="12" t="str">
        <f>IF('Subject-ConceptMap'!Q16=0,"//---END",'Subject-ConceptMap'!Q16)</f>
        <v>* group[=].element[=].display = ##34#Date of birth##34#</v>
      </c>
    </row>
    <row r="27" spans="2:7" x14ac:dyDescent="0.75">
      <c r="B27" s="12" t="e">
        <f>IF('Subject-ConceptMap'!Q17=0,"//---END",'Subject-ConceptMap'!Q17)</f>
        <v>#REF!</v>
      </c>
    </row>
    <row r="28" spans="2:7" x14ac:dyDescent="0.75">
      <c r="B28" s="12" t="e">
        <f>IF('Subject-ConceptMap'!Q18=0,"//---END",'Subject-ConceptMap'!Q18)</f>
        <v>#REF!</v>
      </c>
    </row>
    <row r="29" spans="2:7" x14ac:dyDescent="0.75">
      <c r="B29" s="12" t="str">
        <f>IF('Subject-ConceptMap'!Q19=0,"//---END",'Subject-ConceptMap'!Q19)</f>
        <v>* group[=].element[=].target.equivalence = #relatedto</v>
      </c>
    </row>
    <row r="30" spans="2:7" x14ac:dyDescent="0.75">
      <c r="B30" s="12" t="str">
        <f>IF('Subject-ConceptMap'!Q20=0,"//---END",'Subject-ConceptMap'!Q20)</f>
        <v>* group[=].element[+].code = #Subject.dateOfBirth.date</v>
      </c>
    </row>
    <row r="31" spans="2:7" x14ac:dyDescent="0.75">
      <c r="B31" s="12" t="str">
        <f>IF('Subject-ConceptMap'!Q21=0,"//---END",'Subject-ConceptMap'!Q21)</f>
        <v>* group[=].element[=].display = ##34#Date of birth##34#</v>
      </c>
    </row>
    <row r="32" spans="2:7" x14ac:dyDescent="0.75">
      <c r="B32" s="12" t="e">
        <f>IF('Subject-ConceptMap'!Q22=0,"//---END",'Subject-ConceptMap'!Q22)</f>
        <v>#REF!</v>
      </c>
    </row>
    <row r="33" spans="2:2" x14ac:dyDescent="0.75">
      <c r="B33" s="12" t="e">
        <f>IF('Subject-ConceptMap'!Q23=0,"//---END",'Subject-ConceptMap'!Q23)</f>
        <v>#REF!</v>
      </c>
    </row>
    <row r="34" spans="2:2" x14ac:dyDescent="0.75">
      <c r="B34" s="12" t="str">
        <f>IF('Subject-ConceptMap'!Q24=0,"//---END",'Subject-ConceptMap'!Q24)</f>
        <v>* group[=].element[=].target.equivalence = #equivalent</v>
      </c>
    </row>
    <row r="35" spans="2:2" x14ac:dyDescent="0.75">
      <c r="B35" s="12" t="str">
        <f>IF('Subject-ConceptMap'!Q25=0,"//---END",'Subject-ConceptMap'!Q25)</f>
        <v>* group[=].element[+].code = #Subject.dateOfBirth.unknown</v>
      </c>
    </row>
    <row r="36" spans="2:2" x14ac:dyDescent="0.75">
      <c r="B36" s="12" t="str">
        <f>IF('Subject-ConceptMap'!Q26=0,"//---END",'Subject-ConceptMap'!Q26)</f>
        <v>* group[=].element[=].display = ##34#Date of birth day unknown##34#</v>
      </c>
    </row>
    <row r="37" spans="2:2" x14ac:dyDescent="0.75">
      <c r="B37" s="12" t="str">
        <f>IF('Subject-ConceptMap'!Q27=0,"//---END",'Subject-ConceptMap'!Q27)</f>
        <v>//-- unmatched</v>
      </c>
    </row>
    <row r="38" spans="2:2" x14ac:dyDescent="0.75">
      <c r="B38" s="12" t="str">
        <f>IF('Subject-ConceptMap'!Q28=0,"//---END",'Subject-ConceptMap'!Q28)</f>
        <v>//-- unmatched</v>
      </c>
    </row>
    <row r="39" spans="2:2" x14ac:dyDescent="0.75">
      <c r="B39" s="12" t="str">
        <f>IF('Subject-ConceptMap'!Q29=0,"//---END",'Subject-ConceptMap'!Q29)</f>
        <v>* group[=].element[=].target.equivalence = #unmatched</v>
      </c>
    </row>
    <row r="40" spans="2:2" x14ac:dyDescent="0.75">
      <c r="B40" s="12" t="str">
        <f>IF('Subject-ConceptMap'!Q30=0,"//---END",'Subject-ConceptMap'!Q30)</f>
        <v>* group[=].element[+].code = #Subject.maritalStatus</v>
      </c>
    </row>
    <row r="41" spans="2:2" x14ac:dyDescent="0.75">
      <c r="B41" s="12" t="str">
        <f>IF('Subject-ConceptMap'!Q31=0,"//---END",'Subject-ConceptMap'!Q31)</f>
        <v>* group[=].element[=].display = ##34#Marital status##34#</v>
      </c>
    </row>
    <row r="42" spans="2:2" x14ac:dyDescent="0.75">
      <c r="B42" s="12" t="str">
        <f>IF('Subject-ConceptMap'!Q32=0,"//---END",'Subject-ConceptMap'!Q32)</f>
        <v>//-- unmatched</v>
      </c>
    </row>
    <row r="43" spans="2:2" x14ac:dyDescent="0.75">
      <c r="B43" s="12" t="str">
        <f>IF('Subject-ConceptMap'!Q33=0,"//---END",'Subject-ConceptMap'!Q33)</f>
        <v>//-- unmatched</v>
      </c>
    </row>
    <row r="44" spans="2:2" x14ac:dyDescent="0.75">
      <c r="B44" s="12" t="str">
        <f>IF('Subject-ConceptMap'!Q34=0,"//---END",'Subject-ConceptMap'!Q34)</f>
        <v>* group[=].element[=].target.equivalence = #unmatched</v>
      </c>
    </row>
    <row r="45" spans="2:2" x14ac:dyDescent="0.75">
      <c r="B45" s="12" t="str">
        <f>IF('Subject-ConceptMap'!Q35=0,"//---END",'Subject-ConceptMap'!Q35)</f>
        <v>* group[=].element[+].code = #Subject.sexOrGender</v>
      </c>
    </row>
    <row r="46" spans="2:2" x14ac:dyDescent="0.75">
      <c r="B46" s="12" t="str">
        <f>IF('Subject-ConceptMap'!Q36=0,"//---END",'Subject-ConceptMap'!Q36)</f>
        <v>* group[=].element[=].display = ##34#Gender/Sex##34#</v>
      </c>
    </row>
    <row r="47" spans="2:2" x14ac:dyDescent="0.75">
      <c r="B47" s="12" t="e">
        <f>IF('Subject-ConceptMap'!Q37=0,"//---END",'Subject-ConceptMap'!Q37)</f>
        <v>#REF!</v>
      </c>
    </row>
    <row r="48" spans="2:2" x14ac:dyDescent="0.75">
      <c r="B48" s="12" t="e">
        <f>IF('Subject-ConceptMap'!Q38=0,"//---END",'Subject-ConceptMap'!Q38)</f>
        <v>#REF!</v>
      </c>
    </row>
    <row r="49" spans="2:2" x14ac:dyDescent="0.75">
      <c r="B49" s="12" t="str">
        <f>IF('Subject-ConceptMap'!Q39=0,"//---END",'Subject-ConceptMap'!Q39)</f>
        <v>* group[=].element[=].target.equivalence = #narrower</v>
      </c>
    </row>
    <row r="50" spans="2:2" x14ac:dyDescent="0.75">
      <c r="B50" s="12" t="str">
        <f>IF('Subject-ConceptMap'!Q40=0,"//---END",'Subject-ConceptMap'!Q40)</f>
        <v>* group[=].element[+].code = #Subject.race</v>
      </c>
    </row>
    <row r="51" spans="2:2" x14ac:dyDescent="0.75">
      <c r="B51" s="12" t="str">
        <f>IF('Subject-ConceptMap'!Q41=0,"//---END",'Subject-ConceptMap'!Q41)</f>
        <v>* group[=].element[=].display = ##34#Race##34#</v>
      </c>
    </row>
    <row r="52" spans="2:2" x14ac:dyDescent="0.75">
      <c r="B52" s="12" t="e">
        <f>IF('Subject-ConceptMap'!Q42=0,"//---END",'Subject-ConceptMap'!Q42)</f>
        <v>#REF!</v>
      </c>
    </row>
    <row r="53" spans="2:2" x14ac:dyDescent="0.75">
      <c r="B53" s="12" t="e">
        <f>IF('Subject-ConceptMap'!Q43=0,"//---END",'Subject-ConceptMap'!Q43)</f>
        <v>#REF!</v>
      </c>
    </row>
    <row r="54" spans="2:2" x14ac:dyDescent="0.75">
      <c r="B54" s="12" t="str">
        <f>IF('Subject-ConceptMap'!Q44=0,"//---END",'Subject-ConceptMap'!Q44)</f>
        <v>* group[=].element[=].target.equivalence = #wider</v>
      </c>
    </row>
    <row r="55" spans="2:2" x14ac:dyDescent="0.75">
      <c r="B55" s="12" t="str">
        <f>IF('Subject-ConceptMap'!Q45=0,"//---END",'Subject-ConceptMap'!Q45)</f>
        <v>* group[=].element[+].code = #Subject.countryOfResidence</v>
      </c>
    </row>
    <row r="56" spans="2:2" x14ac:dyDescent="0.75">
      <c r="B56" s="12" t="str">
        <f>IF('Subject-ConceptMap'!Q46=0,"//---END",'Subject-ConceptMap'!Q46)</f>
        <v>* group[=].element[=].display = ##34#Country of Residence ##34#</v>
      </c>
    </row>
    <row r="57" spans="2:2" x14ac:dyDescent="0.75">
      <c r="B57" s="12" t="str">
        <f>IF('Subject-ConceptMap'!Q47=0,"//---END",'Subject-ConceptMap'!Q47)</f>
        <v>//-- unmatched</v>
      </c>
    </row>
    <row r="58" spans="2:2" x14ac:dyDescent="0.75">
      <c r="B58" s="12" t="str">
        <f>IF('Subject-ConceptMap'!Q48=0,"//---END",'Subject-ConceptMap'!Q48)</f>
        <v>//-- unmatched</v>
      </c>
    </row>
    <row r="59" spans="2:2" x14ac:dyDescent="0.75">
      <c r="B59" s="12" t="str">
        <f>IF('Subject-ConceptMap'!Q49=0,"//---END",'Subject-ConceptMap'!Q49)</f>
        <v>* group[=].element[=].target.equivalence = #unmatched</v>
      </c>
    </row>
    <row r="60" spans="2:2" x14ac:dyDescent="0.75">
      <c r="B60" s="12" t="str">
        <f>IF('Subject-ConceptMap'!Q50=0,"//---END",'Subject-ConceptMap'!Q50)</f>
        <v>//---END</v>
      </c>
    </row>
    <row r="61" spans="2:2" x14ac:dyDescent="0.75">
      <c r="B61" s="12" t="str">
        <f>IF('Subject-ConceptMap'!Q51=0,"//---END",'Subject-ConceptMap'!Q51)</f>
        <v>//---END</v>
      </c>
    </row>
    <row r="62" spans="2:2" x14ac:dyDescent="0.75">
      <c r="B62" s="12" t="str">
        <f>IF('Subject-ConceptMap'!Q52=0,"//---END",'Subject-ConceptMap'!Q52)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177</v>
      </c>
      <c r="J4" s="17" t="str">
        <f>CONCATENATE("Logical: ",B4)</f>
        <v>Logical: StagingI4rc</v>
      </c>
    </row>
    <row r="5" spans="1:12" x14ac:dyDescent="0.75">
      <c r="A5" s="15" t="s">
        <v>17</v>
      </c>
      <c r="B5" s="32" t="s">
        <v>178</v>
      </c>
      <c r="J5" s="17" t="str">
        <f>CONCATENATE("Id: ",B5)</f>
        <v>Id: Staging</v>
      </c>
    </row>
    <row r="6" spans="1:12" x14ac:dyDescent="0.75">
      <c r="A6" s="15" t="s">
        <v>11</v>
      </c>
      <c r="B6" s="33" t="s">
        <v>178</v>
      </c>
      <c r="J6" s="18" t="str">
        <f>CONCATENATE("Title: ##34#",B6,"##34#")</f>
        <v>Title: ##34#Staging##34#</v>
      </c>
    </row>
    <row r="7" spans="1:12" ht="30.25" thickBot="1" x14ac:dyDescent="0.9">
      <c r="A7" s="27" t="s">
        <v>3</v>
      </c>
      <c r="B7" s="37" t="s">
        <v>179</v>
      </c>
      <c r="C7" s="9" t="s">
        <v>4</v>
      </c>
      <c r="D7" s="1" t="s">
        <v>5</v>
      </c>
      <c r="E7" s="3" t="s">
        <v>6</v>
      </c>
      <c r="F7" s="3" t="s">
        <v>7</v>
      </c>
      <c r="G7" s="3" t="s">
        <v>8</v>
      </c>
      <c r="H7" s="63" t="s">
        <v>169</v>
      </c>
      <c r="J7" s="18" t="str">
        <f>CONCATENATE("Description: "," ##334#",B7,"##334#",)</f>
        <v>Description:  ##334#Staging
Maturity Level: 0 Draft##334#</v>
      </c>
    </row>
    <row r="8" spans="1:12" ht="29.5" x14ac:dyDescent="0.75">
      <c r="A8" s="64">
        <v>0</v>
      </c>
      <c r="B8" s="65" t="s">
        <v>180</v>
      </c>
      <c r="C8" t="s">
        <v>181</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x14ac:dyDescent="0.75">
      <c r="A9" s="66"/>
      <c r="B9" s="62" t="s">
        <v>182</v>
      </c>
      <c r="C9" s="62" t="s">
        <v>183</v>
      </c>
      <c r="D9" s="67" t="s">
        <v>184</v>
      </c>
      <c r="E9" s="62">
        <v>0</v>
      </c>
      <c r="F9" s="62">
        <v>1</v>
      </c>
      <c r="G9" s="62" t="s">
        <v>2</v>
      </c>
      <c r="H9" s="62"/>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x14ac:dyDescent="0.75">
      <c r="A10" s="64">
        <v>1</v>
      </c>
      <c r="B10" s="62" t="s">
        <v>412</v>
      </c>
      <c r="C10" s="62" t="s">
        <v>27</v>
      </c>
      <c r="D10" s="2" t="s">
        <v>185</v>
      </c>
      <c r="E10">
        <v>0</v>
      </c>
      <c r="F10">
        <v>1</v>
      </c>
      <c r="G10" t="s">
        <v>46</v>
      </c>
      <c r="H10" t="s">
        <v>186</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x14ac:dyDescent="0.75">
      <c r="A11" s="64">
        <v>2</v>
      </c>
      <c r="B11" s="62" t="s">
        <v>187</v>
      </c>
      <c r="C11" t="s">
        <v>188</v>
      </c>
      <c r="D11" s="2" t="s">
        <v>189</v>
      </c>
      <c r="E11">
        <v>0</v>
      </c>
      <c r="F11">
        <v>1</v>
      </c>
      <c r="G11" t="s">
        <v>1</v>
      </c>
      <c r="H11" t="s">
        <v>190</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x14ac:dyDescent="0.75">
      <c r="A12" s="64">
        <v>3</v>
      </c>
      <c r="B12" s="62" t="s">
        <v>191</v>
      </c>
      <c r="C12" t="s">
        <v>192</v>
      </c>
      <c r="D12" s="2" t="s">
        <v>193</v>
      </c>
      <c r="E12">
        <v>0</v>
      </c>
      <c r="F12">
        <v>1</v>
      </c>
      <c r="G12" t="s">
        <v>1</v>
      </c>
      <c r="H12" t="s">
        <v>190</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x14ac:dyDescent="0.75">
      <c r="A13" s="64">
        <v>4</v>
      </c>
      <c r="B13" s="62" t="s">
        <v>194</v>
      </c>
      <c r="C13" t="s">
        <v>195</v>
      </c>
      <c r="D13" s="2" t="s">
        <v>196</v>
      </c>
      <c r="E13">
        <v>0</v>
      </c>
      <c r="F13">
        <v>1</v>
      </c>
      <c r="G13" t="s">
        <v>1</v>
      </c>
      <c r="H13" t="s">
        <v>186</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x14ac:dyDescent="0.75">
      <c r="A14" s="64">
        <v>5</v>
      </c>
      <c r="B14" s="62" t="s">
        <v>197</v>
      </c>
      <c r="C14" t="s">
        <v>198</v>
      </c>
      <c r="D14" s="2" t="s">
        <v>199</v>
      </c>
      <c r="E14">
        <v>0</v>
      </c>
      <c r="F14">
        <v>1</v>
      </c>
      <c r="G14" t="s">
        <v>1</v>
      </c>
      <c r="H14" t="s">
        <v>186</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x14ac:dyDescent="0.75">
      <c r="A15" s="64">
        <v>6</v>
      </c>
      <c r="B15" s="62" t="s">
        <v>200</v>
      </c>
      <c r="C15" t="s">
        <v>201</v>
      </c>
      <c r="D15" s="2" t="s">
        <v>202</v>
      </c>
      <c r="E15">
        <v>0</v>
      </c>
      <c r="F15">
        <v>1</v>
      </c>
      <c r="G15" t="s">
        <v>1</v>
      </c>
      <c r="H15" t="s">
        <v>186</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x14ac:dyDescent="0.75">
      <c r="A16" s="64">
        <v>7</v>
      </c>
      <c r="B16" s="62" t="s">
        <v>203</v>
      </c>
      <c r="C16" t="s">
        <v>204</v>
      </c>
      <c r="D16" s="2" t="s">
        <v>205</v>
      </c>
      <c r="E16">
        <v>0</v>
      </c>
      <c r="F16">
        <v>1</v>
      </c>
      <c r="G16" t="s">
        <v>1</v>
      </c>
      <c r="H16" t="s">
        <v>186</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x14ac:dyDescent="0.75">
      <c r="A17" s="64">
        <v>8</v>
      </c>
      <c r="B17" s="62" t="s">
        <v>206</v>
      </c>
      <c r="C17" t="s">
        <v>207</v>
      </c>
      <c r="D17" s="2" t="s">
        <v>208</v>
      </c>
      <c r="E17">
        <v>0</v>
      </c>
      <c r="F17">
        <v>1</v>
      </c>
      <c r="G17" t="s">
        <v>1</v>
      </c>
      <c r="H17" t="s">
        <v>186</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x14ac:dyDescent="0.75">
      <c r="A18" s="64">
        <v>9</v>
      </c>
      <c r="B18" s="62" t="s">
        <v>209</v>
      </c>
      <c r="C18" t="s">
        <v>210</v>
      </c>
      <c r="D18" s="2" t="s">
        <v>211</v>
      </c>
      <c r="E18">
        <v>0</v>
      </c>
      <c r="F18">
        <v>1</v>
      </c>
      <c r="G18" t="s">
        <v>1</v>
      </c>
      <c r="H18" t="s">
        <v>186</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x14ac:dyDescent="0.75">
      <c r="A19" s="64">
        <v>10</v>
      </c>
      <c r="B19" s="62" t="s">
        <v>212</v>
      </c>
      <c r="C19" t="s">
        <v>213</v>
      </c>
      <c r="D19" s="2" t="s">
        <v>214</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x14ac:dyDescent="0.75">
      <c r="A20" s="64"/>
      <c r="B20" s="62" t="s">
        <v>215</v>
      </c>
      <c r="C20" s="62" t="s">
        <v>216</v>
      </c>
      <c r="D20" s="67" t="s">
        <v>217</v>
      </c>
      <c r="E20" s="62">
        <v>0</v>
      </c>
      <c r="F20" s="62">
        <v>1</v>
      </c>
      <c r="G20" s="62" t="s">
        <v>2</v>
      </c>
      <c r="H20" s="62"/>
      <c r="J20" s="12" t="str">
        <f t="shared" si="0"/>
        <v>* imagingforneckPerformed 0..1 BackboneElement ##34#Imaging for neck##34# ##334#Imaging study for the neck##334#</v>
      </c>
      <c r="L20" s="12" t="str">
        <f t="shared" si="1"/>
        <v/>
      </c>
    </row>
    <row r="21" spans="1:13" ht="29.5" x14ac:dyDescent="0.75">
      <c r="A21" s="64">
        <v>11</v>
      </c>
      <c r="B21" s="62" t="s">
        <v>218</v>
      </c>
      <c r="C21" t="s">
        <v>216</v>
      </c>
      <c r="D21" s="2" t="s">
        <v>219</v>
      </c>
      <c r="E21">
        <v>0</v>
      </c>
      <c r="F21">
        <v>1</v>
      </c>
      <c r="G21" t="s">
        <v>1</v>
      </c>
      <c r="H21" t="s">
        <v>186</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x14ac:dyDescent="0.75">
      <c r="A22" s="64">
        <v>12</v>
      </c>
      <c r="B22" s="62" t="s">
        <v>220</v>
      </c>
      <c r="C22" t="s">
        <v>188</v>
      </c>
      <c r="D22" s="2" t="s">
        <v>221</v>
      </c>
      <c r="E22">
        <v>0</v>
      </c>
      <c r="F22">
        <v>1</v>
      </c>
      <c r="G22" t="s">
        <v>1</v>
      </c>
      <c r="H22" t="s">
        <v>186</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x14ac:dyDescent="0.75">
      <c r="A23" s="64">
        <v>13</v>
      </c>
      <c r="B23" s="62" t="s">
        <v>222</v>
      </c>
      <c r="C23" t="s">
        <v>192</v>
      </c>
      <c r="D23" s="2" t="s">
        <v>223</v>
      </c>
      <c r="E23">
        <v>0</v>
      </c>
      <c r="F23">
        <v>1</v>
      </c>
      <c r="G23" t="s">
        <v>1</v>
      </c>
      <c r="H23" t="s">
        <v>186</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x14ac:dyDescent="0.75">
      <c r="A24" s="64">
        <v>14</v>
      </c>
      <c r="B24" s="62" t="s">
        <v>224</v>
      </c>
      <c r="C24" t="s">
        <v>195</v>
      </c>
      <c r="D24" s="2" t="s">
        <v>225</v>
      </c>
      <c r="E24">
        <v>0</v>
      </c>
      <c r="F24">
        <v>1</v>
      </c>
      <c r="G24" t="s">
        <v>1</v>
      </c>
      <c r="H24" t="s">
        <v>186</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x14ac:dyDescent="0.75">
      <c r="A25" s="64">
        <v>15</v>
      </c>
      <c r="B25" s="62" t="s">
        <v>226</v>
      </c>
      <c r="C25" t="s">
        <v>198</v>
      </c>
      <c r="D25" s="2" t="s">
        <v>227</v>
      </c>
      <c r="E25">
        <v>0</v>
      </c>
      <c r="F25">
        <v>1</v>
      </c>
      <c r="G25" t="s">
        <v>1</v>
      </c>
      <c r="H25" t="s">
        <v>186</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x14ac:dyDescent="0.75">
      <c r="A26" s="64">
        <v>16</v>
      </c>
      <c r="B26" s="62" t="s">
        <v>228</v>
      </c>
      <c r="C26" t="s">
        <v>201</v>
      </c>
      <c r="D26" s="2" t="s">
        <v>229</v>
      </c>
      <c r="E26">
        <v>0</v>
      </c>
      <c r="F26">
        <v>1</v>
      </c>
      <c r="G26" t="s">
        <v>1</v>
      </c>
      <c r="H26" t="s">
        <v>186</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x14ac:dyDescent="0.75">
      <c r="A27" s="64">
        <v>17</v>
      </c>
      <c r="B27" s="62" t="s">
        <v>230</v>
      </c>
      <c r="C27" t="s">
        <v>207</v>
      </c>
      <c r="D27" s="2" t="s">
        <v>231</v>
      </c>
      <c r="E27">
        <v>0</v>
      </c>
      <c r="F27">
        <v>1</v>
      </c>
      <c r="G27" t="s">
        <v>1</v>
      </c>
      <c r="H27" t="s">
        <v>186</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x14ac:dyDescent="0.75">
      <c r="A28" s="64">
        <v>18</v>
      </c>
      <c r="B28" s="62" t="s">
        <v>232</v>
      </c>
      <c r="C28" t="s">
        <v>210</v>
      </c>
      <c r="D28" s="2" t="s">
        <v>233</v>
      </c>
      <c r="E28">
        <v>0</v>
      </c>
      <c r="F28">
        <v>1</v>
      </c>
      <c r="G28" t="s">
        <v>1</v>
      </c>
      <c r="H28" t="s">
        <v>186</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x14ac:dyDescent="0.75">
      <c r="A29" s="64">
        <v>19</v>
      </c>
      <c r="B29" s="62" t="s">
        <v>234</v>
      </c>
      <c r="C29" t="s">
        <v>235</v>
      </c>
      <c r="D29" s="2" t="s">
        <v>236</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x14ac:dyDescent="0.75">
      <c r="A30" s="64"/>
      <c r="B30" s="62" t="s">
        <v>237</v>
      </c>
      <c r="C30" s="62" t="s">
        <v>238</v>
      </c>
      <c r="D30" s="67" t="s">
        <v>239</v>
      </c>
      <c r="E30" s="62">
        <v>0</v>
      </c>
      <c r="F30" s="62">
        <v>1</v>
      </c>
      <c r="G30" s="62" t="s">
        <v>2</v>
      </c>
      <c r="H30"/>
      <c r="J30" s="12" t="str">
        <f t="shared" si="0"/>
        <v>* imagingformetastasisPerformed 0..1 BackboneElement ##34#Imaging for metastasis ##34# ##334#Imaging study for metastasis##334#</v>
      </c>
      <c r="L30" s="12" t="str">
        <f t="shared" si="1"/>
        <v/>
      </c>
    </row>
    <row r="31" spans="1:13" ht="59" x14ac:dyDescent="0.75">
      <c r="A31" s="64">
        <v>20</v>
      </c>
      <c r="B31" s="62" t="s">
        <v>240</v>
      </c>
      <c r="C31" t="s">
        <v>238</v>
      </c>
      <c r="D31" s="2" t="s">
        <v>241</v>
      </c>
      <c r="E31">
        <v>0</v>
      </c>
      <c r="F31">
        <v>1</v>
      </c>
      <c r="G31" t="s">
        <v>1</v>
      </c>
      <c r="H31" t="s">
        <v>186</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x14ac:dyDescent="0.75">
      <c r="A32" s="64">
        <v>21</v>
      </c>
      <c r="B32" s="62" t="s">
        <v>242</v>
      </c>
      <c r="C32" t="s">
        <v>188</v>
      </c>
      <c r="D32" s="2" t="s">
        <v>243</v>
      </c>
      <c r="E32">
        <v>0</v>
      </c>
      <c r="F32">
        <v>1</v>
      </c>
      <c r="G32" t="s">
        <v>1</v>
      </c>
      <c r="H32" t="s">
        <v>186</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x14ac:dyDescent="0.75">
      <c r="A33" s="64">
        <v>22</v>
      </c>
      <c r="B33" s="62" t="s">
        <v>244</v>
      </c>
      <c r="C33" t="s">
        <v>192</v>
      </c>
      <c r="D33" s="2" t="s">
        <v>245</v>
      </c>
      <c r="E33">
        <v>0</v>
      </c>
      <c r="F33">
        <v>1</v>
      </c>
      <c r="G33" t="s">
        <v>1</v>
      </c>
      <c r="H33" t="s">
        <v>186</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x14ac:dyDescent="0.75">
      <c r="A34" s="64">
        <v>23</v>
      </c>
      <c r="B34" s="62" t="s">
        <v>246</v>
      </c>
      <c r="C34" t="s">
        <v>195</v>
      </c>
      <c r="D34" s="2" t="s">
        <v>247</v>
      </c>
      <c r="E34">
        <v>0</v>
      </c>
      <c r="F34">
        <v>1</v>
      </c>
      <c r="G34" t="s">
        <v>1</v>
      </c>
      <c r="H34" t="s">
        <v>186</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x14ac:dyDescent="0.75">
      <c r="A35" s="64">
        <v>24</v>
      </c>
      <c r="B35" s="62" t="s">
        <v>248</v>
      </c>
      <c r="C35" t="s">
        <v>198</v>
      </c>
      <c r="D35" s="2" t="s">
        <v>249</v>
      </c>
      <c r="E35">
        <v>0</v>
      </c>
      <c r="F35">
        <v>1</v>
      </c>
      <c r="G35" t="s">
        <v>1</v>
      </c>
      <c r="H35" t="s">
        <v>186</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x14ac:dyDescent="0.75">
      <c r="A36" s="64">
        <v>25</v>
      </c>
      <c r="B36" s="62" t="s">
        <v>250</v>
      </c>
      <c r="C36" t="s">
        <v>201</v>
      </c>
      <c r="D36" s="2" t="s">
        <v>251</v>
      </c>
      <c r="E36">
        <v>0</v>
      </c>
      <c r="F36">
        <v>1</v>
      </c>
      <c r="G36" t="s">
        <v>1</v>
      </c>
      <c r="H36" t="s">
        <v>186</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x14ac:dyDescent="0.75">
      <c r="A37" s="64">
        <v>26</v>
      </c>
      <c r="B37" s="62" t="s">
        <v>252</v>
      </c>
      <c r="C37" t="s">
        <v>207</v>
      </c>
      <c r="D37" s="2" t="s">
        <v>231</v>
      </c>
      <c r="E37">
        <v>0</v>
      </c>
      <c r="F37">
        <v>1</v>
      </c>
      <c r="G37" t="s">
        <v>1</v>
      </c>
      <c r="H37" t="s">
        <v>186</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x14ac:dyDescent="0.75">
      <c r="A38" s="64">
        <v>27</v>
      </c>
      <c r="B38" s="62" t="s">
        <v>253</v>
      </c>
      <c r="C38" t="s">
        <v>210</v>
      </c>
      <c r="D38" s="2" t="s">
        <v>254</v>
      </c>
      <c r="E38">
        <v>0</v>
      </c>
      <c r="F38">
        <v>1</v>
      </c>
      <c r="G38" t="s">
        <v>1</v>
      </c>
      <c r="H38" t="s">
        <v>186</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x14ac:dyDescent="0.75">
      <c r="A39" s="64">
        <v>28</v>
      </c>
      <c r="B39" s="62" t="s">
        <v>255</v>
      </c>
      <c r="C39" t="s">
        <v>256</v>
      </c>
      <c r="D39" s="2" t="s">
        <v>257</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x14ac:dyDescent="0.75">
      <c r="A40" s="64">
        <v>29</v>
      </c>
      <c r="B40" s="65" t="s">
        <v>258</v>
      </c>
      <c r="C40" t="s">
        <v>259</v>
      </c>
      <c r="D40" s="2"/>
      <c r="E40">
        <v>0</v>
      </c>
      <c r="F40">
        <v>1</v>
      </c>
      <c r="G40" t="s">
        <v>2</v>
      </c>
      <c r="H40"/>
      <c r="J40" s="12" t="str">
        <f t="shared" si="0"/>
        <v>* clinicalStage 0..1 BackboneElement ##34#Clinical  stage##34# ##334###334#</v>
      </c>
      <c r="L40" s="12" t="str">
        <f t="shared" si="1"/>
        <v/>
      </c>
    </row>
    <row r="41" spans="1:12" ht="29.5" x14ac:dyDescent="0.75">
      <c r="A41" s="64">
        <v>30</v>
      </c>
      <c r="B41" s="62" t="s">
        <v>260</v>
      </c>
      <c r="C41" t="s">
        <v>261</v>
      </c>
      <c r="D41" s="2" t="s">
        <v>262</v>
      </c>
      <c r="E41">
        <v>0</v>
      </c>
      <c r="F41">
        <v>1</v>
      </c>
      <c r="G41" t="s">
        <v>1</v>
      </c>
      <c r="H41" t="s">
        <v>263</v>
      </c>
      <c r="J41" s="12" t="str">
        <f t="shared" si="0"/>
        <v>* clinicalStage.ct 0..1 string ##34#cT##34# ##334#Specifies the clinical T##334#</v>
      </c>
      <c r="L41" s="12" t="str">
        <f t="shared" si="1"/>
        <v>* clinicalStage.ct ^comment = ##334#A string value for the clinical T Unknown if empty##334#</v>
      </c>
    </row>
    <row r="42" spans="1:12" ht="29.5" x14ac:dyDescent="0.75">
      <c r="A42" s="64">
        <v>31</v>
      </c>
      <c r="B42" s="62" t="s">
        <v>264</v>
      </c>
      <c r="C42" t="s">
        <v>265</v>
      </c>
      <c r="D42" s="2" t="s">
        <v>266</v>
      </c>
      <c r="E42">
        <v>0</v>
      </c>
      <c r="F42">
        <v>1</v>
      </c>
      <c r="G42" t="s">
        <v>1</v>
      </c>
      <c r="H42" t="s">
        <v>267</v>
      </c>
      <c r="J42" s="12" t="str">
        <f t="shared" si="0"/>
        <v>* clinicalStage.cn 0..1 string ##34#cN##34# ##334#Specifies the clinical N##334#</v>
      </c>
      <c r="L42" s="12" t="str">
        <f t="shared" si="1"/>
        <v>* clinicalStage.cn ^comment = ##334#A string value for the clinical N Unknown if empty##334#</v>
      </c>
    </row>
    <row r="43" spans="1:12" ht="59" x14ac:dyDescent="0.75">
      <c r="A43" s="64">
        <v>32</v>
      </c>
      <c r="B43" s="62" t="s">
        <v>268</v>
      </c>
      <c r="C43" t="s">
        <v>269</v>
      </c>
      <c r="D43" s="2" t="s">
        <v>270</v>
      </c>
      <c r="E43">
        <v>0</v>
      </c>
      <c r="F43">
        <v>1</v>
      </c>
      <c r="G43" t="s">
        <v>1</v>
      </c>
      <c r="H43" t="s">
        <v>271</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x14ac:dyDescent="0.75">
      <c r="A44" s="64">
        <v>33</v>
      </c>
      <c r="B44" s="62" t="s">
        <v>272</v>
      </c>
      <c r="C44" t="s">
        <v>273</v>
      </c>
      <c r="D44" s="2" t="s">
        <v>274</v>
      </c>
      <c r="E44">
        <v>0</v>
      </c>
      <c r="F44">
        <v>1</v>
      </c>
      <c r="G44" t="s">
        <v>1</v>
      </c>
      <c r="H44" t="s">
        <v>275</v>
      </c>
      <c r="J44" s="12" t="str">
        <f t="shared" si="0"/>
        <v>* clinicalStage.cm 0..1 string ##34#cM##34# ##334#Specifies the clinical M##334#</v>
      </c>
      <c r="L44" s="12" t="str">
        <f t="shared" si="1"/>
        <v>* clinicalStage.cm ^comment = ##334#A string value for the clinical M Unknown if empty##334#</v>
      </c>
    </row>
    <row r="45" spans="1:12" ht="29.5" x14ac:dyDescent="0.75">
      <c r="A45" s="64">
        <v>34</v>
      </c>
      <c r="B45" s="62" t="s">
        <v>276</v>
      </c>
      <c r="C45" t="s">
        <v>277</v>
      </c>
      <c r="D45" s="2" t="s">
        <v>278</v>
      </c>
      <c r="E45">
        <v>0</v>
      </c>
      <c r="F45">
        <v>1</v>
      </c>
      <c r="G45" t="s">
        <v>1</v>
      </c>
      <c r="H45" t="s">
        <v>279</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x14ac:dyDescent="0.75">
      <c r="A46" s="64">
        <v>35</v>
      </c>
      <c r="B46" s="62" t="s">
        <v>280</v>
      </c>
      <c r="C46" t="s">
        <v>281</v>
      </c>
      <c r="D46" s="2" t="s">
        <v>282</v>
      </c>
      <c r="E46">
        <v>0</v>
      </c>
      <c r="F46">
        <v>1</v>
      </c>
      <c r="G46" t="s">
        <v>1</v>
      </c>
      <c r="H46" t="s">
        <v>283</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x14ac:dyDescent="0.75">
      <c r="A47" s="64">
        <v>36</v>
      </c>
      <c r="B47" s="68" t="s">
        <v>284</v>
      </c>
      <c r="C47" s="68" t="s">
        <v>285</v>
      </c>
      <c r="D47" s="69" t="s">
        <v>286</v>
      </c>
      <c r="E47" s="68">
        <v>0</v>
      </c>
      <c r="F47" s="68">
        <v>1</v>
      </c>
      <c r="G47" s="68" t="s">
        <v>1</v>
      </c>
      <c r="H47" s="68"/>
      <c r="J47" s="12" t="str">
        <f t="shared" si="0"/>
        <v>* clinicalStage.nan 0..1 string ##34#M site##34# ##334#Describes site of metastasic disease at the time of initial diagnosis or assesed before treatment More than one choice is allowed##334#</v>
      </c>
      <c r="L47" s="12" t="str">
        <f t="shared" si="1"/>
        <v/>
      </c>
    </row>
    <row r="48" spans="1:12" ht="29.5" x14ac:dyDescent="0.75">
      <c r="A48" s="66"/>
      <c r="B48" s="62" t="s">
        <v>287</v>
      </c>
      <c r="C48" s="62" t="s">
        <v>288</v>
      </c>
      <c r="D48" s="62" t="s">
        <v>288</v>
      </c>
      <c r="E48" s="62">
        <v>0</v>
      </c>
      <c r="F48" s="62" t="s">
        <v>9</v>
      </c>
      <c r="G48" s="62" t="s">
        <v>2</v>
      </c>
      <c r="H48"/>
      <c r="J48" s="12" t="str">
        <f t="shared" si="0"/>
        <v>* metastasisSite 0..* BackboneElement ##34#Site of Metastasis##34# ##334#Site of Metastasis##334#</v>
      </c>
      <c r="L48" s="12" t="str">
        <f t="shared" si="1"/>
        <v/>
      </c>
    </row>
    <row r="49" spans="1:12" ht="29.5" x14ac:dyDescent="0.75">
      <c r="A49" s="64">
        <v>37</v>
      </c>
      <c r="B49" s="62" t="s">
        <v>289</v>
      </c>
      <c r="C49" t="s">
        <v>290</v>
      </c>
      <c r="D49" s="2" t="s">
        <v>291</v>
      </c>
      <c r="E49">
        <v>0</v>
      </c>
      <c r="F49">
        <v>1</v>
      </c>
      <c r="G49" t="s">
        <v>1</v>
      </c>
      <c r="H49"/>
      <c r="J49" s="12" t="str">
        <f t="shared" si="0"/>
        <v>* metastasisSite.softTissue 0..1 string ##34#Soft tissue##34# ##334#Describes if site of metastasic disease  is soft tissue##334#</v>
      </c>
      <c r="L49" s="12" t="str">
        <f t="shared" si="1"/>
        <v/>
      </c>
    </row>
    <row r="50" spans="1:12" ht="29.5" x14ac:dyDescent="0.75">
      <c r="A50" s="64">
        <v>38</v>
      </c>
      <c r="B50" s="62" t="s">
        <v>292</v>
      </c>
      <c r="C50" t="s">
        <v>293</v>
      </c>
      <c r="D50" s="2" t="s">
        <v>294</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x14ac:dyDescent="0.75">
      <c r="A51" s="64">
        <v>39</v>
      </c>
      <c r="B51" s="62" t="s">
        <v>295</v>
      </c>
      <c r="C51" t="s">
        <v>296</v>
      </c>
      <c r="D51" s="2" t="s">
        <v>297</v>
      </c>
      <c r="E51">
        <v>0</v>
      </c>
      <c r="F51">
        <v>1</v>
      </c>
      <c r="G51" s="62" t="s">
        <v>1</v>
      </c>
      <c r="H51"/>
      <c r="J51" s="12" t="str">
        <f t="shared" si="0"/>
        <v>* metastasisSite.lung 0..1 string ##34#lung##34# ##334#Describes if site of metastasic disease  is lung##334#</v>
      </c>
      <c r="L51" s="12" t="str">
        <f t="shared" si="1"/>
        <v/>
      </c>
    </row>
    <row r="52" spans="1:12" ht="29.5" x14ac:dyDescent="0.75">
      <c r="A52" s="64">
        <v>40</v>
      </c>
      <c r="B52" s="62" t="s">
        <v>298</v>
      </c>
      <c r="C52" t="s">
        <v>299</v>
      </c>
      <c r="D52" s="2" t="s">
        <v>300</v>
      </c>
      <c r="E52">
        <v>0</v>
      </c>
      <c r="F52">
        <v>1</v>
      </c>
      <c r="G52" s="62" t="s">
        <v>1</v>
      </c>
      <c r="H52"/>
      <c r="J52" s="12" t="str">
        <f t="shared" si="0"/>
        <v>* metastasisSite.bone 0..1 string ##34#bone##34# ##334#Describes if site of metastasic disease  is bone##334#</v>
      </c>
      <c r="L52" s="12" t="str">
        <f t="shared" si="1"/>
        <v/>
      </c>
    </row>
    <row r="53" spans="1:12" ht="29.5" x14ac:dyDescent="0.75">
      <c r="A53" s="64">
        <v>41</v>
      </c>
      <c r="B53" s="62" t="s">
        <v>301</v>
      </c>
      <c r="C53" t="s">
        <v>302</v>
      </c>
      <c r="D53" s="2" t="s">
        <v>303</v>
      </c>
      <c r="E53">
        <v>0</v>
      </c>
      <c r="F53">
        <v>1</v>
      </c>
      <c r="G53" s="62" t="s">
        <v>1</v>
      </c>
      <c r="H53"/>
      <c r="J53" s="12" t="str">
        <f t="shared" si="0"/>
        <v>* metastasisSite.liver 0..1 string ##34#liver##34# ##334#Describes if site of metastasic disease  is liver##334#</v>
      </c>
      <c r="L53" s="12" t="str">
        <f t="shared" si="1"/>
        <v/>
      </c>
    </row>
    <row r="54" spans="1:12" ht="29.5" x14ac:dyDescent="0.75">
      <c r="A54" s="64">
        <v>42</v>
      </c>
      <c r="B54" s="62" t="s">
        <v>304</v>
      </c>
      <c r="C54" t="s">
        <v>305</v>
      </c>
      <c r="D54" s="2" t="s">
        <v>306</v>
      </c>
      <c r="E54">
        <v>0</v>
      </c>
      <c r="F54">
        <v>1</v>
      </c>
      <c r="G54" s="62" t="s">
        <v>1</v>
      </c>
      <c r="H54"/>
      <c r="J54" s="12" t="str">
        <f t="shared" si="0"/>
        <v>* metastasisSite.pleura 0..1 string ##34#pleura##34# ##334#Describes if site of metastasic disease  is pleura##334#</v>
      </c>
      <c r="L54" s="12" t="str">
        <f t="shared" si="1"/>
        <v/>
      </c>
    </row>
    <row r="55" spans="1:12" ht="29.5" x14ac:dyDescent="0.75">
      <c r="A55" s="64">
        <v>43</v>
      </c>
      <c r="B55" s="62" t="s">
        <v>307</v>
      </c>
      <c r="C55" t="s">
        <v>308</v>
      </c>
      <c r="D55" s="2" t="s">
        <v>309</v>
      </c>
      <c r="E55">
        <v>0</v>
      </c>
      <c r="F55">
        <v>1</v>
      </c>
      <c r="G55" s="62" t="s">
        <v>1</v>
      </c>
      <c r="H55"/>
      <c r="J55" s="12" t="str">
        <f t="shared" si="0"/>
        <v>* metastasisSite.peritoneum 0..1 string ##34#peritoneum##34# ##334#Describes if site of metastasic disease  is peritoneum##334#</v>
      </c>
      <c r="L55" s="12" t="str">
        <f t="shared" si="1"/>
        <v/>
      </c>
    </row>
    <row r="56" spans="1:12" ht="29.5" x14ac:dyDescent="0.75">
      <c r="A56" s="64">
        <v>44</v>
      </c>
      <c r="B56" s="62" t="s">
        <v>310</v>
      </c>
      <c r="C56" t="s">
        <v>311</v>
      </c>
      <c r="D56" s="2" t="s">
        <v>312</v>
      </c>
      <c r="E56">
        <v>0</v>
      </c>
      <c r="F56">
        <v>1</v>
      </c>
      <c r="G56" s="62" t="s">
        <v>1</v>
      </c>
      <c r="H56"/>
      <c r="J56" s="12" t="str">
        <f t="shared" si="0"/>
        <v>* metastasisSite.brain 0..1 string ##34#brain##34# ##334#Describes if site of metastasic disease  is brain##334#</v>
      </c>
      <c r="L56" s="12" t="str">
        <f t="shared" si="1"/>
        <v/>
      </c>
    </row>
    <row r="57" spans="1:12" ht="29.5" x14ac:dyDescent="0.75">
      <c r="A57" s="64">
        <v>45</v>
      </c>
      <c r="B57" s="62" t="s">
        <v>313</v>
      </c>
      <c r="C57" t="s">
        <v>314</v>
      </c>
      <c r="D57" s="2" t="s">
        <v>315</v>
      </c>
      <c r="E57">
        <v>0</v>
      </c>
      <c r="F57">
        <v>1</v>
      </c>
      <c r="G57" s="62" t="s">
        <v>1</v>
      </c>
      <c r="H57"/>
      <c r="J57" s="12" t="str">
        <f t="shared" si="0"/>
        <v>* metastasisSite.otherViscera 0..1 string ##34#other viscera##34# ##334#Describes if site of metastasic disease  is other viscera##334#</v>
      </c>
      <c r="L57" s="12" t="str">
        <f t="shared" si="1"/>
        <v/>
      </c>
    </row>
    <row r="58" spans="1:12" ht="29.5" x14ac:dyDescent="0.75">
      <c r="A58" s="64">
        <v>46</v>
      </c>
      <c r="B58" s="62" t="s">
        <v>316</v>
      </c>
      <c r="C58" t="s">
        <v>317</v>
      </c>
      <c r="D58" s="2" t="s">
        <v>318</v>
      </c>
      <c r="E58">
        <v>0</v>
      </c>
      <c r="F58">
        <v>1</v>
      </c>
      <c r="G58" s="62" t="s">
        <v>1</v>
      </c>
      <c r="H58"/>
      <c r="J58" s="12" t="str">
        <f t="shared" si="0"/>
        <v>* metastasisSite.unknown 0..1 string ##34#unknown##34# ##334#Describes if site of metastasic disease  is unknown##334#</v>
      </c>
      <c r="L58" s="12" t="str">
        <f t="shared" si="1"/>
        <v/>
      </c>
    </row>
    <row r="59" spans="1:12" ht="44.25" x14ac:dyDescent="0.75">
      <c r="A59" s="64">
        <v>47</v>
      </c>
      <c r="B59" s="65" t="s">
        <v>319</v>
      </c>
      <c r="C59" t="s">
        <v>320</v>
      </c>
      <c r="D59" s="2" t="s">
        <v>321</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x14ac:dyDescent="0.75">
      <c r="A60" s="64">
        <v>48</v>
      </c>
      <c r="B60" s="65" t="s">
        <v>322</v>
      </c>
      <c r="C60" t="s">
        <v>323</v>
      </c>
      <c r="D60" s="62" t="s">
        <v>323</v>
      </c>
      <c r="E60">
        <v>0</v>
      </c>
      <c r="F60">
        <v>1</v>
      </c>
      <c r="G60" t="s">
        <v>2</v>
      </c>
      <c r="H60"/>
      <c r="J60" s="12" t="str">
        <f t="shared" si="0"/>
        <v>* pathologicalStage 0..1 BackboneElement ##34#Pathological stage##34# ##334#Pathological stage##334#</v>
      </c>
      <c r="L60" s="12" t="str">
        <f t="shared" si="1"/>
        <v/>
      </c>
    </row>
    <row r="61" spans="1:12" ht="29.5" x14ac:dyDescent="0.75">
      <c r="A61" s="64">
        <v>49</v>
      </c>
      <c r="B61" s="62" t="s">
        <v>324</v>
      </c>
      <c r="C61" t="s">
        <v>325</v>
      </c>
      <c r="D61" s="2" t="s">
        <v>326</v>
      </c>
      <c r="E61">
        <v>0</v>
      </c>
      <c r="F61">
        <v>1</v>
      </c>
      <c r="G61" t="s">
        <v>1</v>
      </c>
      <c r="H61" t="s">
        <v>327</v>
      </c>
      <c r="J61" s="12" t="str">
        <f t="shared" si="0"/>
        <v>* pathologicalStage.pt 0..1 string ##34#pT##34# ##334#Specifies the pathological T##334#</v>
      </c>
      <c r="L61" s="12" t="str">
        <f t="shared" si="1"/>
        <v>* pathologicalStage.pt ^comment = ##334#A string value from pathological T##334#</v>
      </c>
    </row>
    <row r="62" spans="1:12" ht="29.5" x14ac:dyDescent="0.75">
      <c r="A62" s="64">
        <v>50</v>
      </c>
      <c r="B62" s="62" t="s">
        <v>328</v>
      </c>
      <c r="C62" t="s">
        <v>329</v>
      </c>
      <c r="D62" s="2" t="s">
        <v>330</v>
      </c>
      <c r="E62">
        <v>0</v>
      </c>
      <c r="F62">
        <v>1</v>
      </c>
      <c r="G62" t="s">
        <v>1</v>
      </c>
      <c r="H62" t="s">
        <v>331</v>
      </c>
      <c r="J62" s="12" t="str">
        <f t="shared" si="0"/>
        <v>* pathologicalStage.pn 0..1 string ##34#pN##34# ##334#Specifies the pathological N##334#</v>
      </c>
      <c r="L62" s="12" t="str">
        <f t="shared" si="1"/>
        <v>* pathologicalStage.pn ^comment = ##334#A string value from pathological N##334#</v>
      </c>
    </row>
    <row r="63" spans="1:12" ht="44.25" x14ac:dyDescent="0.75">
      <c r="A63" s="64">
        <v>51</v>
      </c>
      <c r="B63" s="70" t="s">
        <v>332</v>
      </c>
      <c r="C63" t="s">
        <v>333</v>
      </c>
      <c r="D63" s="2" t="s">
        <v>334</v>
      </c>
      <c r="E63">
        <v>0</v>
      </c>
      <c r="F63">
        <v>1</v>
      </c>
      <c r="G63" t="s">
        <v>1</v>
      </c>
      <c r="H63" t="s">
        <v>335</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x14ac:dyDescent="0.75">
      <c r="A64" s="64">
        <v>52</v>
      </c>
      <c r="B64" s="70" t="s">
        <v>336</v>
      </c>
      <c r="C64" t="s">
        <v>337</v>
      </c>
      <c r="D64" s="2" t="s">
        <v>338</v>
      </c>
      <c r="E64">
        <v>0</v>
      </c>
      <c r="F64">
        <v>1</v>
      </c>
      <c r="G64" s="62" t="s">
        <v>167</v>
      </c>
      <c r="H64" t="s">
        <v>339</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x14ac:dyDescent="0.75">
      <c r="A65" s="64">
        <v>53</v>
      </c>
      <c r="B65" s="70" t="s">
        <v>340</v>
      </c>
      <c r="C65" t="s">
        <v>341</v>
      </c>
      <c r="D65" s="2" t="s">
        <v>342</v>
      </c>
      <c r="E65">
        <v>0</v>
      </c>
      <c r="F65">
        <v>1</v>
      </c>
      <c r="G65" t="s">
        <v>1</v>
      </c>
      <c r="H65" t="s">
        <v>343</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x14ac:dyDescent="0.75">
      <c r="A66" s="64">
        <v>54</v>
      </c>
      <c r="B66" s="70" t="s">
        <v>344</v>
      </c>
      <c r="C66" t="s">
        <v>345</v>
      </c>
      <c r="D66" s="2" t="s">
        <v>346</v>
      </c>
      <c r="E66">
        <v>0</v>
      </c>
      <c r="F66">
        <v>1</v>
      </c>
      <c r="G66" s="62" t="s">
        <v>167</v>
      </c>
      <c r="H66" t="s">
        <v>347</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x14ac:dyDescent="0.75">
      <c r="A67" s="64">
        <v>55</v>
      </c>
      <c r="B67" s="70" t="s">
        <v>348</v>
      </c>
      <c r="C67" t="s">
        <v>349</v>
      </c>
      <c r="D67" s="2" t="s">
        <v>350</v>
      </c>
      <c r="E67">
        <v>0</v>
      </c>
      <c r="F67">
        <v>1</v>
      </c>
      <c r="G67" t="s">
        <v>1</v>
      </c>
      <c r="H67" t="s">
        <v>351</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x14ac:dyDescent="0.75">
      <c r="A68" s="64">
        <v>56</v>
      </c>
      <c r="B68" s="70" t="s">
        <v>352</v>
      </c>
      <c r="C68" t="s">
        <v>353</v>
      </c>
      <c r="D68" s="2" t="s">
        <v>354</v>
      </c>
      <c r="E68">
        <v>0</v>
      </c>
      <c r="F68">
        <v>1</v>
      </c>
      <c r="G68" t="s">
        <v>1</v>
      </c>
      <c r="H68" t="s">
        <v>355</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x14ac:dyDescent="0.75">
      <c r="A69" s="64">
        <v>57</v>
      </c>
      <c r="B69" s="70" t="s">
        <v>356</v>
      </c>
      <c r="C69" t="s">
        <v>357</v>
      </c>
      <c r="D69" s="2" t="s">
        <v>358</v>
      </c>
      <c r="E69">
        <v>0</v>
      </c>
      <c r="F69">
        <v>1</v>
      </c>
      <c r="G69" t="s">
        <v>167</v>
      </c>
      <c r="H69" t="s">
        <v>359</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x14ac:dyDescent="0.75">
      <c r="A70" s="64">
        <v>58</v>
      </c>
      <c r="B70" s="70" t="s">
        <v>360</v>
      </c>
      <c r="C70" t="s">
        <v>361</v>
      </c>
      <c r="D70" s="2" t="s">
        <v>362</v>
      </c>
      <c r="E70">
        <v>0</v>
      </c>
      <c r="F70">
        <v>1</v>
      </c>
      <c r="G70" t="s">
        <v>167</v>
      </c>
      <c r="H70" t="s">
        <v>363</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x14ac:dyDescent="0.75">
      <c r="A71" s="64">
        <v>59</v>
      </c>
      <c r="B71" s="70" t="s">
        <v>364</v>
      </c>
      <c r="C71" t="s">
        <v>365</v>
      </c>
      <c r="D71" s="2" t="s">
        <v>366</v>
      </c>
      <c r="E71">
        <v>0</v>
      </c>
      <c r="F71">
        <v>1</v>
      </c>
      <c r="G71" t="s">
        <v>167</v>
      </c>
      <c r="H71" t="s">
        <v>367</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x14ac:dyDescent="0.75">
      <c r="A72" s="64">
        <v>60</v>
      </c>
      <c r="B72" s="70" t="s">
        <v>368</v>
      </c>
      <c r="C72" t="s">
        <v>369</v>
      </c>
      <c r="D72" s="2" t="s">
        <v>370</v>
      </c>
      <c r="E72">
        <v>0</v>
      </c>
      <c r="F72">
        <v>1</v>
      </c>
      <c r="G72" t="s">
        <v>167</v>
      </c>
      <c r="H72" t="s">
        <v>371</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x14ac:dyDescent="0.75">
      <c r="A73" s="64">
        <v>61</v>
      </c>
      <c r="B73" s="70" t="s">
        <v>372</v>
      </c>
      <c r="C73" t="s">
        <v>373</v>
      </c>
      <c r="D73" s="2" t="s">
        <v>374</v>
      </c>
      <c r="E73">
        <v>0</v>
      </c>
      <c r="F73">
        <v>1</v>
      </c>
      <c r="G73" t="s">
        <v>167</v>
      </c>
      <c r="H73" t="s">
        <v>375</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x14ac:dyDescent="0.75">
      <c r="A74" s="64">
        <v>62</v>
      </c>
      <c r="B74" s="70" t="s">
        <v>376</v>
      </c>
      <c r="C74" t="s">
        <v>377</v>
      </c>
      <c r="D74" s="2" t="s">
        <v>378</v>
      </c>
      <c r="E74">
        <v>0</v>
      </c>
      <c r="F74">
        <v>1</v>
      </c>
      <c r="G74" t="s">
        <v>167</v>
      </c>
      <c r="H74" t="s">
        <v>379</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x14ac:dyDescent="0.75">
      <c r="A75" s="64">
        <v>63</v>
      </c>
      <c r="B75" s="70" t="s">
        <v>380</v>
      </c>
      <c r="C75" t="s">
        <v>381</v>
      </c>
      <c r="D75" s="2" t="s">
        <v>382</v>
      </c>
      <c r="E75">
        <v>0</v>
      </c>
      <c r="F75">
        <v>1</v>
      </c>
      <c r="G75" t="s">
        <v>1</v>
      </c>
      <c r="H75" t="s">
        <v>383</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x14ac:dyDescent="0.75">
      <c r="A76" s="64">
        <v>64</v>
      </c>
      <c r="B76" s="70" t="s">
        <v>384</v>
      </c>
      <c r="C76" t="s">
        <v>385</v>
      </c>
      <c r="D76" s="2" t="s">
        <v>386</v>
      </c>
      <c r="E76">
        <v>0</v>
      </c>
      <c r="F76">
        <v>1</v>
      </c>
      <c r="G76" t="s">
        <v>1</v>
      </c>
      <c r="H76" t="s">
        <v>387</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x14ac:dyDescent="0.75">
      <c r="A77" s="64">
        <v>65</v>
      </c>
      <c r="B77" s="70" t="s">
        <v>388</v>
      </c>
      <c r="C77" t="s">
        <v>389</v>
      </c>
      <c r="D77" s="2" t="s">
        <v>390</v>
      </c>
      <c r="E77">
        <v>0</v>
      </c>
      <c r="F77">
        <v>1</v>
      </c>
      <c r="G77" t="s">
        <v>1</v>
      </c>
      <c r="H77" t="s">
        <v>391</v>
      </c>
      <c r="J77" s="12" t="str">
        <f t="shared" si="2"/>
        <v>* pm 0..1 string ##34#pM##34# ##334#Specifies the pathological M##334#</v>
      </c>
      <c r="L77" s="12" t="str">
        <f t="shared" si="3"/>
        <v>* pm ^comment = ##334#A string describing the pathological M##334#</v>
      </c>
    </row>
    <row r="78" spans="1:12" ht="29.5" x14ac:dyDescent="0.75">
      <c r="A78" s="64">
        <v>66</v>
      </c>
      <c r="B78" s="70" t="s">
        <v>392</v>
      </c>
      <c r="C78" t="s">
        <v>393</v>
      </c>
      <c r="D78" s="2" t="s">
        <v>394</v>
      </c>
      <c r="E78">
        <v>0</v>
      </c>
      <c r="F78">
        <v>1</v>
      </c>
      <c r="G78" t="s">
        <v>1</v>
      </c>
      <c r="H78" t="s">
        <v>395</v>
      </c>
      <c r="J78" s="12" t="str">
        <f t="shared" si="2"/>
        <v>* pathologicalStaging 0..1 string ##34#Pathological staging##34# ##334#Specifies the pathological staging##334#</v>
      </c>
      <c r="L78" s="12" t="str">
        <f t="shared" si="3"/>
        <v>* pathologicalStaging ^comment = ##334#A string describing the pathological staging##334#</v>
      </c>
    </row>
    <row r="79" spans="1:12" ht="29.5" x14ac:dyDescent="0.75">
      <c r="A79" s="64">
        <v>67</v>
      </c>
      <c r="B79" s="70" t="s">
        <v>396</v>
      </c>
      <c r="C79" t="s">
        <v>281</v>
      </c>
      <c r="D79" s="62" t="s">
        <v>281</v>
      </c>
      <c r="E79">
        <v>0</v>
      </c>
      <c r="F79">
        <v>1</v>
      </c>
      <c r="G79" t="s">
        <v>2</v>
      </c>
      <c r="H79"/>
      <c r="J79" s="12" t="str">
        <f t="shared" si="2"/>
        <v>* ajccEdition 0..1 BackboneElement ##34#Ajcc edition##34# ##334#Ajcc edition##334#</v>
      </c>
      <c r="L79" s="12" t="str">
        <f t="shared" si="3"/>
        <v/>
      </c>
    </row>
    <row r="80" spans="1:12" x14ac:dyDescent="0.75">
      <c r="A80" s="64">
        <v>68</v>
      </c>
      <c r="B80" s="70" t="s">
        <v>397</v>
      </c>
      <c r="C80" t="s">
        <v>285</v>
      </c>
      <c r="D80" s="62" t="s">
        <v>285</v>
      </c>
      <c r="E80">
        <v>0</v>
      </c>
      <c r="F80">
        <v>1</v>
      </c>
      <c r="G80" t="s">
        <v>2</v>
      </c>
      <c r="H80"/>
      <c r="J80" s="12" t="str">
        <f t="shared" si="2"/>
        <v>* mSite 0..1 BackboneElement ##34#M site##34# ##334#M site##334#</v>
      </c>
      <c r="L80" s="12" t="str">
        <f t="shared" si="3"/>
        <v/>
      </c>
    </row>
    <row r="81" spans="1:12" ht="29.5" x14ac:dyDescent="0.75">
      <c r="A81" s="64">
        <v>69</v>
      </c>
      <c r="B81" s="70" t="s">
        <v>398</v>
      </c>
      <c r="C81" t="s">
        <v>399</v>
      </c>
      <c r="D81" s="62" t="s">
        <v>399</v>
      </c>
      <c r="E81">
        <v>0</v>
      </c>
      <c r="F81">
        <v>1</v>
      </c>
      <c r="G81" t="s">
        <v>2</v>
      </c>
      <c r="H81"/>
      <c r="J81" s="12" t="str">
        <f t="shared" si="2"/>
        <v>* softTissue 0..1 BackboneElement ##34#Soft Tissue##34# ##334#Soft Tissue##334#</v>
      </c>
      <c r="L81" s="12" t="str">
        <f t="shared" si="3"/>
        <v/>
      </c>
    </row>
    <row r="82" spans="1:12" ht="29.5" x14ac:dyDescent="0.75">
      <c r="A82" s="64">
        <v>70</v>
      </c>
      <c r="B82" s="70" t="s">
        <v>400</v>
      </c>
      <c r="C82" t="s">
        <v>293</v>
      </c>
      <c r="D82" s="62" t="s">
        <v>293</v>
      </c>
      <c r="E82">
        <v>0</v>
      </c>
      <c r="F82">
        <v>1</v>
      </c>
      <c r="G82" t="s">
        <v>2</v>
      </c>
      <c r="H82"/>
      <c r="J82" s="12" t="str">
        <f t="shared" si="2"/>
        <v>* distantLymphNode 0..1 BackboneElement ##34#distant lymph node##34# ##334#distant lymph node##334#</v>
      </c>
      <c r="L82" s="12" t="str">
        <f t="shared" si="3"/>
        <v/>
      </c>
    </row>
    <row r="83" spans="1:12" x14ac:dyDescent="0.75">
      <c r="A83" s="64">
        <v>71</v>
      </c>
      <c r="B83" s="70" t="s">
        <v>296</v>
      </c>
      <c r="C83" t="s">
        <v>296</v>
      </c>
      <c r="D83" s="62" t="s">
        <v>296</v>
      </c>
      <c r="E83">
        <v>0</v>
      </c>
      <c r="F83">
        <v>1</v>
      </c>
      <c r="G83" t="s">
        <v>2</v>
      </c>
      <c r="H83"/>
      <c r="J83" s="12" t="str">
        <f t="shared" si="2"/>
        <v>* lung 0..1 BackboneElement ##34#lung##34# ##334#lung##334#</v>
      </c>
      <c r="L83" s="12" t="str">
        <f t="shared" si="3"/>
        <v/>
      </c>
    </row>
    <row r="84" spans="1:12" x14ac:dyDescent="0.75">
      <c r="A84" s="64">
        <v>72</v>
      </c>
      <c r="B84" s="70" t="s">
        <v>299</v>
      </c>
      <c r="C84" t="s">
        <v>299</v>
      </c>
      <c r="D84" s="62" t="s">
        <v>299</v>
      </c>
      <c r="E84">
        <v>0</v>
      </c>
      <c r="F84">
        <v>1</v>
      </c>
      <c r="G84" t="s">
        <v>2</v>
      </c>
      <c r="H84"/>
      <c r="J84" s="12" t="str">
        <f t="shared" si="2"/>
        <v>* bone 0..1 BackboneElement ##34#bone##34# ##334#bone##334#</v>
      </c>
      <c r="L84" s="12" t="str">
        <f t="shared" si="3"/>
        <v/>
      </c>
    </row>
    <row r="85" spans="1:12" x14ac:dyDescent="0.75">
      <c r="A85" s="64">
        <v>73</v>
      </c>
      <c r="B85" s="70" t="s">
        <v>302</v>
      </c>
      <c r="C85" t="s">
        <v>302</v>
      </c>
      <c r="D85" s="62" t="s">
        <v>302</v>
      </c>
      <c r="E85">
        <v>0</v>
      </c>
      <c r="F85">
        <v>1</v>
      </c>
      <c r="G85" t="s">
        <v>2</v>
      </c>
      <c r="H85"/>
      <c r="J85" s="12" t="str">
        <f t="shared" si="2"/>
        <v>* liver 0..1 BackboneElement ##34#liver##34# ##334#liver##334#</v>
      </c>
      <c r="L85" s="12" t="str">
        <f t="shared" si="3"/>
        <v/>
      </c>
    </row>
    <row r="86" spans="1:12" x14ac:dyDescent="0.75">
      <c r="A86" s="64">
        <v>74</v>
      </c>
      <c r="B86" s="70" t="s">
        <v>305</v>
      </c>
      <c r="C86" t="s">
        <v>305</v>
      </c>
      <c r="D86" s="62" t="s">
        <v>305</v>
      </c>
      <c r="E86">
        <v>0</v>
      </c>
      <c r="F86">
        <v>1</v>
      </c>
      <c r="G86" t="s">
        <v>2</v>
      </c>
      <c r="H86"/>
      <c r="J86" s="12" t="str">
        <f t="shared" si="2"/>
        <v>* pleura 0..1 BackboneElement ##34#pleura##34# ##334#pleura##334#</v>
      </c>
      <c r="L86" s="12" t="str">
        <f t="shared" si="3"/>
        <v/>
      </c>
    </row>
    <row r="87" spans="1:12" ht="29.5" x14ac:dyDescent="0.75">
      <c r="A87" s="64">
        <v>75</v>
      </c>
      <c r="B87" s="70" t="s">
        <v>308</v>
      </c>
      <c r="C87" t="s">
        <v>308</v>
      </c>
      <c r="D87" s="62" t="s">
        <v>308</v>
      </c>
      <c r="E87">
        <v>0</v>
      </c>
      <c r="F87">
        <v>1</v>
      </c>
      <c r="G87" t="s">
        <v>2</v>
      </c>
      <c r="H87"/>
      <c r="J87" s="12" t="str">
        <f t="shared" si="2"/>
        <v>* peritoneum 0..1 BackboneElement ##34#peritoneum##34# ##334#peritoneum##334#</v>
      </c>
      <c r="L87" s="12" t="str">
        <f t="shared" si="3"/>
        <v/>
      </c>
    </row>
    <row r="88" spans="1:12" x14ac:dyDescent="0.75">
      <c r="A88" s="64">
        <v>76</v>
      </c>
      <c r="B88" s="70" t="s">
        <v>311</v>
      </c>
      <c r="C88" t="s">
        <v>311</v>
      </c>
      <c r="D88" s="62" t="s">
        <v>311</v>
      </c>
      <c r="E88">
        <v>0</v>
      </c>
      <c r="F88">
        <v>1</v>
      </c>
      <c r="G88" t="s">
        <v>2</v>
      </c>
      <c r="H88"/>
      <c r="J88" s="12" t="str">
        <f t="shared" si="2"/>
        <v>* brain 0..1 BackboneElement ##34#brain##34# ##334#brain##334#</v>
      </c>
      <c r="L88" s="12" t="str">
        <f t="shared" si="3"/>
        <v/>
      </c>
    </row>
    <row r="89" spans="1:12" ht="29.5" x14ac:dyDescent="0.75">
      <c r="A89" s="64">
        <v>77</v>
      </c>
      <c r="B89" s="70" t="s">
        <v>401</v>
      </c>
      <c r="C89" t="s">
        <v>314</v>
      </c>
      <c r="D89" s="62" t="s">
        <v>314</v>
      </c>
      <c r="E89">
        <v>0</v>
      </c>
      <c r="F89">
        <v>1</v>
      </c>
      <c r="G89" t="s">
        <v>2</v>
      </c>
      <c r="H89"/>
      <c r="J89" s="12" t="str">
        <f t="shared" si="2"/>
        <v>* otherViscera 0..1 BackboneElement ##34#other viscera##34# ##334#other viscera##334#</v>
      </c>
      <c r="L89" s="12" t="str">
        <f t="shared" si="3"/>
        <v/>
      </c>
    </row>
    <row r="90" spans="1:12" ht="29.5" x14ac:dyDescent="0.75">
      <c r="A90" s="64">
        <v>78</v>
      </c>
      <c r="B90" s="70" t="s">
        <v>402</v>
      </c>
      <c r="C90" t="s">
        <v>403</v>
      </c>
      <c r="D90" s="2" t="s">
        <v>404</v>
      </c>
      <c r="E90">
        <v>0</v>
      </c>
      <c r="F90">
        <v>1</v>
      </c>
      <c r="G90" t="s">
        <v>1</v>
      </c>
      <c r="H90" t="s">
        <v>405</v>
      </c>
      <c r="J90" s="12" t="str">
        <f t="shared" si="2"/>
        <v>* msite 0..1 string ##34#M SITE##34# ##334#Specifices the M SITE##334#</v>
      </c>
      <c r="L90" s="12" t="str">
        <f t="shared" si="3"/>
        <v>* msite ^comment = ##334#A string or list of string describing where is the metastatic disease##334#</v>
      </c>
    </row>
    <row r="91" spans="1:12" ht="29.5" x14ac:dyDescent="0.75">
      <c r="A91" s="64">
        <v>79</v>
      </c>
      <c r="B91" s="70" t="s">
        <v>317</v>
      </c>
      <c r="C91" t="s">
        <v>317</v>
      </c>
      <c r="D91" s="62" t="s">
        <v>317</v>
      </c>
      <c r="E91">
        <v>0</v>
      </c>
      <c r="F91">
        <v>1</v>
      </c>
      <c r="G91" t="s">
        <v>2</v>
      </c>
      <c r="H91"/>
      <c r="J91" s="12" t="str">
        <f t="shared" si="2"/>
        <v>* unknown 0..1 BackboneElement ##34#unknown##34# ##334#unknown##334#</v>
      </c>
      <c r="L91" s="12" t="str">
        <f t="shared" si="3"/>
        <v/>
      </c>
    </row>
    <row r="92" spans="1:12" ht="29.5" x14ac:dyDescent="0.75">
      <c r="A92" s="64">
        <v>80</v>
      </c>
      <c r="B92" s="70" t="s">
        <v>406</v>
      </c>
      <c r="C92" t="s">
        <v>407</v>
      </c>
      <c r="D92" s="62" t="s">
        <v>407</v>
      </c>
      <c r="E92">
        <v>0</v>
      </c>
      <c r="F92">
        <v>1</v>
      </c>
      <c r="G92" t="s">
        <v>2</v>
      </c>
      <c r="H92"/>
      <c r="J92" s="12" t="str">
        <f t="shared" si="2"/>
        <v>* pathologicalStagingDefinedBy 0..1 BackboneElement ##34#Pathological staging defined by##34# ##334#Pathological staging defined by##334#</v>
      </c>
      <c r="L92" s="12" t="str">
        <f t="shared" si="3"/>
        <v/>
      </c>
    </row>
    <row r="93" spans="1:12" ht="29.5" x14ac:dyDescent="0.75">
      <c r="A93" s="64">
        <v>81</v>
      </c>
      <c r="B93" s="70" t="s">
        <v>176</v>
      </c>
      <c r="C93" t="s">
        <v>166</v>
      </c>
      <c r="D93" s="62" t="s">
        <v>166</v>
      </c>
      <c r="E93">
        <v>0</v>
      </c>
      <c r="F93">
        <v>1</v>
      </c>
      <c r="G93" t="s">
        <v>2</v>
      </c>
      <c r="H93"/>
      <c r="J93" s="12" t="str">
        <f t="shared" si="2"/>
        <v>* instrumentStatus 0..1 BackboneElement ##34#Instrument status##34# ##334#Instrument status##334#</v>
      </c>
      <c r="L93" s="12" t="str">
        <f t="shared" si="3"/>
        <v/>
      </c>
    </row>
    <row r="94" spans="1:12" x14ac:dyDescent="0.75">
      <c r="J94" s="12" t="str">
        <f t="shared" si="2"/>
        <v>*  ..  ##34###34# ##334###334#</v>
      </c>
      <c r="L94" s="12" t="str">
        <f t="shared" si="3"/>
        <v>*  ..  ##34###34# ##334###334#</v>
      </c>
    </row>
    <row r="95" spans="1:12" x14ac:dyDescent="0.75">
      <c r="J95" s="12" t="str">
        <f t="shared" si="2"/>
        <v>*  ..  ##34###34# ##334###334#</v>
      </c>
      <c r="L95" s="12" t="str">
        <f t="shared" si="3"/>
        <v>*  ..  ##34###34# ##334###334#</v>
      </c>
    </row>
    <row r="96" spans="1:12" x14ac:dyDescent="0.75">
      <c r="J96" s="12" t="str">
        <f t="shared" si="2"/>
        <v>*  ..  ##34###34# ##334###334#</v>
      </c>
      <c r="L96" s="12" t="str">
        <f t="shared" si="3"/>
        <v>*  ..  ##34###34# ##334###334#</v>
      </c>
    </row>
    <row r="97" spans="10:12" x14ac:dyDescent="0.75">
      <c r="J97" s="12" t="str">
        <f t="shared" si="2"/>
        <v>*  ..  ##34###34# ##334###334#</v>
      </c>
      <c r="L97" s="12" t="str">
        <f t="shared" si="3"/>
        <v>*  ..  ##34###34# ##334###334#</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410</v>
      </c>
      <c r="E4" s="20" t="str">
        <f>CONCATENATE("Mapping: ",C4)</f>
        <v>Mapping: I4RCStaging2Fhir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411</v>
      </c>
      <c r="E6" s="21" t="str">
        <f>CONCATENATE("Title: ##34#",C6,"##34#")</f>
        <v>Title: ##34#Idea4RC Staging model to FHIR R4 Map##34#</v>
      </c>
      <c r="H6" s="7"/>
      <c r="I6" s="7"/>
      <c r="J6" s="7"/>
      <c r="K6" s="7"/>
      <c r="L6" s="7"/>
      <c r="M6" s="7"/>
      <c r="N6" s="7"/>
      <c r="O6" s="7"/>
    </row>
    <row r="7" spans="1:15" ht="15.5" thickBot="1" x14ac:dyDescent="0.9">
      <c r="B7" s="10" t="s">
        <v>19</v>
      </c>
      <c r="C7" s="8" t="str">
        <f>B9</f>
        <v>Staging</v>
      </c>
      <c r="E7" s="21" t="str">
        <f>CONCATENATE("Source: ",C7)</f>
        <v>Source: Staging</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Staging!B5</f>
        <v>Staging</v>
      </c>
      <c r="C9" s="6" t="s">
        <v>168</v>
      </c>
      <c r="E9" s="28" t="str">
        <f>CONCATENATE("* -&gt; ##34#",C9,"##34#")</f>
        <v>* -&gt; ##34#TBD##34#</v>
      </c>
      <c r="H9" s="7"/>
      <c r="I9" s="7"/>
      <c r="J9" s="7"/>
      <c r="K9" s="7"/>
      <c r="L9" s="7"/>
      <c r="M9" s="7"/>
      <c r="N9" s="7"/>
      <c r="O9" s="7"/>
    </row>
    <row r="10" spans="1:15" x14ac:dyDescent="0.75">
      <c r="A10" s="11"/>
      <c r="B10" s="11" t="str">
        <f>Staging!B8</f>
        <v>stagingProceduresDoneBy</v>
      </c>
      <c r="C10" s="11" t="s">
        <v>168</v>
      </c>
      <c r="E10" s="12" t="str">
        <f t="shared" ref="E10:E73" si="0">IF(B10=0,"*  -&gt; ##34###34#",CONCATENATE("* ",B10," -&gt; ##34#",C10,"##34#"))</f>
        <v>* stagingProceduresDoneBy -&gt; ##34#TBD##34#</v>
      </c>
      <c r="H10" s="7"/>
      <c r="I10" s="7"/>
      <c r="J10" s="7"/>
      <c r="K10" s="7"/>
      <c r="L10" s="7"/>
      <c r="M10" s="7"/>
      <c r="N10" s="7"/>
      <c r="O10" s="7"/>
    </row>
    <row r="11" spans="1:15" x14ac:dyDescent="0.75">
      <c r="A11" s="11"/>
      <c r="B11" s="11" t="str">
        <f>Staging!B9</f>
        <v>imagingPerformed</v>
      </c>
      <c r="C11" s="11" t="s">
        <v>168</v>
      </c>
      <c r="E11" s="12" t="str">
        <f t="shared" si="0"/>
        <v>* imagingPerformed -&gt; ##34#TBD##34#</v>
      </c>
      <c r="H11" s="7"/>
      <c r="I11" s="7"/>
      <c r="J11" s="7"/>
      <c r="K11" s="7"/>
      <c r="L11" s="7"/>
      <c r="M11" s="7"/>
      <c r="N11" s="7"/>
      <c r="O11" s="7"/>
    </row>
    <row r="12" spans="1:15" x14ac:dyDescent="0.75">
      <c r="A12" s="11"/>
      <c r="B12" s="11" t="str">
        <f>Staging!B10</f>
        <v>imagingPerformed.flag</v>
      </c>
      <c r="C12" s="11" t="s">
        <v>168</v>
      </c>
      <c r="E12" s="12" t="str">
        <f t="shared" si="0"/>
        <v>* imagingPerformed.flag -&gt; ##34#TBD##34#</v>
      </c>
      <c r="H12" s="7"/>
      <c r="I12" s="7"/>
      <c r="J12" s="7"/>
      <c r="K12" s="7"/>
      <c r="L12" s="7"/>
      <c r="M12" s="7"/>
      <c r="N12" s="7"/>
      <c r="O12" s="7"/>
    </row>
    <row r="13" spans="1:15" x14ac:dyDescent="0.75">
      <c r="A13" s="11"/>
      <c r="B13" s="11" t="str">
        <f>Staging!B11</f>
        <v>imagingPerformed.cTPerformed</v>
      </c>
      <c r="C13" s="11" t="s">
        <v>168</v>
      </c>
      <c r="E13" s="12" t="str">
        <f t="shared" si="0"/>
        <v>* imagingPerformed.cTPerformed -&gt; ##34#TBD##34#</v>
      </c>
      <c r="H13" s="7"/>
      <c r="I13" s="7"/>
      <c r="J13" s="7"/>
      <c r="K13" s="7"/>
      <c r="L13" s="7"/>
      <c r="M13" s="7"/>
      <c r="N13" s="7"/>
      <c r="O13" s="7"/>
    </row>
    <row r="14" spans="1:15" x14ac:dyDescent="0.75">
      <c r="A14" s="11"/>
      <c r="B14" s="11" t="str">
        <f>Staging!B12</f>
        <v>imagingPerformed.mRIPerformed</v>
      </c>
      <c r="C14" s="11" t="s">
        <v>168</v>
      </c>
      <c r="E14" s="12" t="str">
        <f t="shared" si="0"/>
        <v>* imagingPerformed.mRIPerformed -&gt; ##34#TBD##34#</v>
      </c>
      <c r="H14" s="7"/>
      <c r="I14" s="7"/>
      <c r="J14" s="7"/>
      <c r="K14" s="7"/>
      <c r="L14" s="7"/>
      <c r="M14" s="7"/>
      <c r="N14" s="7"/>
      <c r="O14" s="7"/>
    </row>
    <row r="15" spans="1:15" x14ac:dyDescent="0.75">
      <c r="A15" s="11"/>
      <c r="B15" s="11" t="str">
        <f>Staging!B13</f>
        <v>imagingPerformed.uSPerformed</v>
      </c>
      <c r="C15" s="11" t="s">
        <v>168</v>
      </c>
      <c r="E15" s="12" t="str">
        <f t="shared" si="0"/>
        <v>* imagingPerformed.uSPerformed -&gt; ##34#TBD##34#</v>
      </c>
      <c r="H15" s="7"/>
      <c r="I15" s="7"/>
      <c r="J15" s="7"/>
      <c r="K15" s="7"/>
      <c r="L15" s="7"/>
      <c r="M15" s="7"/>
      <c r="N15" s="7"/>
      <c r="O15" s="7"/>
    </row>
    <row r="16" spans="1:15" x14ac:dyDescent="0.75">
      <c r="A16" s="11"/>
      <c r="B16" s="11" t="str">
        <f>Staging!B14</f>
        <v>imagingPerformed.fDGPETPerformed</v>
      </c>
      <c r="C16" s="11" t="s">
        <v>168</v>
      </c>
      <c r="E16" s="12" t="str">
        <f t="shared" si="0"/>
        <v>* imagingPerformed.fDGPETPerformed -&gt; ##34#TBD##34#</v>
      </c>
      <c r="H16" s="7"/>
      <c r="I16" s="7"/>
      <c r="J16" s="7"/>
      <c r="K16" s="7"/>
      <c r="L16" s="7"/>
      <c r="M16" s="7"/>
      <c r="N16" s="7"/>
      <c r="O16" s="7"/>
    </row>
    <row r="17" spans="1:5" x14ac:dyDescent="0.75">
      <c r="A17" s="11"/>
      <c r="B17" s="11" t="str">
        <f>Staging!B15</f>
        <v>imagingPerformed.pETwithothertracersPerformed</v>
      </c>
      <c r="C17" s="11" t="s">
        <v>168</v>
      </c>
      <c r="E17" s="12" t="str">
        <f t="shared" si="0"/>
        <v>* imagingPerformed.pETwithothertracersPerformed -&gt; ##34#TBD##34#</v>
      </c>
    </row>
    <row r="18" spans="1:5" x14ac:dyDescent="0.75">
      <c r="A18" s="11"/>
      <c r="B18" s="11" t="str">
        <f>Staging!B16</f>
        <v>imagingPerformed.opticaldigitalmethodsegnarrowbandimagingPerformed</v>
      </c>
      <c r="C18" s="11" t="s">
        <v>168</v>
      </c>
      <c r="E18" s="12" t="str">
        <f t="shared" si="0"/>
        <v>* imagingPerformed.opticaldigitalmethodsegnarrowbandimagingPerformed -&gt; ##34#TBD##34#</v>
      </c>
    </row>
    <row r="19" spans="1:5" x14ac:dyDescent="0.75">
      <c r="A19" s="11"/>
      <c r="B19" s="11" t="str">
        <f>Staging!B17</f>
        <v>imagingPerformed.cTPETPerformed</v>
      </c>
      <c r="C19" s="11" t="s">
        <v>168</v>
      </c>
      <c r="E19" s="12" t="str">
        <f t="shared" si="0"/>
        <v>* imagingPerformed.cTPETPerformed -&gt; ##34#TBD##34#</v>
      </c>
    </row>
    <row r="20" spans="1:5" x14ac:dyDescent="0.75">
      <c r="A20" s="11"/>
      <c r="B20" s="11" t="str">
        <f>Staging!B18</f>
        <v>imagingPerformed.unknownPerformed</v>
      </c>
      <c r="C20" s="11" t="s">
        <v>168</v>
      </c>
      <c r="E20" s="12" t="str">
        <f t="shared" si="0"/>
        <v>* imagingPerformed.unknownPerformed -&gt; ##34#TBD##34#</v>
      </c>
    </row>
    <row r="21" spans="1:5" x14ac:dyDescent="0.75">
      <c r="B21" s="11" t="str">
        <f>Staging!B19</f>
        <v>imagingPerformed.otherimagingforprimarysitePerformed</v>
      </c>
      <c r="C21" s="11" t="s">
        <v>168</v>
      </c>
      <c r="E21" s="12" t="str">
        <f t="shared" si="0"/>
        <v>* imagingPerformed.otherimagingforprimarysitePerformed -&gt; ##34#TBD##34#</v>
      </c>
    </row>
    <row r="22" spans="1:5" x14ac:dyDescent="0.75">
      <c r="B22" s="11" t="str">
        <f>Staging!B20</f>
        <v>imagingforneckPerformed</v>
      </c>
      <c r="C22" s="11" t="s">
        <v>168</v>
      </c>
      <c r="E22" s="12" t="str">
        <f t="shared" si="0"/>
        <v>* imagingforneckPerformed -&gt; ##34#TBD##34#</v>
      </c>
    </row>
    <row r="23" spans="1:5" x14ac:dyDescent="0.75">
      <c r="B23" s="11" t="str">
        <f>Staging!B21</f>
        <v>imagingforneckPerformed.flag</v>
      </c>
      <c r="C23" s="11" t="s">
        <v>168</v>
      </c>
      <c r="E23" s="12" t="str">
        <f t="shared" si="0"/>
        <v>* imagingforneckPerformed.flag -&gt; ##34#TBD##34#</v>
      </c>
    </row>
    <row r="24" spans="1:5" x14ac:dyDescent="0.75">
      <c r="B24" s="11" t="str">
        <f>Staging!B22</f>
        <v>imagingforneckPerformed.cTPerformed</v>
      </c>
      <c r="C24" s="11" t="s">
        <v>168</v>
      </c>
      <c r="E24" s="12" t="str">
        <f t="shared" si="0"/>
        <v>* imagingforneckPerformed.cTPerformed -&gt; ##34#TBD##34#</v>
      </c>
    </row>
    <row r="25" spans="1:5" x14ac:dyDescent="0.75">
      <c r="B25" s="11" t="str">
        <f>Staging!B23</f>
        <v>imagingforneckPerformed.mRIPerformed</v>
      </c>
      <c r="C25" s="11" t="s">
        <v>168</v>
      </c>
      <c r="E25" s="12" t="str">
        <f t="shared" si="0"/>
        <v>* imagingforneckPerformed.mRIPerformed -&gt; ##34#TBD##34#</v>
      </c>
    </row>
    <row r="26" spans="1:5" x14ac:dyDescent="0.75">
      <c r="B26" s="11" t="str">
        <f>Staging!B24</f>
        <v>imagingforneckPerformed.uSPerformed</v>
      </c>
      <c r="C26" s="11" t="s">
        <v>168</v>
      </c>
      <c r="E26" s="12" t="str">
        <f t="shared" si="0"/>
        <v>* imagingforneckPerformed.uSPerformed -&gt; ##34#TBD##34#</v>
      </c>
    </row>
    <row r="27" spans="1:5" x14ac:dyDescent="0.75">
      <c r="B27" s="11" t="str">
        <f>Staging!B25</f>
        <v>imagingforneckPerformed.fDGPETPerformed</v>
      </c>
      <c r="C27" s="11" t="s">
        <v>168</v>
      </c>
      <c r="E27" s="12" t="str">
        <f t="shared" si="0"/>
        <v>* imagingforneckPerformed.fDGPETPerformed -&gt; ##34#TBD##34#</v>
      </c>
    </row>
    <row r="28" spans="1:5" x14ac:dyDescent="0.75">
      <c r="B28" s="11" t="str">
        <f>Staging!B26</f>
        <v>imagingforneckPerformed.pETwithothertracersPerformed</v>
      </c>
      <c r="C28" s="11" t="s">
        <v>168</v>
      </c>
      <c r="E28" s="12" t="str">
        <f t="shared" si="0"/>
        <v>* imagingforneckPerformed.pETwithothertracersPerformed -&gt; ##34#TBD##34#</v>
      </c>
    </row>
    <row r="29" spans="1:5" x14ac:dyDescent="0.75">
      <c r="B29" s="11" t="str">
        <f>Staging!B27</f>
        <v>imagingforneckPerformed.cTPETPerformed</v>
      </c>
      <c r="C29" s="11" t="s">
        <v>168</v>
      </c>
      <c r="E29" s="12" t="str">
        <f t="shared" si="0"/>
        <v>* imagingforneckPerformed.cTPETPerformed -&gt; ##34#TBD##34#</v>
      </c>
    </row>
    <row r="30" spans="1:5" x14ac:dyDescent="0.75">
      <c r="B30" s="11" t="str">
        <f>Staging!B28</f>
        <v>imagingforneckPerformed.unknownPerformed</v>
      </c>
      <c r="C30" s="11" t="s">
        <v>168</v>
      </c>
      <c r="E30" s="12" t="str">
        <f t="shared" si="0"/>
        <v>* imagingforneckPerformed.unknownPerformed -&gt; ##34#TBD##34#</v>
      </c>
    </row>
    <row r="31" spans="1:5" x14ac:dyDescent="0.75">
      <c r="B31" s="11" t="str">
        <f>Staging!B29</f>
        <v>imagingforneckPerformed.otherimagingforneckPerformed</v>
      </c>
      <c r="C31" s="11" t="s">
        <v>168</v>
      </c>
      <c r="E31" s="12" t="str">
        <f t="shared" si="0"/>
        <v>* imagingforneckPerformed.otherimagingforneckPerformed -&gt; ##34#TBD##34#</v>
      </c>
    </row>
    <row r="32" spans="1:5" x14ac:dyDescent="0.75">
      <c r="B32" s="11" t="str">
        <f>Staging!B30</f>
        <v>imagingformetastasisPerformed</v>
      </c>
      <c r="C32" s="11" t="s">
        <v>168</v>
      </c>
      <c r="E32" s="12" t="str">
        <f t="shared" si="0"/>
        <v>* imagingformetastasisPerformed -&gt; ##34#TBD##34#</v>
      </c>
    </row>
    <row r="33" spans="2:5" x14ac:dyDescent="0.75">
      <c r="B33" s="11" t="str">
        <f>Staging!B31</f>
        <v>imagingformetastasisPerformed.imagingformetastasisPerformed</v>
      </c>
      <c r="C33" s="11" t="s">
        <v>168</v>
      </c>
      <c r="E33" s="12" t="str">
        <f t="shared" si="0"/>
        <v>* imagingformetastasisPerformed.imagingformetastasisPerformed -&gt; ##34#TBD##34#</v>
      </c>
    </row>
    <row r="34" spans="2:5" x14ac:dyDescent="0.75">
      <c r="B34" s="11" t="str">
        <f>Staging!B32</f>
        <v>imagingformetastasisPerformed.cTPerformed</v>
      </c>
      <c r="C34" s="11" t="s">
        <v>168</v>
      </c>
      <c r="E34" s="12" t="str">
        <f t="shared" si="0"/>
        <v>* imagingformetastasisPerformed.cTPerformed -&gt; ##34#TBD##34#</v>
      </c>
    </row>
    <row r="35" spans="2:5" x14ac:dyDescent="0.75">
      <c r="B35" s="11" t="str">
        <f>Staging!B33</f>
        <v>imagingformetastasisPerformed.mRIPerformed</v>
      </c>
      <c r="C35" s="11" t="s">
        <v>168</v>
      </c>
      <c r="E35" s="12" t="str">
        <f t="shared" si="0"/>
        <v>* imagingformetastasisPerformed.mRIPerformed -&gt; ##34#TBD##34#</v>
      </c>
    </row>
    <row r="36" spans="2:5" x14ac:dyDescent="0.75">
      <c r="B36" s="11" t="str">
        <f>Staging!B34</f>
        <v>imagingformetastasisPerformed.uSPerformed</v>
      </c>
      <c r="C36" s="11" t="s">
        <v>168</v>
      </c>
      <c r="E36" s="12" t="str">
        <f t="shared" si="0"/>
        <v>* imagingformetastasisPerformed.uSPerformed -&gt; ##34#TBD##34#</v>
      </c>
    </row>
    <row r="37" spans="2:5" x14ac:dyDescent="0.75">
      <c r="B37" s="11" t="str">
        <f>Staging!B35</f>
        <v>imagingformetastasisPerformed.fDGPETPerformed</v>
      </c>
      <c r="C37" s="11" t="s">
        <v>168</v>
      </c>
      <c r="E37" s="12" t="str">
        <f t="shared" si="0"/>
        <v>* imagingformetastasisPerformed.fDGPETPerformed -&gt; ##34#TBD##34#</v>
      </c>
    </row>
    <row r="38" spans="2:5" x14ac:dyDescent="0.75">
      <c r="B38" s="11" t="str">
        <f>Staging!B36</f>
        <v>imagingformetastasisPerformed.pETwithothertracersPerformed</v>
      </c>
      <c r="C38" s="11" t="s">
        <v>168</v>
      </c>
      <c r="E38" s="12" t="str">
        <f t="shared" si="0"/>
        <v>* imagingformetastasisPerformed.pETwithothertracersPerformed -&gt; ##34#TBD##34#</v>
      </c>
    </row>
    <row r="39" spans="2:5" x14ac:dyDescent="0.75">
      <c r="B39" s="11" t="str">
        <f>Staging!B37</f>
        <v>imagingformetastasisPerformed.cTPETPerformed</v>
      </c>
      <c r="C39" s="11" t="s">
        <v>168</v>
      </c>
      <c r="E39" s="12" t="str">
        <f t="shared" si="0"/>
        <v>* imagingformetastasisPerformed.cTPETPerformed -&gt; ##34#TBD##34#</v>
      </c>
    </row>
    <row r="40" spans="2:5" x14ac:dyDescent="0.75">
      <c r="B40" s="11" t="str">
        <f>Staging!B38</f>
        <v>imagingformetastasisPerformed.unknownPerformed</v>
      </c>
      <c r="C40" s="11" t="s">
        <v>168</v>
      </c>
      <c r="E40" s="12" t="str">
        <f t="shared" si="0"/>
        <v>* imagingformetastasisPerformed.unknownPerformed -&gt; ##34#TBD##34#</v>
      </c>
    </row>
    <row r="41" spans="2:5" x14ac:dyDescent="0.75">
      <c r="B41" s="11" t="str">
        <f>Staging!B39</f>
        <v>imagingformetastasisPerformed.otherimagingformetastaticdiseasePerformed</v>
      </c>
      <c r="C41" s="11" t="s">
        <v>168</v>
      </c>
      <c r="E41" s="12" t="str">
        <f t="shared" si="0"/>
        <v>* imagingformetastasisPerformed.otherimagingformetastaticdiseasePerformed -&gt; ##34#TBD##34#</v>
      </c>
    </row>
    <row r="42" spans="2:5" x14ac:dyDescent="0.75">
      <c r="B42" s="11" t="str">
        <f>Staging!B40</f>
        <v>clinicalStage</v>
      </c>
      <c r="C42" s="11" t="s">
        <v>168</v>
      </c>
      <c r="E42" s="12" t="str">
        <f t="shared" si="0"/>
        <v>* clinicalStage -&gt; ##34#TBD##34#</v>
      </c>
    </row>
    <row r="43" spans="2:5" x14ac:dyDescent="0.75">
      <c r="B43" s="11" t="str">
        <f>Staging!B41</f>
        <v>clinicalStage.ct</v>
      </c>
      <c r="C43" s="11" t="s">
        <v>168</v>
      </c>
      <c r="E43" s="12" t="str">
        <f t="shared" si="0"/>
        <v>* clinicalStage.ct -&gt; ##34#TBD##34#</v>
      </c>
    </row>
    <row r="44" spans="2:5" x14ac:dyDescent="0.75">
      <c r="B44" s="11" t="str">
        <f>Staging!B42</f>
        <v>clinicalStage.cn</v>
      </c>
      <c r="C44" s="11" t="s">
        <v>168</v>
      </c>
      <c r="E44" s="12" t="str">
        <f t="shared" si="0"/>
        <v>* clinicalStage.cn -&gt; ##34#TBD##34#</v>
      </c>
    </row>
    <row r="45" spans="2:5" x14ac:dyDescent="0.75">
      <c r="B45" s="11" t="str">
        <f>Staging!B43</f>
        <v>clinicalStage.radiologicalExtraNodalExtensionRene</v>
      </c>
      <c r="C45" s="11" t="s">
        <v>168</v>
      </c>
      <c r="E45" s="12" t="str">
        <f t="shared" si="0"/>
        <v>* clinicalStage.radiologicalExtraNodalExtensionRene -&gt; ##34#TBD##34#</v>
      </c>
    </row>
    <row r="46" spans="2:5" x14ac:dyDescent="0.75">
      <c r="B46" s="11" t="str">
        <f>Staging!B44</f>
        <v>clinicalStage.cm</v>
      </c>
      <c r="C46" s="11" t="s">
        <v>168</v>
      </c>
      <c r="E46" s="12" t="str">
        <f t="shared" si="0"/>
        <v>* clinicalStage.cm -&gt; ##34#TBD##34#</v>
      </c>
    </row>
    <row r="47" spans="2:5" x14ac:dyDescent="0.75">
      <c r="B47" s="11" t="str">
        <f>Staging!B45</f>
        <v>clinicalStage.clinicalStaging</v>
      </c>
      <c r="C47" s="11" t="s">
        <v>168</v>
      </c>
      <c r="E47" s="12" t="str">
        <f t="shared" si="0"/>
        <v>* clinicalStage.clinicalStaging -&gt; ##34#TBD##34#</v>
      </c>
    </row>
    <row r="48" spans="2:5" x14ac:dyDescent="0.75">
      <c r="B48" s="11" t="str">
        <f>Staging!B46</f>
        <v>clinicalStage.ajccEdition</v>
      </c>
      <c r="C48" s="11" t="s">
        <v>168</v>
      </c>
      <c r="E48" s="12" t="str">
        <f t="shared" si="0"/>
        <v>* clinicalStage.ajccEdition -&gt; ##34#TBD##34#</v>
      </c>
    </row>
    <row r="49" spans="2:5" x14ac:dyDescent="0.75">
      <c r="B49" s="11" t="str">
        <f>Staging!B47</f>
        <v>clinicalStage.nan</v>
      </c>
      <c r="C49" s="11" t="s">
        <v>168</v>
      </c>
      <c r="E49" s="12" t="str">
        <f t="shared" si="0"/>
        <v>* clinicalStage.nan -&gt; ##34#TBD##34#</v>
      </c>
    </row>
    <row r="50" spans="2:5" x14ac:dyDescent="0.75">
      <c r="B50" s="11" t="str">
        <f>Staging!B48</f>
        <v>metastasisSite</v>
      </c>
      <c r="C50" s="11" t="s">
        <v>168</v>
      </c>
      <c r="E50" s="12" t="str">
        <f t="shared" si="0"/>
        <v>* metastasisSite -&gt; ##34#TBD##34#</v>
      </c>
    </row>
    <row r="51" spans="2:5" x14ac:dyDescent="0.75">
      <c r="B51" s="11" t="str">
        <f>Staging!B49</f>
        <v>metastasisSite.softTissue</v>
      </c>
      <c r="C51" s="11" t="s">
        <v>168</v>
      </c>
      <c r="E51" s="12" t="str">
        <f t="shared" si="0"/>
        <v>* metastasisSite.softTissue -&gt; ##34#TBD##34#</v>
      </c>
    </row>
    <row r="52" spans="2:5" x14ac:dyDescent="0.75">
      <c r="B52" s="11" t="str">
        <f>Staging!B50</f>
        <v>metastasisSite.distantLymphNode</v>
      </c>
      <c r="C52" s="11" t="s">
        <v>168</v>
      </c>
      <c r="E52" s="12" t="str">
        <f t="shared" si="0"/>
        <v>* metastasisSite.distantLymphNode -&gt; ##34#TBD##34#</v>
      </c>
    </row>
    <row r="53" spans="2:5" x14ac:dyDescent="0.75">
      <c r="B53" s="11" t="str">
        <f>Staging!B51</f>
        <v>metastasisSite.lung</v>
      </c>
      <c r="C53" s="11" t="s">
        <v>168</v>
      </c>
      <c r="E53" s="12" t="str">
        <f t="shared" si="0"/>
        <v>* metastasisSite.lung -&gt; ##34#TBD##34#</v>
      </c>
    </row>
    <row r="54" spans="2:5" x14ac:dyDescent="0.75">
      <c r="B54" s="11" t="str">
        <f>Staging!B52</f>
        <v>metastasisSite.bone</v>
      </c>
      <c r="C54" s="11" t="s">
        <v>168</v>
      </c>
      <c r="E54" s="12" t="str">
        <f t="shared" si="0"/>
        <v>* metastasisSite.bone -&gt; ##34#TBD##34#</v>
      </c>
    </row>
    <row r="55" spans="2:5" x14ac:dyDescent="0.75">
      <c r="B55" s="11" t="str">
        <f>Staging!B53</f>
        <v>metastasisSite.liver</v>
      </c>
      <c r="C55" s="11" t="s">
        <v>168</v>
      </c>
      <c r="E55" s="12" t="str">
        <f t="shared" si="0"/>
        <v>* metastasisSite.liver -&gt; ##34#TBD##34#</v>
      </c>
    </row>
    <row r="56" spans="2:5" x14ac:dyDescent="0.75">
      <c r="B56" s="11" t="str">
        <f>Staging!B54</f>
        <v>metastasisSite.pleura</v>
      </c>
      <c r="C56" s="11" t="s">
        <v>168</v>
      </c>
      <c r="E56" s="12" t="str">
        <f t="shared" si="0"/>
        <v>* metastasisSite.pleura -&gt; ##34#TBD##34#</v>
      </c>
    </row>
    <row r="57" spans="2:5" x14ac:dyDescent="0.75">
      <c r="B57" s="11" t="str">
        <f>Staging!B55</f>
        <v>metastasisSite.peritoneum</v>
      </c>
      <c r="C57" s="11" t="s">
        <v>168</v>
      </c>
      <c r="E57" s="12" t="str">
        <f t="shared" si="0"/>
        <v>* metastasisSite.peritoneum -&gt; ##34#TBD##34#</v>
      </c>
    </row>
    <row r="58" spans="2:5" x14ac:dyDescent="0.75">
      <c r="B58" s="11" t="str">
        <f>Staging!B56</f>
        <v>metastasisSite.brain</v>
      </c>
      <c r="C58" s="11" t="s">
        <v>168</v>
      </c>
      <c r="E58" s="12" t="str">
        <f t="shared" si="0"/>
        <v>* metastasisSite.brain -&gt; ##34#TBD##34#</v>
      </c>
    </row>
    <row r="59" spans="2:5" x14ac:dyDescent="0.75">
      <c r="B59" s="11" t="str">
        <f>Staging!B57</f>
        <v>metastasisSite.otherViscera</v>
      </c>
      <c r="C59" s="11" t="s">
        <v>168</v>
      </c>
      <c r="E59" s="12" t="str">
        <f t="shared" si="0"/>
        <v>* metastasisSite.otherViscera -&gt; ##34#TBD##34#</v>
      </c>
    </row>
    <row r="60" spans="2:5" x14ac:dyDescent="0.75">
      <c r="B60" s="11" t="str">
        <f>Staging!B58</f>
        <v>metastasisSite.unknown</v>
      </c>
      <c r="C60" s="11" t="s">
        <v>168</v>
      </c>
      <c r="E60" s="12" t="str">
        <f t="shared" si="0"/>
        <v>* metastasisSite.unknown -&gt; ##34#TBD##34#</v>
      </c>
    </row>
    <row r="61" spans="2:5" x14ac:dyDescent="0.75">
      <c r="B61" s="11" t="str">
        <f>Staging!B59</f>
        <v>clinicalStagingDefinedBy</v>
      </c>
      <c r="C61" s="11" t="s">
        <v>168</v>
      </c>
      <c r="E61" s="12" t="str">
        <f t="shared" si="0"/>
        <v>* clinicalStagingDefinedBy -&gt; ##34#TBD##34#</v>
      </c>
    </row>
    <row r="62" spans="2:5" x14ac:dyDescent="0.75">
      <c r="B62" s="11" t="str">
        <f>Staging!B60</f>
        <v>pathologicalStage</v>
      </c>
      <c r="C62" s="11" t="s">
        <v>168</v>
      </c>
      <c r="E62" s="12" t="str">
        <f t="shared" si="0"/>
        <v>* pathologicalStage -&gt; ##34#TBD##34#</v>
      </c>
    </row>
    <row r="63" spans="2:5" x14ac:dyDescent="0.75">
      <c r="B63" s="11" t="str">
        <f>Staging!B61</f>
        <v>pathologicalStage.pt</v>
      </c>
      <c r="C63" s="11" t="s">
        <v>168</v>
      </c>
      <c r="E63" s="12" t="str">
        <f t="shared" si="0"/>
        <v>* pathologicalStage.pt -&gt; ##34#TBD##34#</v>
      </c>
    </row>
    <row r="64" spans="2:5" x14ac:dyDescent="0.75">
      <c r="B64" s="11" t="str">
        <f>Staging!B62</f>
        <v>pathologicalStage.pn</v>
      </c>
      <c r="C64" s="11" t="s">
        <v>168</v>
      </c>
      <c r="E64" s="12" t="str">
        <f t="shared" si="0"/>
        <v>* pathologicalStage.pn -&gt; ##34#TBD##34#</v>
      </c>
    </row>
    <row r="65" spans="2:5" x14ac:dyDescent="0.75">
      <c r="B65" s="11" t="str">
        <f>Staging!B63</f>
        <v>extranodalExtensionEne</v>
      </c>
      <c r="C65" s="11" t="s">
        <v>168</v>
      </c>
      <c r="E65" s="12" t="str">
        <f t="shared" si="0"/>
        <v>* extranodalExtensionEne -&gt; ##34#TBD##34#</v>
      </c>
    </row>
    <row r="66" spans="2:5" x14ac:dyDescent="0.75">
      <c r="B66" s="11" t="str">
        <f>Staging!B64</f>
        <v>extranodalExtent</v>
      </c>
      <c r="C66" s="11" t="s">
        <v>168</v>
      </c>
      <c r="E66" s="12" t="str">
        <f t="shared" si="0"/>
        <v>* extranodalExtent -&gt; ##34#TBD##34#</v>
      </c>
    </row>
    <row r="67" spans="2:5" x14ac:dyDescent="0.75">
      <c r="B67" s="11" t="str">
        <f>Staging!B65</f>
        <v>marginsAfterSurgery</v>
      </c>
      <c r="C67" s="11" t="s">
        <v>168</v>
      </c>
      <c r="E67" s="12" t="str">
        <f t="shared" si="0"/>
        <v>* marginsAfterSurgery -&gt; ##34#TBD##34#</v>
      </c>
    </row>
    <row r="68" spans="2:5" x14ac:dyDescent="0.75">
      <c r="B68" s="11" t="str">
        <f>Staging!B66</f>
        <v>marginsAfterSurgeryIf5Mm</v>
      </c>
      <c r="C68" s="11" t="s">
        <v>168</v>
      </c>
      <c r="E68" s="12" t="str">
        <f t="shared" si="0"/>
        <v>* marginsAfterSurgeryIf5Mm -&gt; ##34#TBD##34#</v>
      </c>
    </row>
    <row r="69" spans="2:5" x14ac:dyDescent="0.75">
      <c r="B69" s="11" t="str">
        <f>Staging!B67</f>
        <v>sentinelNode</v>
      </c>
      <c r="C69" s="11" t="s">
        <v>168</v>
      </c>
      <c r="E69" s="12" t="str">
        <f t="shared" si="0"/>
        <v>* sentinelNode -&gt; ##34#TBD##34#</v>
      </c>
    </row>
    <row r="70" spans="2:5" x14ac:dyDescent="0.75">
      <c r="B70" s="11" t="str">
        <f>Staging!B68</f>
        <v>neckDissection</v>
      </c>
      <c r="C70" s="11" t="s">
        <v>168</v>
      </c>
      <c r="E70" s="12" t="str">
        <f t="shared" si="0"/>
        <v>* neckDissection -&gt; ##34#TBD##34#</v>
      </c>
    </row>
    <row r="71" spans="2:5" x14ac:dyDescent="0.75">
      <c r="B71" s="11" t="str">
        <f>Staging!B69</f>
        <v>numberOfLymphNodesRemovedRightSide</v>
      </c>
      <c r="C71" s="11" t="s">
        <v>168</v>
      </c>
      <c r="E71" s="12" t="str">
        <f t="shared" si="0"/>
        <v>* numberOfLymphNodesRemovedRightSide -&gt; ##34#TBD##34#</v>
      </c>
    </row>
    <row r="72" spans="2:5" x14ac:dyDescent="0.75">
      <c r="B72" s="11" t="str">
        <f>Staging!B70</f>
        <v>numberOfPositiveLymphNodesRightSide</v>
      </c>
      <c r="C72" s="11" t="s">
        <v>168</v>
      </c>
      <c r="E72" s="12" t="str">
        <f t="shared" si="0"/>
        <v>* numberOfPositiveLymphNodesRightSide -&gt; ##34#TBD##34#</v>
      </c>
    </row>
    <row r="73" spans="2:5" x14ac:dyDescent="0.75">
      <c r="B73" s="11" t="str">
        <f>Staging!B71</f>
        <v>lnrRightLymphNodeRatio</v>
      </c>
      <c r="C73" s="11" t="s">
        <v>168</v>
      </c>
      <c r="E73" s="12" t="str">
        <f t="shared" si="0"/>
        <v>* lnrRightLymphNodeRatio -&gt; ##34#TBD##34#</v>
      </c>
    </row>
    <row r="74" spans="2:5" x14ac:dyDescent="0.75">
      <c r="B74" s="11" t="str">
        <f>Staging!B72</f>
        <v>numberOfLymphNodesRemovedLeftSide</v>
      </c>
      <c r="C74" s="11" t="s">
        <v>168</v>
      </c>
      <c r="E74" s="12" t="str">
        <f t="shared" ref="E74:E98" si="1">IF(B74=0,"*  -&gt; ##34###34#",CONCATENATE("* ",B74," -&gt; ##34#",C74,"##34#"))</f>
        <v>* numberOfLymphNodesRemovedLeftSide -&gt; ##34#TBD##34#</v>
      </c>
    </row>
    <row r="75" spans="2:5" x14ac:dyDescent="0.75">
      <c r="B75" s="11" t="str">
        <f>Staging!B73</f>
        <v>numberOfPositiveLymphNodesLeftSide</v>
      </c>
      <c r="C75" s="11" t="s">
        <v>168</v>
      </c>
      <c r="E75" s="12" t="str">
        <f t="shared" si="1"/>
        <v>* numberOfPositiveLymphNodesLeftSide -&gt; ##34#TBD##34#</v>
      </c>
    </row>
    <row r="76" spans="2:5" x14ac:dyDescent="0.75">
      <c r="B76" s="11" t="str">
        <f>Staging!B74</f>
        <v>lnrLeftLymphNodeRatio</v>
      </c>
      <c r="C76" s="11" t="s">
        <v>168</v>
      </c>
      <c r="E76" s="12" t="str">
        <f t="shared" si="1"/>
        <v>* lnrLeftLymphNodeRatio -&gt; ##34#TBD##34#</v>
      </c>
    </row>
    <row r="77" spans="2:5" x14ac:dyDescent="0.75">
      <c r="B77" s="11" t="str">
        <f>Staging!B75</f>
        <v>lymphovascularSpaceInvasionLvsi</v>
      </c>
      <c r="C77" s="11" t="s">
        <v>168</v>
      </c>
      <c r="E77" s="12" t="str">
        <f t="shared" si="1"/>
        <v>* lymphovascularSpaceInvasionLvsi -&gt; ##34#TBD##34#</v>
      </c>
    </row>
    <row r="78" spans="2:5" x14ac:dyDescent="0.75">
      <c r="B78" s="11" t="str">
        <f>Staging!B76</f>
        <v>perineuralInvasionPni</v>
      </c>
      <c r="C78" s="11" t="s">
        <v>168</v>
      </c>
      <c r="E78" s="12" t="str">
        <f t="shared" si="1"/>
        <v>* perineuralInvasionPni -&gt; ##34#TBD##34#</v>
      </c>
    </row>
    <row r="79" spans="2:5" x14ac:dyDescent="0.75">
      <c r="B79" s="11" t="str">
        <f>Staging!B77</f>
        <v>pm</v>
      </c>
      <c r="C79" s="11" t="s">
        <v>168</v>
      </c>
      <c r="E79" s="12" t="str">
        <f t="shared" si="1"/>
        <v>* pm -&gt; ##34#TBD##34#</v>
      </c>
    </row>
    <row r="80" spans="2:5" x14ac:dyDescent="0.75">
      <c r="B80" s="11" t="str">
        <f>Staging!B78</f>
        <v>pathologicalStaging</v>
      </c>
      <c r="C80" s="11" t="s">
        <v>168</v>
      </c>
      <c r="E80" s="12" t="str">
        <f t="shared" si="1"/>
        <v>* pathologicalStaging -&gt; ##34#TBD##34#</v>
      </c>
    </row>
    <row r="81" spans="2:5" x14ac:dyDescent="0.75">
      <c r="B81" s="11" t="str">
        <f>Staging!B79</f>
        <v>ajccEdition</v>
      </c>
      <c r="C81" s="11" t="s">
        <v>168</v>
      </c>
      <c r="E81" s="12" t="str">
        <f t="shared" si="1"/>
        <v>* ajccEdition -&gt; ##34#TBD##34#</v>
      </c>
    </row>
    <row r="82" spans="2:5" x14ac:dyDescent="0.75">
      <c r="B82" s="11" t="str">
        <f>Staging!B80</f>
        <v>mSite</v>
      </c>
      <c r="C82" s="11" t="s">
        <v>168</v>
      </c>
      <c r="E82" s="12" t="str">
        <f t="shared" si="1"/>
        <v>* mSite -&gt; ##34#TBD##34#</v>
      </c>
    </row>
    <row r="83" spans="2:5" x14ac:dyDescent="0.75">
      <c r="B83" s="11" t="str">
        <f>Staging!B81</f>
        <v>softTissue</v>
      </c>
      <c r="C83" s="11" t="s">
        <v>168</v>
      </c>
      <c r="E83" s="12" t="str">
        <f t="shared" si="1"/>
        <v>* softTissue -&gt; ##34#TBD##34#</v>
      </c>
    </row>
    <row r="84" spans="2:5" x14ac:dyDescent="0.75">
      <c r="B84" s="11" t="str">
        <f>Staging!B82</f>
        <v>distantLymphNode</v>
      </c>
      <c r="C84" s="11" t="s">
        <v>168</v>
      </c>
      <c r="E84" s="12" t="str">
        <f t="shared" si="1"/>
        <v>* distantLymphNode -&gt; ##34#TBD##34#</v>
      </c>
    </row>
    <row r="85" spans="2:5" x14ac:dyDescent="0.75">
      <c r="B85" s="11" t="str">
        <f>Staging!B83</f>
        <v>lung</v>
      </c>
      <c r="C85" s="11" t="s">
        <v>168</v>
      </c>
      <c r="E85" s="12" t="str">
        <f t="shared" si="1"/>
        <v>* lung -&gt; ##34#TBD##34#</v>
      </c>
    </row>
    <row r="86" spans="2:5" x14ac:dyDescent="0.75">
      <c r="B86" s="11" t="str">
        <f>Staging!B84</f>
        <v>bone</v>
      </c>
      <c r="C86" s="11" t="s">
        <v>168</v>
      </c>
      <c r="E86" s="12" t="str">
        <f t="shared" si="1"/>
        <v>* bone -&gt; ##34#TBD##34#</v>
      </c>
    </row>
    <row r="87" spans="2:5" x14ac:dyDescent="0.75">
      <c r="B87" s="11" t="str">
        <f>Staging!B85</f>
        <v>liver</v>
      </c>
      <c r="C87" s="11" t="s">
        <v>168</v>
      </c>
      <c r="E87" s="12" t="str">
        <f t="shared" si="1"/>
        <v>* liver -&gt; ##34#TBD##34#</v>
      </c>
    </row>
    <row r="88" spans="2:5" x14ac:dyDescent="0.75">
      <c r="B88" s="11" t="str">
        <f>Staging!B86</f>
        <v>pleura</v>
      </c>
      <c r="C88" s="11" t="s">
        <v>168</v>
      </c>
      <c r="E88" s="12" t="str">
        <f t="shared" si="1"/>
        <v>* pleura -&gt; ##34#TBD##34#</v>
      </c>
    </row>
    <row r="89" spans="2:5" x14ac:dyDescent="0.75">
      <c r="B89" s="11" t="str">
        <f>Staging!B87</f>
        <v>peritoneum</v>
      </c>
      <c r="C89" s="11" t="s">
        <v>168</v>
      </c>
      <c r="E89" s="12" t="str">
        <f t="shared" si="1"/>
        <v>* peritoneum -&gt; ##34#TBD##34#</v>
      </c>
    </row>
    <row r="90" spans="2:5" x14ac:dyDescent="0.75">
      <c r="B90" s="11" t="str">
        <f>Staging!B88</f>
        <v>brain</v>
      </c>
      <c r="C90" s="11" t="s">
        <v>168</v>
      </c>
      <c r="E90" s="12" t="str">
        <f t="shared" si="1"/>
        <v>* brain -&gt; ##34#TBD##34#</v>
      </c>
    </row>
    <row r="91" spans="2:5" x14ac:dyDescent="0.75">
      <c r="B91" s="11" t="str">
        <f>Staging!B89</f>
        <v>otherViscera</v>
      </c>
      <c r="C91" s="11" t="s">
        <v>168</v>
      </c>
      <c r="E91" s="12" t="str">
        <f t="shared" si="1"/>
        <v>* otherViscera -&gt; ##34#TBD##34#</v>
      </c>
    </row>
    <row r="92" spans="2:5" x14ac:dyDescent="0.75">
      <c r="B92" s="11" t="str">
        <f>Staging!B90</f>
        <v>msite</v>
      </c>
      <c r="C92" s="11" t="s">
        <v>168</v>
      </c>
      <c r="E92" s="12" t="str">
        <f t="shared" si="1"/>
        <v>* msite -&gt; ##34#TBD##34#</v>
      </c>
    </row>
    <row r="93" spans="2:5" x14ac:dyDescent="0.75">
      <c r="B93" s="11" t="str">
        <f>Staging!B91</f>
        <v>unknown</v>
      </c>
      <c r="C93" s="11" t="s">
        <v>168</v>
      </c>
      <c r="E93" s="12" t="str">
        <f t="shared" si="1"/>
        <v>* unknown -&gt; ##34#TBD##34#</v>
      </c>
    </row>
    <row r="94" spans="2:5" x14ac:dyDescent="0.75">
      <c r="B94" s="11" t="str">
        <f>Staging!B92</f>
        <v>pathologicalStagingDefinedBy</v>
      </c>
      <c r="C94" s="11" t="s">
        <v>168</v>
      </c>
      <c r="E94" s="12" t="str">
        <f t="shared" si="1"/>
        <v>* pathologicalStagingDefinedBy -&gt; ##34#TBD##34#</v>
      </c>
    </row>
    <row r="95" spans="2:5" x14ac:dyDescent="0.75">
      <c r="B95" s="11" t="str">
        <f>Staging!B93</f>
        <v>instrumentStatus</v>
      </c>
      <c r="C95" s="11" t="s">
        <v>168</v>
      </c>
      <c r="E95" s="12" t="str">
        <f t="shared" si="1"/>
        <v>* instrumentStatus -&gt; ##34#TBD##34#</v>
      </c>
    </row>
    <row r="96" spans="2:5" x14ac:dyDescent="0.75">
      <c r="B96" s="11"/>
      <c r="C96" s="11" t="s">
        <v>168</v>
      </c>
      <c r="E96" s="12" t="str">
        <f t="shared" si="1"/>
        <v>*  -&gt; ##34###34#</v>
      </c>
    </row>
    <row r="97" spans="2:5" x14ac:dyDescent="0.75">
      <c r="B97" s="11"/>
      <c r="E97" s="12" t="str">
        <f t="shared" si="1"/>
        <v>*  -&gt; ##34###34#</v>
      </c>
    </row>
    <row r="98" spans="2:5" x14ac:dyDescent="0.75">
      <c r="B98" s="11"/>
      <c r="E98" s="12" t="str">
        <f t="shared" si="1"/>
        <v>*  -&gt; ##34###34#</v>
      </c>
    </row>
    <row r="99" spans="2:5" x14ac:dyDescent="0.75">
      <c r="B99" s="11"/>
    </row>
    <row r="100" spans="2:5" x14ac:dyDescent="0.75">
      <c r="B100" s="11"/>
    </row>
    <row r="101" spans="2:5" x14ac:dyDescent="0.75">
      <c r="B101" s="11"/>
    </row>
    <row r="102" spans="2:5" x14ac:dyDescent="0.75">
      <c r="B102" s="11"/>
    </row>
    <row r="103" spans="2:5" x14ac:dyDescent="0.75">
      <c r="B103" s="1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Staging!J1</f>
        <v>//===================================================</v>
      </c>
    </row>
    <row r="2" spans="3:7" ht="16.75" thickBot="1" x14ac:dyDescent="0.9">
      <c r="C2" s="25" t="str">
        <f>Staging!J2</f>
        <v>//  Logical Model</v>
      </c>
      <c r="G2" s="30" t="s">
        <v>409</v>
      </c>
    </row>
    <row r="3" spans="3:7" x14ac:dyDescent="0.75">
      <c r="C3" s="25" t="str">
        <f>Staging!J3</f>
        <v>//===================================================</v>
      </c>
    </row>
    <row r="4" spans="3:7" x14ac:dyDescent="0.75">
      <c r="C4" s="17" t="str">
        <f>Staging!J4</f>
        <v>Logical: StagingI4rc</v>
      </c>
    </row>
    <row r="5" spans="3:7" x14ac:dyDescent="0.75">
      <c r="C5" s="17" t="str">
        <f>Staging!J5</f>
        <v>Id: Staging</v>
      </c>
    </row>
    <row r="6" spans="3:7" x14ac:dyDescent="0.75">
      <c r="C6" s="17" t="str">
        <f>Staging!J6</f>
        <v>Title: ##34#Staging##34#</v>
      </c>
    </row>
    <row r="7" spans="3:7" ht="29.5" x14ac:dyDescent="0.75">
      <c r="C7" s="17" t="str">
        <f>Staging!J7</f>
        <v>Description:  ##334#Staging
Maturity Level: 0 Draft##334#</v>
      </c>
    </row>
    <row r="8" spans="3:7" x14ac:dyDescent="0.75">
      <c r="C8" s="12" t="str">
        <f>IF(Staging!J8="*  ..  ##34###34# ##334###334#","//--- END",Staging!J8)</f>
        <v>* stagingProceduresDoneBy 0..1 BackboneElement ##34#Staging procedures done by##34# ##334###334#</v>
      </c>
    </row>
    <row r="9" spans="3:7" x14ac:dyDescent="0.75">
      <c r="C9" s="12" t="str">
        <f>IF(Staging!J9="*  ..  ##34###34# ##334###334#","//--- END",Staging!J9)</f>
        <v>* imagingPerformed 0..1 BackboneElement ##34#Imaging for primary site##34# ##334#Imaging study for primary site##334#</v>
      </c>
    </row>
    <row r="10" spans="3:7" ht="29.5" x14ac:dyDescent="0.75">
      <c r="C10" s="12" t="str">
        <f>IF(Staging!J10="*  ..  ##34###34# ##334###334#","//--- END",Staging!J10)</f>
        <v>* imagingPerformed.flag 0..1 boolean ##34#flag##34# ##334#Whether any imaging study for primary site  was performed or not##334#</v>
      </c>
    </row>
    <row r="11" spans="3:7" ht="29.5" x14ac:dyDescent="0.75">
      <c r="C11" s="12" t="str">
        <f>IF(Staging!J11="*  ..  ##34###34# ##334###334#","//--- END",Staging!J11)</f>
        <v>* imagingPerformed.cTPerformed 0..1 string ##34#CT##34# ##334#Whether Computed Tomography  for primary site was performed or not and when it was performed if contrast was used##334#</v>
      </c>
    </row>
    <row r="12" spans="3:7" ht="29.5" x14ac:dyDescent="0.75">
      <c r="C12" s="12" t="str">
        <f>IF(Staging!J12="*  ..  ##34###34# ##334###334#","//--- END",Staging!J12)</f>
        <v>* imagingPerformed.mRIPerformed 0..1 string ##34#MRI##34# ##334#Describes wherther Magnetic Resonance for primary site was performed or not and when it was performed if contrast was used##334#</v>
      </c>
    </row>
    <row r="13" spans="3:7" ht="29.5" x14ac:dyDescent="0.75">
      <c r="C13" s="12" t="str">
        <f>IF(Staging!J13="*  ..  ##34###34# ##334###334#","//--- END",Staging!J13)</f>
        <v>* imagingPerformed.uSPerformed 0..1 string ##34#US##34# ##334#Describes whether Ultrasound Scan for primary site was performed or not##334#</v>
      </c>
    </row>
    <row r="14" spans="3:7" ht="29.5" x14ac:dyDescent="0.75">
      <c r="C14" s="12" t="str">
        <f>IF(Staging!J14="*  ..  ##34###34# ##334###334#","//--- END",Staging!J14)</f>
        <v>* imagingPerformed.fDGPETPerformed 0..1 string ##34#FDG PET##34# ##334#Describes whether a  fluorodeoxyglucose positron emission tomography for primary site was performed or not##334#</v>
      </c>
    </row>
    <row r="15" spans="3:7" ht="29.5" x14ac:dyDescent="0.7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x14ac:dyDescent="0.7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x14ac:dyDescent="0.75">
      <c r="C17" s="12" t="str">
        <f>IF(Staging!J17="*  ..  ##34###34# ##334###334#","//--- END",Staging!J17)</f>
        <v>* imagingPerformed.cTPETPerformed 0..1 string ##34#CTPET##34# ##334#Describes whether a  computed tomography with positron emission tomography for primary site was performed or not##334#</v>
      </c>
    </row>
    <row r="18" spans="3:3" ht="29.5" x14ac:dyDescent="0.75">
      <c r="C18" s="12" t="str">
        <f>IF(Staging!J18="*  ..  ##34###34# ##334###334#","//--- END",Staging!J18)</f>
        <v>* imagingPerformed.unknownPerformed 0..1 string ##34#Unknown##34# ##334#Describes whether an imaging was performed but the information about the type of imaging was not available##334#</v>
      </c>
    </row>
    <row r="19" spans="3:3" ht="29.5" x14ac:dyDescent="0.7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x14ac:dyDescent="0.75">
      <c r="C20" s="12" t="str">
        <f>IF(Staging!J20="*  ..  ##34###34# ##334###334#","//--- END",Staging!J20)</f>
        <v>* imagingforneckPerformed 0..1 BackboneElement ##34#Imaging for neck##34# ##334#Imaging study for the neck##334#</v>
      </c>
    </row>
    <row r="21" spans="3:3" ht="29.5" x14ac:dyDescent="0.75">
      <c r="C21" s="12" t="str">
        <f>IF(Staging!J21="*  ..  ##34###34# ##334###334#","//--- END",Staging!J21)</f>
        <v>* imagingforneckPerformed.flag 0..1 string ##34#Imaging for neck##34# ##334#Whether any imaging study for the neck was performed or not##334#</v>
      </c>
    </row>
    <row r="22" spans="3:3" ht="29.5" x14ac:dyDescent="0.75">
      <c r="C22" s="12" t="str">
        <f>IF(Staging!J22="*  ..  ##34###34# ##334###334#","//--- END",Staging!J22)</f>
        <v>* imagingforneckPerformed.cTPerformed 0..1 string ##34#CT##34# ##334#whether Computed Tomography  for the neck was performed or not and when it was performed if contrast was used##334#</v>
      </c>
    </row>
    <row r="23" spans="3:3" ht="29.5" x14ac:dyDescent="0.75">
      <c r="C23" s="12" t="str">
        <f>IF(Staging!J23="*  ..  ##34###34# ##334###334#","//--- END",Staging!J23)</f>
        <v>* imagingforneckPerformed.mRIPerformed 0..1 string ##34#MRI##34# ##334#Describes whether Magnetic Resonance for the neck was performed or not and when it was performed if contrast was used##334#</v>
      </c>
    </row>
    <row r="24" spans="3:3" ht="29.5" x14ac:dyDescent="0.75">
      <c r="C24" s="12" t="str">
        <f>IF(Staging!J24="*  ..  ##34###34# ##334###334#","//--- END",Staging!J24)</f>
        <v>* imagingforneckPerformed.uSPerformed 0..1 string ##34#US##34# ##334#Describes whether Ultrasound Scan for the neck was performed or not##334#</v>
      </c>
    </row>
    <row r="25" spans="3:3" ht="29.5" x14ac:dyDescent="0.75">
      <c r="C25" s="12" t="str">
        <f>IF(Staging!J25="*  ..  ##34###34# ##334###334#","//--- END",Staging!J25)</f>
        <v>* imagingforneckPerformed.fDGPETPerformed 0..1 string ##34#FDG PET##34# ##334#Describes whether a  fluorodeoxyglucose positron emission tomography for the neck was performed or not##334#</v>
      </c>
    </row>
    <row r="26" spans="3:3" ht="29.5" x14ac:dyDescent="0.7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x14ac:dyDescent="0.75">
      <c r="C27" s="12" t="str">
        <f>IF(Staging!J27="*  ..  ##34###34# ##334###334#","//--- END",Staging!J27)</f>
        <v>* imagingforneckPerformed.cTPETPerformed 0..1 string ##34#CTPET##34# ##334#Describes whether a  computed tomography with positron emission tomography for the neck was performed or not##334#</v>
      </c>
    </row>
    <row r="28" spans="3:3" ht="29.5" x14ac:dyDescent="0.75">
      <c r="C28" s="12" t="str">
        <f>IF(Staging!J28="*  ..  ##34###34# ##334###334#","//--- END",Staging!J28)</f>
        <v>* imagingforneckPerformed.unknownPerformed 0..1 string ##34#Unknown##34# ##334#Describes whether an imaging on neck was performed but the information about the type of imaging was not available##334#</v>
      </c>
    </row>
    <row r="29" spans="3:3" ht="29.5" x14ac:dyDescent="0.75">
      <c r="C29" s="12" t="str">
        <f>IF(Staging!J29="*  ..  ##34###34# ##334###334#","//--- END",Staging!J29)</f>
        <v>* imagingforneckPerformed.otherimagingforneckPerformed 0..1 string ##34#Other imaging for neck##34# ##334#Any other diagnostic imaging method performed for staging the neck should be included here##334#</v>
      </c>
    </row>
    <row r="30" spans="3:3" ht="29.5" x14ac:dyDescent="0.75">
      <c r="C30" s="12" t="str">
        <f>IF(Staging!J30="*  ..  ##34###34# ##334###334#","//--- END",Staging!J30)</f>
        <v>* imagingformetastasisPerformed 0..1 BackboneElement ##34#Imaging for metastasis ##34# ##334#Imaging study for metastasis##334#</v>
      </c>
    </row>
    <row r="31" spans="3:3" ht="29.5" x14ac:dyDescent="0.75">
      <c r="C31" s="12" t="str">
        <f>IF(Staging!J31="*  ..  ##34###34# ##334###334#","//--- END",Staging!J31)</f>
        <v>* imagingformetastasisPerformed.imagingformetastasisPerformed 0..1 string ##34#Imaging for metastasis ##34# ##334#Wherther any imaging study for metastasis was performed or not##334#</v>
      </c>
    </row>
    <row r="32" spans="3:3" ht="29.5" x14ac:dyDescent="0.75">
      <c r="C32" s="12" t="str">
        <f>IF(Staging!J32="*  ..  ##34###34# ##334###334#","//--- END",Staging!J32)</f>
        <v>* imagingformetastasisPerformed.cTPerformed 0..1 string ##34#CT##34# ##334#whether Computed Tomography  for metatasis was performed or not and when it was performed if contrast was used##334#</v>
      </c>
    </row>
    <row r="33" spans="3:3" ht="29.5" x14ac:dyDescent="0.75">
      <c r="C33" s="12" t="str">
        <f>IF(Staging!J33="*  ..  ##34###34# ##334###334#","//--- END",Staging!J33)</f>
        <v>* imagingformetastasisPerformed.mRIPerformed 0..1 string ##34#MRI##34# ##334#Describes whether Magnetic Resonanc for metastasis was performed or not and when it was performed if contrast was used##334#</v>
      </c>
    </row>
    <row r="34" spans="3:3" ht="29.5" x14ac:dyDescent="0.75">
      <c r="C34" s="12" t="str">
        <f>IF(Staging!J34="*  ..  ##34###34# ##334###334#","//--- END",Staging!J34)</f>
        <v>* imagingformetastasisPerformed.uSPerformed 0..1 string ##34#US##34# ##334#Describes whether Ultrasound Scan for metastasis was performed or not##334#</v>
      </c>
    </row>
    <row r="35" spans="3:3" ht="29.5" x14ac:dyDescent="0.75">
      <c r="C35" s="12" t="str">
        <f>IF(Staging!J35="*  ..  ##34###34# ##334###334#","//--- END",Staging!J35)</f>
        <v>* imagingformetastasisPerformed.fDGPETPerformed 0..1 string ##34#FDG PET##34# ##334#Describes whether a  fluorodeoxyglucose positron emission tomography for metastasis was performed or not##334#</v>
      </c>
    </row>
    <row r="36" spans="3:3" ht="29.5" x14ac:dyDescent="0.7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x14ac:dyDescent="0.75">
      <c r="C37" s="12" t="str">
        <f>IF(Staging!J37="*  ..  ##34###34# ##334###334#","//--- END",Staging!J37)</f>
        <v>* imagingformetastasisPerformed.cTPETPerformed 0..1 string ##34#CTPET##34# ##334#Describes whether a  computed tomography with positron emission tomography for the neck was performed or not##334#</v>
      </c>
    </row>
    <row r="38" spans="3:3" ht="29.5" x14ac:dyDescent="0.7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x14ac:dyDescent="0.7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x14ac:dyDescent="0.75">
      <c r="C40" s="12" t="str">
        <f>IF(Staging!J40="*  ..  ##34###34# ##334###334#","//--- END",Staging!J40)</f>
        <v>* clinicalStage 0..1 BackboneElement ##34#Clinical  stage##34# ##334###334#</v>
      </c>
    </row>
    <row r="41" spans="3:3" x14ac:dyDescent="0.75">
      <c r="C41" s="12" t="str">
        <f>IF(Staging!J41="*  ..  ##34###34# ##334###334#","//--- END",Staging!J41)</f>
        <v>* clinicalStage.ct 0..1 string ##34#cT##34# ##334#Specifies the clinical T##334#</v>
      </c>
    </row>
    <row r="42" spans="3:3" x14ac:dyDescent="0.75">
      <c r="C42" s="12" t="str">
        <f>IF(Staging!J42="*  ..  ##34###34# ##334###334#","//--- END",Staging!J42)</f>
        <v>* clinicalStage.cn 0..1 string ##34#cN##34# ##334#Specifies the clinical N##334#</v>
      </c>
    </row>
    <row r="43" spans="3:3" ht="29.5" x14ac:dyDescent="0.7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x14ac:dyDescent="0.75">
      <c r="C44" s="12" t="str">
        <f>IF(Staging!J44="*  ..  ##34###34# ##334###334#","//--- END",Staging!J44)</f>
        <v>* clinicalStage.cm 0..1 string ##34#cM##34# ##334#Specifies the clinical M##334#</v>
      </c>
    </row>
    <row r="45" spans="3:3" x14ac:dyDescent="0.75">
      <c r="C45" s="12" t="str">
        <f>IF(Staging!J45="*  ..  ##34###34# ##334###334#","//--- END",Staging!J45)</f>
        <v>* clinicalStage.clinicalStaging 0..1 string ##34#Clinical staging##34# ##334#Specifies the clinical TNM##334#</v>
      </c>
    </row>
    <row r="46" spans="3:3" x14ac:dyDescent="0.75">
      <c r="C46" s="12" t="str">
        <f>IF(Staging!J46="*  ..  ##34###34# ##334###334#","//--- END",Staging!J46)</f>
        <v>* clinicalStage.ajccEdition 0..1 string ##34#Ajcc edition##34# ##334#Describe the edition of the AJCC used for staging##334#</v>
      </c>
    </row>
    <row r="47" spans="3:3" ht="29.5" x14ac:dyDescent="0.75">
      <c r="C47" s="12" t="str">
        <f>IF(Staging!J47="*  ..  ##34###34# ##334###334#","//--- END",Staging!J47)</f>
        <v>* clinicalStage.nan 0..1 string ##34#M site##34# ##334#Describes site of metastasic disease at the time of initial diagnosis or assesed before treatment More than one choice is allowed##334#</v>
      </c>
    </row>
    <row r="48" spans="3:3" x14ac:dyDescent="0.75">
      <c r="C48" s="12" t="str">
        <f>IF(Staging!J48="*  ..  ##34###34# ##334###334#","//--- END",Staging!J48)</f>
        <v>* metastasisSite 0..* BackboneElement ##34#Site of Metastasis##34# ##334#Site of Metastasis##334#</v>
      </c>
    </row>
    <row r="49" spans="3:3" x14ac:dyDescent="0.75">
      <c r="C49" s="12" t="str">
        <f>IF(Staging!J49="*  ..  ##34###34# ##334###334#","//--- END",Staging!J49)</f>
        <v>* metastasisSite.softTissue 0..1 string ##34#Soft tissue##34# ##334#Describes if site of metastasic disease  is soft tissue##334#</v>
      </c>
    </row>
    <row r="50" spans="3:3" ht="29.5" x14ac:dyDescent="0.75">
      <c r="C50" s="12" t="str">
        <f>IF(Staging!J50="*  ..  ##34###34# ##334###334#","//--- END",Staging!J50)</f>
        <v>* metastasisSite.distantLymphNode 0..1 string ##34#distant lymph node##34# ##334#Describes if site of metastasic disease  is dystan lymph node##334#</v>
      </c>
    </row>
    <row r="51" spans="3:3" x14ac:dyDescent="0.75">
      <c r="C51" s="12" t="str">
        <f>IF(Staging!J51="*  ..  ##34###34# ##334###334#","//--- END",Staging!J51)</f>
        <v>* metastasisSite.lung 0..1 string ##34#lung##34# ##334#Describes if site of metastasic disease  is lung##334#</v>
      </c>
    </row>
    <row r="52" spans="3:3" x14ac:dyDescent="0.75">
      <c r="C52" s="12" t="str">
        <f>IF(Staging!J52="*  ..  ##34###34# ##334###334#","//--- END",Staging!J52)</f>
        <v>* metastasisSite.bone 0..1 string ##34#bone##34# ##334#Describes if site of metastasic disease  is bone##334#</v>
      </c>
    </row>
    <row r="53" spans="3:3" x14ac:dyDescent="0.75">
      <c r="C53" s="12" t="str">
        <f>IF(Staging!J53="*  ..  ##34###34# ##334###334#","//--- END",Staging!J53)</f>
        <v>* metastasisSite.liver 0..1 string ##34#liver##34# ##334#Describes if site of metastasic disease  is liver##334#</v>
      </c>
    </row>
    <row r="54" spans="3:3" x14ac:dyDescent="0.75">
      <c r="C54" s="12" t="str">
        <f>IF(Staging!J54="*  ..  ##34###34# ##334###334#","//--- END",Staging!J54)</f>
        <v>* metastasisSite.pleura 0..1 string ##34#pleura##34# ##334#Describes if site of metastasic disease  is pleura##334#</v>
      </c>
    </row>
    <row r="55" spans="3:3" ht="29.5" x14ac:dyDescent="0.75">
      <c r="C55" s="12" t="str">
        <f>IF(Staging!J55="*  ..  ##34###34# ##334###334#","//--- END",Staging!J55)</f>
        <v>* metastasisSite.peritoneum 0..1 string ##34#peritoneum##34# ##334#Describes if site of metastasic disease  is peritoneum##334#</v>
      </c>
    </row>
    <row r="56" spans="3:3" x14ac:dyDescent="0.75">
      <c r="C56" s="12" t="str">
        <f>IF(Staging!J56="*  ..  ##34###34# ##334###334#","//--- END",Staging!J56)</f>
        <v>* metastasisSite.brain 0..1 string ##34#brain##34# ##334#Describes if site of metastasic disease  is brain##334#</v>
      </c>
    </row>
    <row r="57" spans="3:3" ht="29.5" x14ac:dyDescent="0.75">
      <c r="C57" s="12" t="str">
        <f>IF(Staging!J57="*  ..  ##34###34# ##334###334#","//--- END",Staging!J57)</f>
        <v>* metastasisSite.otherViscera 0..1 string ##34#other viscera##34# ##334#Describes if site of metastasic disease  is other viscera##334#</v>
      </c>
    </row>
    <row r="58" spans="3:3" x14ac:dyDescent="0.75">
      <c r="C58" s="12" t="str">
        <f>IF(Staging!J58="*  ..  ##34###34# ##334###334#","//--- END",Staging!J58)</f>
        <v>* metastasisSite.unknown 0..1 string ##34#unknown##34# ##334#Describes if site of metastasic disease  is unknown##334#</v>
      </c>
    </row>
    <row r="59" spans="3:3" ht="29.5" x14ac:dyDescent="0.75">
      <c r="C59" s="12" t="str">
        <f>IF(Staging!J59="*  ..  ##34###34# ##334###334#","//--- END",Staging!J59)</f>
        <v>* clinicalStagingDefinedBy 0..1 string ##34#Clinical staging defined by##34# ##334#Describes the institution where initial clinical staging of the disease was defined##334#</v>
      </c>
    </row>
    <row r="60" spans="3:3" x14ac:dyDescent="0.75">
      <c r="C60" s="12" t="str">
        <f>IF(Staging!J60="*  ..  ##34###34# ##334###334#","//--- END",Staging!J60)</f>
        <v>* pathologicalStage 0..1 BackboneElement ##34#Pathological stage##34# ##334#Pathological stage##334#</v>
      </c>
    </row>
    <row r="61" spans="3:3" x14ac:dyDescent="0.75">
      <c r="C61" s="12" t="str">
        <f>IF(Staging!J61="*  ..  ##34###34# ##334###334#","//--- END",Staging!J61)</f>
        <v>* pathologicalStage.pt 0..1 string ##34#pT##34# ##334#Specifies the pathological T##334#</v>
      </c>
    </row>
    <row r="62" spans="3:3" x14ac:dyDescent="0.75">
      <c r="C62" s="12" t="str">
        <f>IF(Staging!J62="*  ..  ##34###34# ##334###334#","//--- END",Staging!J62)</f>
        <v>* pathologicalStage.pn 0..1 string ##34#pN##34# ##334#Specifies the pathological N##334#</v>
      </c>
    </row>
    <row r="63" spans="3:3" ht="29.5" x14ac:dyDescent="0.75">
      <c r="C63" s="12" t="str">
        <f>IF(Staging!J63="*  ..  ##34###34# ##334###334#","//--- END",Staging!J63)</f>
        <v>* extranodalExtensionEne 0..1 string ##34#Extranodal extension ENE##34# ##334#Describes whether capsular extension is present by histopathologic examination or not##334#</v>
      </c>
    </row>
    <row r="64" spans="3:3" ht="29.5" x14ac:dyDescent="0.7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x14ac:dyDescent="0.7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x14ac:dyDescent="0.7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x14ac:dyDescent="0.7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x14ac:dyDescent="0.75">
      <c r="C68" s="12" t="str">
        <f>IF(Staging!J68="*  ..  ##34###34# ##334###334#","//--- END",Staging!J68)</f>
        <v>* neckDissection 0..1 string ##34#Neck dissection##34# ##334#Describes whether a protocoled and standardized en block resection of lymphatic tissue is performed or not##334#</v>
      </c>
    </row>
    <row r="69" spans="3:3" ht="44.25" x14ac:dyDescent="0.7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x14ac:dyDescent="0.7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x14ac:dyDescent="0.75">
      <c r="C71" s="12" t="str">
        <f>IF(Staging!J71="*  ..  ##34###34# ##334###334#","//--- END",Staging!J71)</f>
        <v>* lnrRightLymphNodeRatio 0..1 integer ##34#LNR right Lymph node ratio##34# ##334#Automatically calculated from the right results##334#</v>
      </c>
    </row>
    <row r="72" spans="3:3" ht="44.25" x14ac:dyDescent="0.7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x14ac:dyDescent="0.7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x14ac:dyDescent="0.75">
      <c r="C74" s="12" t="str">
        <f>IF(Staging!J74="*  ..  ##34###34# ##334###334#","//--- END",Staging!J74)</f>
        <v>* lnrLeftLymphNodeRatio 0..1 integer ##34#LNR left Lymph node ratio##34# ##334#Automatically calculated from left results##334#</v>
      </c>
    </row>
    <row r="75" spans="3:3" ht="44.25" x14ac:dyDescent="0.7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x14ac:dyDescent="0.7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x14ac:dyDescent="0.75">
      <c r="C77" s="12" t="str">
        <f>IF(Staging!J77="*  ..  ##34###34# ##334###334#","//--- END",Staging!J77)</f>
        <v>* pm 0..1 string ##34#pM##34# ##334#Specifies the pathological M##334#</v>
      </c>
    </row>
    <row r="78" spans="3:3" x14ac:dyDescent="0.75">
      <c r="C78" s="12" t="str">
        <f>IF(Staging!J78="*  ..  ##34###34# ##334###334#","//--- END",Staging!J78)</f>
        <v>* pathologicalStaging 0..1 string ##34#Pathological staging##34# ##334#Specifies the pathological staging##334#</v>
      </c>
    </row>
    <row r="79" spans="3:3" x14ac:dyDescent="0.75">
      <c r="C79" s="12" t="str">
        <f>IF(Staging!J79="*  ..  ##34###34# ##334###334#","//--- END",Staging!J79)</f>
        <v>* ajccEdition 0..1 BackboneElement ##34#Ajcc edition##34# ##334#Ajcc edition##334#</v>
      </c>
    </row>
    <row r="80" spans="3:3" x14ac:dyDescent="0.75">
      <c r="C80" s="12" t="str">
        <f>IF(Staging!J80="*  ..  ##34###34# ##334###334#","//--- END",Staging!J80)</f>
        <v>* mSite 0..1 BackboneElement ##34#M site##34# ##334#M site##334#</v>
      </c>
    </row>
    <row r="81" spans="3:3" x14ac:dyDescent="0.75">
      <c r="C81" s="12" t="str">
        <f>IF(Staging!J81="*  ..  ##34###34# ##334###334#","//--- END",Staging!J81)</f>
        <v>* softTissue 0..1 BackboneElement ##34#Soft Tissue##34# ##334#Soft Tissue##334#</v>
      </c>
    </row>
    <row r="82" spans="3:3" x14ac:dyDescent="0.75">
      <c r="C82" s="12" t="str">
        <f>IF(Staging!J82="*  ..  ##34###34# ##334###334#","//--- END",Staging!J82)</f>
        <v>* distantLymphNode 0..1 BackboneElement ##34#distant lymph node##34# ##334#distant lymph node##334#</v>
      </c>
    </row>
    <row r="83" spans="3:3" x14ac:dyDescent="0.75">
      <c r="C83" s="12" t="str">
        <f>IF(Staging!J83="*  ..  ##34###34# ##334###334#","//--- END",Staging!J83)</f>
        <v>* lung 0..1 BackboneElement ##34#lung##34# ##334#lung##334#</v>
      </c>
    </row>
    <row r="84" spans="3:3" x14ac:dyDescent="0.75">
      <c r="C84" s="12" t="str">
        <f>IF(Staging!J84="*  ..  ##34###34# ##334###334#","//--- END",Staging!J84)</f>
        <v>* bone 0..1 BackboneElement ##34#bone##34# ##334#bone##334#</v>
      </c>
    </row>
    <row r="85" spans="3:3" x14ac:dyDescent="0.75">
      <c r="C85" s="12" t="str">
        <f>IF(Staging!J85="*  ..  ##34###34# ##334###334#","//--- END",Staging!J85)</f>
        <v>* liver 0..1 BackboneElement ##34#liver##34# ##334#liver##334#</v>
      </c>
    </row>
    <row r="86" spans="3:3" x14ac:dyDescent="0.75">
      <c r="C86" s="12" t="str">
        <f>IF(Staging!J86="*  ..  ##34###34# ##334###334#","//--- END",Staging!J86)</f>
        <v>* pleura 0..1 BackboneElement ##34#pleura##34# ##334#pleura##334#</v>
      </c>
    </row>
    <row r="87" spans="3:3" x14ac:dyDescent="0.75">
      <c r="C87" s="12" t="str">
        <f>IF(Staging!J87="*  ..  ##34###34# ##334###334#","//--- END",Staging!J87)</f>
        <v>* peritoneum 0..1 BackboneElement ##34#peritoneum##34# ##334#peritoneum##334#</v>
      </c>
    </row>
    <row r="88" spans="3:3" x14ac:dyDescent="0.75">
      <c r="C88" s="12" t="str">
        <f>IF(Staging!J88="*  ..  ##34###34# ##334###334#","//--- END",Staging!J88)</f>
        <v>* brain 0..1 BackboneElement ##34#brain##34# ##334#brain##334#</v>
      </c>
    </row>
    <row r="89" spans="3:3" x14ac:dyDescent="0.75">
      <c r="C89" s="12" t="str">
        <f>IF(Staging!J89="*  ..  ##34###34# ##334###334#","//--- END",Staging!J89)</f>
        <v>* otherViscera 0..1 BackboneElement ##34#other viscera##34# ##334#other viscera##334#</v>
      </c>
    </row>
    <row r="90" spans="3:3" x14ac:dyDescent="0.75">
      <c r="C90" s="12" t="str">
        <f>IF(Staging!J90="*  ..  ##34###34# ##334###334#","//--- END",Staging!J90)</f>
        <v>* msite 0..1 string ##34#M SITE##34# ##334#Specifices the M SITE##334#</v>
      </c>
    </row>
    <row r="91" spans="3:3" x14ac:dyDescent="0.75">
      <c r="C91" s="12" t="str">
        <f>IF(Staging!J91="*  ..  ##34###34# ##334###334#","//--- END",Staging!J91)</f>
        <v>* unknown 0..1 BackboneElement ##34#unknown##34# ##334#unknown##334#</v>
      </c>
    </row>
    <row r="92" spans="3:3" ht="29.5" x14ac:dyDescent="0.75">
      <c r="C92" s="12" t="str">
        <f>IF(Staging!J92="*  ..  ##34###34# ##334###334#","//--- END",Staging!J92)</f>
        <v>* pathologicalStagingDefinedBy 0..1 BackboneElement ##34#Pathological staging defined by##34# ##334#Pathological staging defined by##334#</v>
      </c>
    </row>
    <row r="93" spans="3:3" x14ac:dyDescent="0.75">
      <c r="C93" s="12" t="str">
        <f>IF(Staging!J93="*  ..  ##34###34# ##334###334#","//--- END",Staging!J93)</f>
        <v>* instrumentStatus 0..1 BackboneElement ##34#Instrument status##34# ##334#Instrument status##334#</v>
      </c>
    </row>
    <row r="94" spans="3:3" x14ac:dyDescent="0.75">
      <c r="C94" s="12" t="str">
        <f>IF(Staging!J94="*  ..  ##34###34# ##334###334#","//--- END",Staging!J94)</f>
        <v>//--- END</v>
      </c>
    </row>
    <row r="95" spans="3:3" x14ac:dyDescent="0.75">
      <c r="C95" s="12" t="str">
        <f>IF(Staging!J95="*  ..  ##34###34# ##334###334#","//--- END",Staging!J95)</f>
        <v>//--- END</v>
      </c>
    </row>
    <row r="96" spans="3:3" x14ac:dyDescent="0.75">
      <c r="C96" s="12" t="str">
        <f>IF(Staging!J96="*  ..  ##34###34# ##334###334#","//--- END",Staging!J96)</f>
        <v>//--- END</v>
      </c>
    </row>
    <row r="102" spans="3:3" x14ac:dyDescent="0.75">
      <c r="C102" s="24" t="s">
        <v>172</v>
      </c>
    </row>
    <row r="103" spans="3:3" x14ac:dyDescent="0.75">
      <c r="C103" s="25" t="s">
        <v>408</v>
      </c>
    </row>
    <row r="104" spans="3:3" x14ac:dyDescent="0.75">
      <c r="C104" s="25" t="s">
        <v>172</v>
      </c>
    </row>
    <row r="105" spans="3:3" x14ac:dyDescent="0.75">
      <c r="C105" s="12" t="str">
        <f>IF(Staging!L8="*  ..  ##34###34# ##334###334#","//--- END",Staging!L8)</f>
        <v/>
      </c>
    </row>
    <row r="106" spans="3:3" x14ac:dyDescent="0.75">
      <c r="C106" s="12" t="str">
        <f>IF(Staging!L9="*  ..  ##34###34# ##334###334#","//--- END",Staging!L9)</f>
        <v/>
      </c>
    </row>
    <row r="107" spans="3:3" x14ac:dyDescent="0.75">
      <c r="C107" s="12" t="str">
        <f>IF(Staging!L10="*  ..  ##34###34# ##334###334#","//--- END",Staging!L10)</f>
        <v>* imagingPerformed.flag ^comment = ##334#A boolean value 1 if it was performed 0 if not empty if unknown##334#</v>
      </c>
    </row>
    <row r="108" spans="3:3" ht="29.5" x14ac:dyDescent="0.75">
      <c r="C108" s="12" t="str">
        <f>IF(Staging!L11="*  ..  ##34###34# ##334###334#","//--- END",Staging!L11)</f>
        <v>* imagingPerformed.cTPerformed ^comment = ##334#A string value whether it was performed with contrast without contrast it was not performed or it is unknown##334#</v>
      </c>
    </row>
    <row r="109" spans="3:3" ht="29.5" x14ac:dyDescent="0.75">
      <c r="C109" s="12" t="str">
        <f>IF(Staging!L12="*  ..  ##34###34# ##334###334#","//--- END",Staging!L12)</f>
        <v>* imagingPerformed.mRIPerformed ^comment = ##334#A string value whether it was performed with contrast without contrast it was not performed or it is unknown##334#</v>
      </c>
    </row>
    <row r="110" spans="3:3" x14ac:dyDescent="0.75">
      <c r="C110" s="12" t="str">
        <f>IF(Staging!L13="*  ..  ##34###34# ##334###334#","//--- END",Staging!L13)</f>
        <v>* imagingPerformed.uSPerformed ^comment = ##334#A boolean value 1 if it was performed 0 if not empty if unknown##334#</v>
      </c>
    </row>
    <row r="111" spans="3:3" ht="29.5" x14ac:dyDescent="0.75">
      <c r="C111" s="12" t="str">
        <f>IF(Staging!L14="*  ..  ##34###34# ##334###334#","//--- END",Staging!L14)</f>
        <v>* imagingPerformed.fDGPETPerformed ^comment = ##334#A boolean value 1 if it was performed 0 if not empty if unknown##334#</v>
      </c>
    </row>
    <row r="112" spans="3:3" ht="29.5" x14ac:dyDescent="0.75">
      <c r="C112" s="12" t="str">
        <f>IF(Staging!L15="*  ..  ##34###34# ##334###334#","//--- END",Staging!L15)</f>
        <v>* imagingPerformed.pETwithothertracersPerformed ^comment = ##334#A boolean value 1 if it was performed 0 if not empty if unknown##334#</v>
      </c>
    </row>
    <row r="113" spans="3:3" ht="29.5" x14ac:dyDescent="0.75">
      <c r="C113" s="12" t="str">
        <f>IF(Staging!L16="*  ..  ##34###34# ##334###334#","//--- END",Staging!L16)</f>
        <v>* imagingPerformed.opticaldigitalmethodsegnarrowbandimagingPerformed ^comment = ##334#A boolean value 1 if it was performed 0 if not empty if unknown##334#</v>
      </c>
    </row>
    <row r="114" spans="3:3" ht="29.5" x14ac:dyDescent="0.75">
      <c r="C114" s="12" t="str">
        <f>IF(Staging!L17="*  ..  ##34###34# ##334###334#","//--- END",Staging!L17)</f>
        <v>* imagingPerformed.cTPETPerformed ^comment = ##334#A boolean value 1 if it was performed 0 if not empty if unknown##334#</v>
      </c>
    </row>
    <row r="115" spans="3:3" ht="29.5" x14ac:dyDescent="0.75">
      <c r="C115" s="12" t="str">
        <f>IF(Staging!L18="*  ..  ##34###34# ##334###334#","//--- END",Staging!L18)</f>
        <v>* imagingPerformed.unknownPerformed ^comment = ##334#A boolean value 1 if it was performed 0 if not empty if unknown##334#</v>
      </c>
    </row>
    <row r="116" spans="3:3" x14ac:dyDescent="0.75">
      <c r="C116" s="12" t="str">
        <f>IF(Staging!L19="*  ..  ##34###34# ##334###334#","//--- END",Staging!L19)</f>
        <v/>
      </c>
    </row>
    <row r="117" spans="3:3" x14ac:dyDescent="0.75">
      <c r="C117" s="12" t="str">
        <f>IF(Staging!L20="*  ..  ##34###34# ##334###334#","//--- END",Staging!L20)</f>
        <v/>
      </c>
    </row>
    <row r="118" spans="3:3" x14ac:dyDescent="0.75">
      <c r="C118" s="12" t="str">
        <f>IF(Staging!L21="*  ..  ##34###34# ##334###334#","//--- END",Staging!L21)</f>
        <v>* imagingforneckPerformed.flag ^comment = ##334#A boolean value 1 if it was performed 0 if not empty if unknown##334#</v>
      </c>
    </row>
    <row r="119" spans="3:3" ht="29.5" x14ac:dyDescent="0.75">
      <c r="C119" s="12" t="str">
        <f>IF(Staging!L22="*  ..  ##34###34# ##334###334#","//--- END",Staging!L22)</f>
        <v>* imagingforneckPerformed.cTPerformed ^comment = ##334#A boolean value 1 if it was performed 0 if not empty if unknown##334#</v>
      </c>
    </row>
    <row r="120" spans="3:3" ht="29.5" x14ac:dyDescent="0.75">
      <c r="C120" s="12" t="str">
        <f>IF(Staging!L23="*  ..  ##34###34# ##334###334#","//--- END",Staging!L23)</f>
        <v>* imagingforneckPerformed.mRIPerformed ^comment = ##334#A boolean value 1 if it was performed 0 if not empty if unknown##334#</v>
      </c>
    </row>
    <row r="121" spans="3:3" ht="29.5" x14ac:dyDescent="0.75">
      <c r="C121" s="12" t="str">
        <f>IF(Staging!L24="*  ..  ##34###34# ##334###334#","//--- END",Staging!L24)</f>
        <v>* imagingforneckPerformed.uSPerformed ^comment = ##334#A boolean value 1 if it was performed 0 if not empty if unknown##334#</v>
      </c>
    </row>
    <row r="122" spans="3:3" ht="29.5" x14ac:dyDescent="0.75">
      <c r="C122" s="12" t="str">
        <f>IF(Staging!L25="*  ..  ##34###34# ##334###334#","//--- END",Staging!L25)</f>
        <v>* imagingforneckPerformed.fDGPETPerformed ^comment = ##334#A boolean value 1 if it was performed 0 if not empty if unknown##334#</v>
      </c>
    </row>
    <row r="123" spans="3:3" ht="29.5" x14ac:dyDescent="0.75">
      <c r="C123" s="12" t="str">
        <f>IF(Staging!L26="*  ..  ##34###34# ##334###334#","//--- END",Staging!L26)</f>
        <v>* imagingforneckPerformed.pETwithothertracersPerformed ^comment = ##334#A boolean value 1 if it was performed 0 if not empty if unknown##334#</v>
      </c>
    </row>
    <row r="124" spans="3:3" ht="29.5" x14ac:dyDescent="0.75">
      <c r="C124" s="12" t="str">
        <f>IF(Staging!L27="*  ..  ##34###34# ##334###334#","//--- END",Staging!L27)</f>
        <v>* imagingforneckPerformed.cTPETPerformed ^comment = ##334#A boolean value 1 if it was performed 0 if not empty if unknown##334#</v>
      </c>
    </row>
    <row r="125" spans="3:3" ht="29.5" x14ac:dyDescent="0.75">
      <c r="C125" s="12" t="str">
        <f>IF(Staging!L28="*  ..  ##34###34# ##334###334#","//--- END",Staging!L28)</f>
        <v>* imagingforneckPerformed.unknownPerformed ^comment = ##334#A boolean value 1 if it was performed 0 if not empty if unknown##334#</v>
      </c>
    </row>
    <row r="126" spans="3:3" x14ac:dyDescent="0.75">
      <c r="C126" s="12" t="str">
        <f>IF(Staging!L29="*  ..  ##34###34# ##334###334#","//--- END",Staging!L29)</f>
        <v/>
      </c>
    </row>
    <row r="127" spans="3:3" x14ac:dyDescent="0.75">
      <c r="C127" s="12" t="str">
        <f>IF(Staging!L30="*  ..  ##34###34# ##334###334#","//--- END",Staging!L30)</f>
        <v/>
      </c>
    </row>
    <row r="128" spans="3:3" ht="29.5" x14ac:dyDescent="0.75">
      <c r="C128" s="12" t="str">
        <f>IF(Staging!L31="*  ..  ##34###34# ##334###334#","//--- END",Staging!L31)</f>
        <v>* imagingformetastasisPerformed.imagingformetastasisPerformed ^comment = ##334#A boolean value 1 if it was performed 0 if not empty if unknown##334#</v>
      </c>
    </row>
    <row r="129" spans="3:3" ht="29.5" x14ac:dyDescent="0.75">
      <c r="C129" s="12" t="str">
        <f>IF(Staging!L32="*  ..  ##34###34# ##334###334#","//--- END",Staging!L32)</f>
        <v>* imagingformetastasisPerformed.cTPerformed ^comment = ##334#A boolean value 1 if it was performed 0 if not empty if unknown##334#</v>
      </c>
    </row>
    <row r="130" spans="3:3" ht="29.5" x14ac:dyDescent="0.75">
      <c r="C130" s="12" t="str">
        <f>IF(Staging!L33="*  ..  ##34###34# ##334###334#","//--- END",Staging!L33)</f>
        <v>* imagingformetastasisPerformed.mRIPerformed ^comment = ##334#A boolean value 1 if it was performed 0 if not empty if unknown##334#</v>
      </c>
    </row>
    <row r="131" spans="3:3" ht="29.5" x14ac:dyDescent="0.75">
      <c r="C131" s="12" t="str">
        <f>IF(Staging!L34="*  ..  ##34###34# ##334###334#","//--- END",Staging!L34)</f>
        <v>* imagingformetastasisPerformed.uSPerformed ^comment = ##334#A boolean value 1 if it was performed 0 if not empty if unknown##334#</v>
      </c>
    </row>
    <row r="132" spans="3:3" ht="29.5" x14ac:dyDescent="0.75">
      <c r="C132" s="12" t="str">
        <f>IF(Staging!L35="*  ..  ##34###34# ##334###334#","//--- END",Staging!L35)</f>
        <v>* imagingformetastasisPerformed.fDGPETPerformed ^comment = ##334#A boolean value 1 if it was performed 0 if not empty if unknown##334#</v>
      </c>
    </row>
    <row r="133" spans="3:3" ht="29.5" x14ac:dyDescent="0.75">
      <c r="C133" s="12" t="str">
        <f>IF(Staging!L36="*  ..  ##34###34# ##334###334#","//--- END",Staging!L36)</f>
        <v>* imagingformetastasisPerformed.pETwithothertracersPerformed ^comment = ##334#A boolean value 1 if it was performed 0 if not empty if unknown##334#</v>
      </c>
    </row>
    <row r="134" spans="3:3" ht="29.5" x14ac:dyDescent="0.75">
      <c r="C134" s="12" t="str">
        <f>IF(Staging!L37="*  ..  ##34###34# ##334###334#","//--- END",Staging!L37)</f>
        <v>* imagingformetastasisPerformed.cTPETPerformed ^comment = ##334#A boolean value 1 if it was performed 0 if not empty if unknown##334#</v>
      </c>
    </row>
    <row r="135" spans="3:3" ht="29.5" x14ac:dyDescent="0.75">
      <c r="C135" s="12" t="str">
        <f>IF(Staging!L38="*  ..  ##34###34# ##334###334#","//--- END",Staging!L38)</f>
        <v>* imagingformetastasisPerformed.unknownPerformed ^comment = ##334#A boolean value 1 if it was performed 0 if not empty if unknown##334#</v>
      </c>
    </row>
    <row r="136" spans="3:3" x14ac:dyDescent="0.75">
      <c r="C136" s="12" t="str">
        <f>IF(Staging!L39="*  ..  ##34###34# ##334###334#","//--- END",Staging!L39)</f>
        <v/>
      </c>
    </row>
    <row r="137" spans="3:3" x14ac:dyDescent="0.75">
      <c r="C137" s="12" t="str">
        <f>IF(Staging!L40="*  ..  ##34###34# ##334###334#","//--- END",Staging!L40)</f>
        <v/>
      </c>
    </row>
    <row r="138" spans="3:3" x14ac:dyDescent="0.75">
      <c r="C138" s="12" t="str">
        <f>IF(Staging!L41="*  ..  ##34###34# ##334###334#","//--- END",Staging!L41)</f>
        <v>* clinicalStage.ct ^comment = ##334#A string value for the clinical T Unknown if empty##334#</v>
      </c>
    </row>
    <row r="139" spans="3:3" x14ac:dyDescent="0.75">
      <c r="C139" s="12" t="str">
        <f>IF(Staging!L42="*  ..  ##34###34# ##334###334#","//--- END",Staging!L42)</f>
        <v>* clinicalStage.cn ^comment = ##334#A string value for the clinical N Unknown if empty##334#</v>
      </c>
    </row>
    <row r="140" spans="3:3" x14ac:dyDescent="0.75">
      <c r="C140" s="12" t="str">
        <f>IF(Staging!L43="*  ..  ##34###34# ##334###334#","//--- END",Staging!L43)</f>
        <v>* clinicalStage.radiologicalExtraNodalExtensionRene ^comment = ##334#A string value for the rENE Unknown if empty##334#</v>
      </c>
    </row>
    <row r="141" spans="3:3" x14ac:dyDescent="0.75">
      <c r="C141" s="12" t="str">
        <f>IF(Staging!L44="*  ..  ##34###34# ##334###334#","//--- END",Staging!L44)</f>
        <v>* clinicalStage.cm ^comment = ##334#A string value for the clinical M Unknown if empty##334#</v>
      </c>
    </row>
    <row r="142" spans="3:3" x14ac:dyDescent="0.75">
      <c r="C142" s="12" t="str">
        <f>IF(Staging!L45="*  ..  ##34###34# ##334###334#","//--- END",Staging!L45)</f>
        <v>* clinicalStage.clinicalStaging ^comment = ##334#A string value for the clinical TNM Unknown if empty##334#</v>
      </c>
    </row>
    <row r="143" spans="3:3" x14ac:dyDescent="0.75">
      <c r="C143" s="12" t="str">
        <f>IF(Staging!L46="*  ..  ##34###34# ##334###334#","//--- END",Staging!L46)</f>
        <v>* clinicalStage.ajccEdition ^comment = ##334#A string value for the used AJCC edition manual##334#</v>
      </c>
    </row>
    <row r="144" spans="3:3" x14ac:dyDescent="0.75">
      <c r="C144" s="12" t="str">
        <f>IF(Staging!L47="*  ..  ##34###34# ##334###334#","//--- END",Staging!L47)</f>
        <v/>
      </c>
    </row>
    <row r="145" spans="3:3" x14ac:dyDescent="0.75">
      <c r="C145" s="12" t="str">
        <f>IF(Staging!L48="*  ..  ##34###34# ##334###334#","//--- END",Staging!L48)</f>
        <v/>
      </c>
    </row>
    <row r="146" spans="3:3" x14ac:dyDescent="0.75">
      <c r="C146" s="12" t="str">
        <f>IF(Staging!L49="*  ..  ##34###34# ##334###334#","//--- END",Staging!L49)</f>
        <v/>
      </c>
    </row>
    <row r="147" spans="3:3" x14ac:dyDescent="0.75">
      <c r="C147" s="12" t="str">
        <f>IF(Staging!L50="*  ..  ##34###34# ##334###334#","//--- END",Staging!L50)</f>
        <v/>
      </c>
    </row>
    <row r="148" spans="3:3" x14ac:dyDescent="0.75">
      <c r="C148" s="12" t="str">
        <f>IF(Staging!L51="*  ..  ##34###34# ##334###334#","//--- END",Staging!L51)</f>
        <v/>
      </c>
    </row>
    <row r="149" spans="3:3" x14ac:dyDescent="0.75">
      <c r="C149" s="12" t="str">
        <f>IF(Staging!L52="*  ..  ##34###34# ##334###334#","//--- END",Staging!L52)</f>
        <v/>
      </c>
    </row>
    <row r="150" spans="3:3" x14ac:dyDescent="0.75">
      <c r="C150" s="12" t="str">
        <f>IF(Staging!L53="*  ..  ##34###34# ##334###334#","//--- END",Staging!L53)</f>
        <v/>
      </c>
    </row>
    <row r="151" spans="3:3" x14ac:dyDescent="0.75">
      <c r="C151" s="12" t="str">
        <f>IF(Staging!L54="*  ..  ##34###34# ##334###334#","//--- END",Staging!L54)</f>
        <v/>
      </c>
    </row>
    <row r="152" spans="3:3" x14ac:dyDescent="0.75">
      <c r="C152" s="12" t="str">
        <f>IF(Staging!L55="*  ..  ##34###34# ##334###334#","//--- END",Staging!L55)</f>
        <v/>
      </c>
    </row>
    <row r="153" spans="3:3" x14ac:dyDescent="0.75">
      <c r="C153" s="12" t="str">
        <f>IF(Staging!L56="*  ..  ##34###34# ##334###334#","//--- END",Staging!L56)</f>
        <v/>
      </c>
    </row>
    <row r="154" spans="3:3" x14ac:dyDescent="0.75">
      <c r="C154" s="12" t="str">
        <f>IF(Staging!L57="*  ..  ##34###34# ##334###334#","//--- END",Staging!L57)</f>
        <v/>
      </c>
    </row>
    <row r="155" spans="3:3" x14ac:dyDescent="0.75">
      <c r="C155" s="12" t="str">
        <f>IF(Staging!L58="*  ..  ##34###34# ##334###334#","//--- END",Staging!L58)</f>
        <v/>
      </c>
    </row>
    <row r="156" spans="3:3" x14ac:dyDescent="0.75">
      <c r="C156" s="12" t="str">
        <f>IF(Staging!L59="*  ..  ##34###34# ##334###334#","//--- END",Staging!L59)</f>
        <v/>
      </c>
    </row>
    <row r="157" spans="3:3" x14ac:dyDescent="0.75">
      <c r="C157" s="12" t="str">
        <f>IF(Staging!L60="*  ..  ##34###34# ##334###334#","//--- END",Staging!L60)</f>
        <v/>
      </c>
    </row>
    <row r="158" spans="3:3" x14ac:dyDescent="0.75">
      <c r="C158" s="12" t="str">
        <f>IF(Staging!L61="*  ..  ##34###34# ##334###334#","//--- END",Staging!L61)</f>
        <v>* pathologicalStage.pt ^comment = ##334#A string value from pathological T##334#</v>
      </c>
    </row>
    <row r="159" spans="3:3" x14ac:dyDescent="0.75">
      <c r="C159" s="12" t="str">
        <f>IF(Staging!L62="*  ..  ##34###34# ##334###334#","//--- END",Staging!L62)</f>
        <v>* pathologicalStage.pn ^comment = ##334#A string value from pathological N##334#</v>
      </c>
    </row>
    <row r="160" spans="3:3" x14ac:dyDescent="0.75">
      <c r="C160" s="12" t="str">
        <f>IF(Staging!L63="*  ..  ##34###34# ##334###334#","//--- END",Staging!L63)</f>
        <v>* extranodalExtensionEne ^comment = ##334#A string value for the extranodal extension##334#</v>
      </c>
    </row>
    <row r="161" spans="3:3" x14ac:dyDescent="0.75">
      <c r="C161" s="12" t="str">
        <f>IF(Staging!L64="*  ..  ##34###34# ##334###334#","//--- END",Staging!L64)</f>
        <v>* extranodalExtent ^comment = ##334#A number describing the extent of the extranodal extension##334#</v>
      </c>
    </row>
    <row r="162" spans="3:3" x14ac:dyDescent="0.75">
      <c r="C162" s="12" t="str">
        <f>IF(Staging!L65="*  ..  ##34###34# ##334###334#","//--- END",Staging!L65)</f>
        <v>* marginsAfterSurgery ^comment = ##334#A string describing the category applied to the margin after surgery##334#</v>
      </c>
    </row>
    <row r="163" spans="3:3" x14ac:dyDescent="0.75">
      <c r="C163" s="12" t="str">
        <f>IF(Staging!L66="*  ..  ##34###34# ##334###334#","//--- END",Staging!L66)</f>
        <v>* marginsAfterSurgeryIf5Mm ^comment = ##334#A number describing the margin closest to the resection##334#</v>
      </c>
    </row>
    <row r="164" spans="3:3" x14ac:dyDescent="0.75">
      <c r="C164" s="12" t="str">
        <f>IF(Staging!L67="*  ..  ##34###34# ##334###334#","//--- END",Staging!L67)</f>
        <v>* sentinelNode ^comment = ##334#A string describing whether a sentinel node procedure was performed##334#</v>
      </c>
    </row>
    <row r="165" spans="3:3" ht="29.5" x14ac:dyDescent="0.75">
      <c r="C165" s="12" t="str">
        <f>IF(Staging!L68="*  ..  ##34###34# ##334###334#","//--- END",Staging!L68)</f>
        <v>* neckDissection ^comment = ##334#A string describing whether a protocoled and standardized en block resection of lymphatic tissue was performed##334#</v>
      </c>
    </row>
    <row r="166" spans="3:3" x14ac:dyDescent="0.75">
      <c r="C166" s="12" t="str">
        <f>IF(Staging!L69="*  ..  ##34###34# ##334###334#","//--- END",Staging!L69)</f>
        <v>* numberOfLymphNodesRemovedRightSide ^comment = ##334#Number of right side lymph nodes removed##334#</v>
      </c>
    </row>
    <row r="167" spans="3:3" x14ac:dyDescent="0.75">
      <c r="C167" s="12" t="str">
        <f>IF(Staging!L70="*  ..  ##34###34# ##334###334#","//--- END",Staging!L70)</f>
        <v>* numberOfPositiveLymphNodesRightSide ^comment = ##334#Number of positive right side lymph nodes removed##334#</v>
      </c>
    </row>
    <row r="168" spans="3:3" x14ac:dyDescent="0.75">
      <c r="C168" s="12" t="str">
        <f>IF(Staging!L71="*  ..  ##34###34# ##334###334#","//--- END",Staging!L71)</f>
        <v>* lnrRightLymphNodeRatio ^comment = ##334#Ratio of right side removed lymph nodes##334#</v>
      </c>
    </row>
    <row r="169" spans="3:3" x14ac:dyDescent="0.75">
      <c r="C169" s="12" t="str">
        <f>IF(Staging!L72="*  ..  ##34###34# ##334###334#","//--- END",Staging!L72)</f>
        <v>* numberOfLymphNodesRemovedLeftSide ^comment = ##334#Number of left side lymph nodes removed##334#</v>
      </c>
    </row>
    <row r="170" spans="3:3" x14ac:dyDescent="0.75">
      <c r="C170" s="12" t="str">
        <f>IF(Staging!L73="*  ..  ##34###34# ##334###334#","//--- END",Staging!L73)</f>
        <v>* numberOfPositiveLymphNodesLeftSide ^comment = ##334#Number of positive left side lymph nodes removed##334#</v>
      </c>
    </row>
    <row r="171" spans="3:3" x14ac:dyDescent="0.75">
      <c r="C171" s="12" t="str">
        <f>IF(Staging!L74="*  ..  ##34###34# ##334###334#","//--- END",Staging!L74)</f>
        <v>* lnrLeftLymphNodeRatio ^comment = ##334#Ratio of left side removed lymph nodes##334#</v>
      </c>
    </row>
    <row r="172" spans="3:3" ht="29.5" x14ac:dyDescent="0.75">
      <c r="C172" s="12" t="str">
        <f>IF(Staging!L75="*  ..  ##34###34# ##334###334#","//--- END",Staging!L75)</f>
        <v>* lymphovascularSpaceInvasionLvsi ^comment = ##334#A string describing whether a Lymphovascular space invasion LVSI happened##334#</v>
      </c>
    </row>
    <row r="173" spans="3:3" x14ac:dyDescent="0.75">
      <c r="C173" s="12" t="str">
        <f>IF(Staging!L76="*  ..  ##34###34# ##334###334#","//--- END",Staging!L76)</f>
        <v>* perineuralInvasionPni ^comment = ##334#A string describing whether a perineural invasion happened##334#</v>
      </c>
    </row>
    <row r="174" spans="3:3" x14ac:dyDescent="0.75">
      <c r="C174" s="12" t="str">
        <f>IF(Staging!L77="*  ..  ##34###34# ##334###334#","//--- END",Staging!L77)</f>
        <v>* pm ^comment = ##334#A string describing the pathological M##334#</v>
      </c>
    </row>
    <row r="175" spans="3:3" x14ac:dyDescent="0.75">
      <c r="C175" s="12" t="str">
        <f>IF(Staging!L78="*  ..  ##34###34# ##334###334#","//--- END",Staging!L78)</f>
        <v>* pathologicalStaging ^comment = ##334#A string describing the pathological staging##334#</v>
      </c>
    </row>
    <row r="176" spans="3:3" x14ac:dyDescent="0.75">
      <c r="C176" s="12" t="str">
        <f>IF(Staging!L79="*  ..  ##34###34# ##334###334#","//--- END",Staging!L79)</f>
        <v/>
      </c>
    </row>
    <row r="177" spans="3:3" x14ac:dyDescent="0.75">
      <c r="C177" s="12" t="str">
        <f>IF(Staging!L80="*  ..  ##34###34# ##334###334#","//--- END",Staging!L80)</f>
        <v/>
      </c>
    </row>
    <row r="178" spans="3:3" x14ac:dyDescent="0.75">
      <c r="C178" s="12" t="str">
        <f>IF(Staging!L81="*  ..  ##34###34# ##334###334#","//--- END",Staging!L81)</f>
        <v/>
      </c>
    </row>
    <row r="179" spans="3:3" x14ac:dyDescent="0.75">
      <c r="C179" s="12" t="str">
        <f>IF(Staging!L82="*  ..  ##34###34# ##334###334#","//--- END",Staging!L82)</f>
        <v/>
      </c>
    </row>
    <row r="180" spans="3:3" x14ac:dyDescent="0.75">
      <c r="C180" s="12" t="str">
        <f>IF(Staging!L83="*  ..  ##34###34# ##334###334#","//--- END",Staging!L83)</f>
        <v/>
      </c>
    </row>
    <row r="181" spans="3:3" x14ac:dyDescent="0.75">
      <c r="C181" s="12" t="str">
        <f>IF(Staging!L84="*  ..  ##34###34# ##334###334#","//--- END",Staging!L84)</f>
        <v/>
      </c>
    </row>
    <row r="182" spans="3:3" x14ac:dyDescent="0.75">
      <c r="C182" s="12" t="str">
        <f>IF(Staging!L85="*  ..  ##34###34# ##334###334#","//--- END",Staging!L85)</f>
        <v/>
      </c>
    </row>
    <row r="183" spans="3:3" x14ac:dyDescent="0.75">
      <c r="C183" s="12" t="str">
        <f>IF(Staging!L86="*  ..  ##34###34# ##334###334#","//--- END",Staging!L86)</f>
        <v/>
      </c>
    </row>
    <row r="184" spans="3:3" x14ac:dyDescent="0.75">
      <c r="C184" s="12" t="str">
        <f>IF(Staging!L87="*  ..  ##34###34# ##334###334#","//--- END",Staging!L87)</f>
        <v/>
      </c>
    </row>
    <row r="185" spans="3:3" x14ac:dyDescent="0.75">
      <c r="C185" s="12" t="str">
        <f>IF(Staging!L88="*  ..  ##34###34# ##334###334#","//--- END",Staging!L88)</f>
        <v/>
      </c>
    </row>
    <row r="186" spans="3:3" x14ac:dyDescent="0.75">
      <c r="C186" s="12" t="str">
        <f>IF(Staging!L89="*  ..  ##34###34# ##334###334#","//--- END",Staging!L89)</f>
        <v/>
      </c>
    </row>
    <row r="187" spans="3:3" x14ac:dyDescent="0.75">
      <c r="C187" s="12" t="str">
        <f>IF(Staging!L90="*  ..  ##34###34# ##334###334#","//--- END",Staging!L90)</f>
        <v>* msite ^comment = ##334#A string or list of string describing where is the metastatic disease##334#</v>
      </c>
    </row>
    <row r="188" spans="3:3" x14ac:dyDescent="0.75">
      <c r="C188" s="12" t="str">
        <f>IF(Staging!L91="*  ..  ##34###34# ##334###334#","//--- END",Staging!L91)</f>
        <v/>
      </c>
    </row>
    <row r="189" spans="3:3" x14ac:dyDescent="0.75">
      <c r="C189" s="12" t="str">
        <f>IF(Staging!L92="*  ..  ##34###34# ##334###334#","//--- END",Staging!L92)</f>
        <v/>
      </c>
    </row>
    <row r="190" spans="3:3" x14ac:dyDescent="0.75">
      <c r="C190" s="12" t="str">
        <f>IF(Staging!L93="*  ..  ##34###34# ##334###334#","//--- END",Staging!L93)</f>
        <v/>
      </c>
    </row>
    <row r="191" spans="3:3" x14ac:dyDescent="0.75">
      <c r="C191" s="12" t="str">
        <f>IF(Staging!L94="*  ..  ##34###34# ##334###334#","//--- END",Staging!L94)</f>
        <v>//--- END</v>
      </c>
    </row>
    <row r="192" spans="3:3" x14ac:dyDescent="0.75">
      <c r="C192" s="12" t="str">
        <f>IF(Staging!L95="*  ..  ##34###34# ##334###334#","//--- END",Staging!L95)</f>
        <v>//--- END</v>
      </c>
    </row>
    <row r="193" spans="3:3" x14ac:dyDescent="0.75">
      <c r="C193" s="12" t="str">
        <f>IF(Staging!L96="*  ..  ##34###34# ##334###334#","//--- END",Staging!L96)</f>
        <v>//--- END</v>
      </c>
    </row>
    <row r="194" spans="3:3" x14ac:dyDescent="0.75">
      <c r="C194" s="2"/>
    </row>
    <row r="195" spans="3:3" x14ac:dyDescent="0.75">
      <c r="C195"/>
    </row>
    <row r="197" spans="3:3" x14ac:dyDescent="0.75">
      <c r="C197" s="24" t="str">
        <f>'Staging-Map-1'!E1</f>
        <v>// -------------------------------------------------------------------------------</v>
      </c>
    </row>
    <row r="198" spans="3:3" x14ac:dyDescent="0.75">
      <c r="C198" s="25" t="str">
        <f>'Staging-Map-1'!E2</f>
        <v>//  Map to FHIR R4</v>
      </c>
    </row>
    <row r="199" spans="3:3" x14ac:dyDescent="0.75">
      <c r="C199" s="25" t="str">
        <f>'Staging-Map-1'!E3</f>
        <v>// -------------------------------------------------------------------------------</v>
      </c>
    </row>
    <row r="200" spans="3:3" x14ac:dyDescent="0.75">
      <c r="C200" s="12" t="str">
        <f>'Staging-Map-1'!E4</f>
        <v>Mapping: I4RCStaging2Fhir</v>
      </c>
    </row>
    <row r="201" spans="3:3" x14ac:dyDescent="0.75">
      <c r="C201" s="12" t="str">
        <f>'Staging-Map-1'!E5</f>
        <v>Id: fhir</v>
      </c>
    </row>
    <row r="202" spans="3:3" x14ac:dyDescent="0.75">
      <c r="C202" s="12" t="str">
        <f>'Staging-Map-1'!E6</f>
        <v>Title: ##34#Idea4RC Staging model to FHIR R4 Map##34#</v>
      </c>
    </row>
    <row r="203" spans="3:3" x14ac:dyDescent="0.75">
      <c r="C203" s="12" t="str">
        <f>'Staging-Map-1'!E7</f>
        <v>Source: Staging</v>
      </c>
    </row>
    <row r="204" spans="3:3" x14ac:dyDescent="0.75">
      <c r="C204" s="12" t="str">
        <f>'Staging-Map-1'!E8</f>
        <v>Target: ##34#hl7.org/fhir/r4##34#</v>
      </c>
    </row>
    <row r="206" spans="3:3" x14ac:dyDescent="0.75">
      <c r="C206" s="4" t="str">
        <f>'Staging-Map-1'!E9</f>
        <v>* -&gt; ##34#TBD##34#</v>
      </c>
    </row>
    <row r="207" spans="3:3" x14ac:dyDescent="0.75">
      <c r="C207" s="12" t="str">
        <f>IF('Staging-Map-1'!E10="*  -&gt; ##34###34#","// --END",'Staging-Map-1'!E10)</f>
        <v>* stagingProceduresDoneBy -&gt; ##34#TBD##34#</v>
      </c>
    </row>
    <row r="208" spans="3:3" x14ac:dyDescent="0.75">
      <c r="C208" s="12" t="str">
        <f>IF('Staging-Map-1'!E11="*  -&gt; ##34###34#","// --END",'Staging-Map-1'!E11)</f>
        <v>* imagingPerformed -&gt; ##34#TBD##34#</v>
      </c>
    </row>
    <row r="209" spans="3:3" x14ac:dyDescent="0.75">
      <c r="C209" s="12" t="str">
        <f>IF('Staging-Map-1'!E12="*  -&gt; ##34###34#","// --END",'Staging-Map-1'!E12)</f>
        <v>* imagingPerformed.flag -&gt; ##34#TBD##34#</v>
      </c>
    </row>
    <row r="210" spans="3:3" x14ac:dyDescent="0.75">
      <c r="C210" s="12" t="str">
        <f>IF('Staging-Map-1'!E13="*  -&gt; ##34###34#","// --END",'Staging-Map-1'!E13)</f>
        <v>* imagingPerformed.cTPerformed -&gt; ##34#TBD##34#</v>
      </c>
    </row>
    <row r="211" spans="3:3" x14ac:dyDescent="0.75">
      <c r="C211" s="12" t="str">
        <f>IF('Staging-Map-1'!E14="*  -&gt; ##34###34#","// --END",'Staging-Map-1'!E14)</f>
        <v>* imagingPerformed.mRIPerformed -&gt; ##34#TBD##34#</v>
      </c>
    </row>
    <row r="212" spans="3:3" x14ac:dyDescent="0.75">
      <c r="C212" s="12" t="str">
        <f>IF('Staging-Map-1'!E15="*  -&gt; ##34###34#","// --END",'Staging-Map-1'!E15)</f>
        <v>* imagingPerformed.uSPerformed -&gt; ##34#TBD##34#</v>
      </c>
    </row>
    <row r="213" spans="3:3" x14ac:dyDescent="0.75">
      <c r="C213" s="12" t="str">
        <f>IF('Staging-Map-1'!E16="*  -&gt; ##34###34#","// --END",'Staging-Map-1'!E16)</f>
        <v>* imagingPerformed.fDGPETPerformed -&gt; ##34#TBD##34#</v>
      </c>
    </row>
    <row r="214" spans="3:3" x14ac:dyDescent="0.75">
      <c r="C214" s="12" t="str">
        <f>IF('Staging-Map-1'!E17="*  -&gt; ##34###34#","// --END",'Staging-Map-1'!E17)</f>
        <v>* imagingPerformed.pETwithothertracersPerformed -&gt; ##34#TBD##34#</v>
      </c>
    </row>
    <row r="215" spans="3:3" x14ac:dyDescent="0.75">
      <c r="C215" s="12" t="str">
        <f>IF('Staging-Map-1'!E18="*  -&gt; ##34###34#","// --END",'Staging-Map-1'!E18)</f>
        <v>* imagingPerformed.opticaldigitalmethodsegnarrowbandimagingPerformed -&gt; ##34#TBD##34#</v>
      </c>
    </row>
    <row r="216" spans="3:3" x14ac:dyDescent="0.75">
      <c r="C216" s="12" t="str">
        <f>IF('Staging-Map-1'!E19="*  -&gt; ##34###34#","// --END",'Staging-Map-1'!E19)</f>
        <v>* imagingPerformed.cTPETPerformed -&gt; ##34#TBD##34#</v>
      </c>
    </row>
    <row r="217" spans="3:3" x14ac:dyDescent="0.75">
      <c r="C217" s="12" t="str">
        <f>IF('Staging-Map-1'!E20="*  -&gt; ##34###34#","// --END",'Staging-Map-1'!E20)</f>
        <v>* imagingPerformed.unknownPerformed -&gt; ##34#TBD##34#</v>
      </c>
    </row>
    <row r="218" spans="3:3" x14ac:dyDescent="0.75">
      <c r="C218" s="12" t="str">
        <f>IF('Staging-Map-1'!E21="*  -&gt; ##34###34#","// --END",'Staging-Map-1'!E21)</f>
        <v>* imagingPerformed.otherimagingforprimarysitePerformed -&gt; ##34#TBD##34#</v>
      </c>
    </row>
    <row r="219" spans="3:3" x14ac:dyDescent="0.75">
      <c r="C219" s="12" t="str">
        <f>IF('Staging-Map-1'!E22="*  -&gt; ##34###34#","// --END",'Staging-Map-1'!E22)</f>
        <v>* imagingforneckPerformed -&gt; ##34#TBD##34#</v>
      </c>
    </row>
    <row r="220" spans="3:3" x14ac:dyDescent="0.75">
      <c r="C220" s="12" t="str">
        <f>IF('Staging-Map-1'!E23="*  -&gt; ##34###34#","// --END",'Staging-Map-1'!E23)</f>
        <v>* imagingforneckPerformed.flag -&gt; ##34#TBD##34#</v>
      </c>
    </row>
    <row r="221" spans="3:3" x14ac:dyDescent="0.75">
      <c r="C221" s="12" t="str">
        <f>IF('Staging-Map-1'!E24="*  -&gt; ##34###34#","// --END",'Staging-Map-1'!E24)</f>
        <v>* imagingforneckPerformed.cTPerformed -&gt; ##34#TBD##34#</v>
      </c>
    </row>
    <row r="222" spans="3:3" x14ac:dyDescent="0.75">
      <c r="C222" s="12" t="str">
        <f>IF('Staging-Map-1'!E25="*  -&gt; ##34###34#","// --END",'Staging-Map-1'!E25)</f>
        <v>* imagingforneckPerformed.mRIPerformed -&gt; ##34#TBD##34#</v>
      </c>
    </row>
    <row r="223" spans="3:3" x14ac:dyDescent="0.75">
      <c r="C223" s="12" t="str">
        <f>IF('Staging-Map-1'!E26="*  -&gt; ##34###34#","// --END",'Staging-Map-1'!E26)</f>
        <v>* imagingforneckPerformed.uSPerformed -&gt; ##34#TBD##34#</v>
      </c>
    </row>
    <row r="224" spans="3:3" x14ac:dyDescent="0.75">
      <c r="C224" s="12" t="str">
        <f>IF('Staging-Map-1'!E27="*  -&gt; ##34###34#","// --END",'Staging-Map-1'!E27)</f>
        <v>* imagingforneckPerformed.fDGPETPerformed -&gt; ##34#TBD##34#</v>
      </c>
    </row>
    <row r="225" spans="3:3" x14ac:dyDescent="0.75">
      <c r="C225" s="12" t="str">
        <f>IF('Staging-Map-1'!E28="*  -&gt; ##34###34#","// --END",'Staging-Map-1'!E28)</f>
        <v>* imagingforneckPerformed.pETwithothertracersPerformed -&gt; ##34#TBD##34#</v>
      </c>
    </row>
    <row r="226" spans="3:3" x14ac:dyDescent="0.75">
      <c r="C226" s="12" t="str">
        <f>IF('Staging-Map-1'!E29="*  -&gt; ##34###34#","// --END",'Staging-Map-1'!E29)</f>
        <v>* imagingforneckPerformed.cTPETPerformed -&gt; ##34#TBD##34#</v>
      </c>
    </row>
    <row r="227" spans="3:3" x14ac:dyDescent="0.75">
      <c r="C227" s="12" t="str">
        <f>IF('Staging-Map-1'!E30="*  -&gt; ##34###34#","// --END",'Staging-Map-1'!E30)</f>
        <v>* imagingforneckPerformed.unknownPerformed -&gt; ##34#TBD##34#</v>
      </c>
    </row>
    <row r="228" spans="3:3" x14ac:dyDescent="0.75">
      <c r="C228" s="12" t="str">
        <f>IF('Staging-Map-1'!E31="*  -&gt; ##34###34#","// --END",'Staging-Map-1'!E31)</f>
        <v>* imagingforneckPerformed.otherimagingforneckPerformed -&gt; ##34#TBD##34#</v>
      </c>
    </row>
    <row r="229" spans="3:3" x14ac:dyDescent="0.75">
      <c r="C229" s="12" t="str">
        <f>IF('Staging-Map-1'!E32="*  -&gt; ##34###34#","// --END",'Staging-Map-1'!E32)</f>
        <v>* imagingformetastasisPerformed -&gt; ##34#TBD##34#</v>
      </c>
    </row>
    <row r="230" spans="3:3" x14ac:dyDescent="0.75">
      <c r="C230" s="12" t="str">
        <f>IF('Staging-Map-1'!E33="*  -&gt; ##34###34#","// --END",'Staging-Map-1'!E33)</f>
        <v>* imagingformetastasisPerformed.imagingformetastasisPerformed -&gt; ##34#TBD##34#</v>
      </c>
    </row>
    <row r="231" spans="3:3" x14ac:dyDescent="0.75">
      <c r="C231" s="12" t="str">
        <f>IF('Staging-Map-1'!E34="*  -&gt; ##34###34#","// --END",'Staging-Map-1'!E34)</f>
        <v>* imagingformetastasisPerformed.cTPerformed -&gt; ##34#TBD##34#</v>
      </c>
    </row>
    <row r="232" spans="3:3" x14ac:dyDescent="0.75">
      <c r="C232" s="12" t="str">
        <f>IF('Staging-Map-1'!E35="*  -&gt; ##34###34#","// --END",'Staging-Map-1'!E35)</f>
        <v>* imagingformetastasisPerformed.mRIPerformed -&gt; ##34#TBD##34#</v>
      </c>
    </row>
    <row r="233" spans="3:3" x14ac:dyDescent="0.75">
      <c r="C233" s="12" t="str">
        <f>IF('Staging-Map-1'!E36="*  -&gt; ##34###34#","// --END",'Staging-Map-1'!E36)</f>
        <v>* imagingformetastasisPerformed.uSPerformed -&gt; ##34#TBD##34#</v>
      </c>
    </row>
    <row r="234" spans="3:3" x14ac:dyDescent="0.75">
      <c r="C234" s="12" t="str">
        <f>IF('Staging-Map-1'!E37="*  -&gt; ##34###34#","// --END",'Staging-Map-1'!E37)</f>
        <v>* imagingformetastasisPerformed.fDGPETPerformed -&gt; ##34#TBD##34#</v>
      </c>
    </row>
    <row r="235" spans="3:3" x14ac:dyDescent="0.75">
      <c r="C235" s="12" t="str">
        <f>IF('Staging-Map-1'!E38="*  -&gt; ##34###34#","// --END",'Staging-Map-1'!E38)</f>
        <v>* imagingformetastasisPerformed.pETwithothertracersPerformed -&gt; ##34#TBD##34#</v>
      </c>
    </row>
    <row r="236" spans="3:3" x14ac:dyDescent="0.75">
      <c r="C236" s="12" t="str">
        <f>IF('Staging-Map-1'!E39="*  -&gt; ##34###34#","// --END",'Staging-Map-1'!E39)</f>
        <v>* imagingformetastasisPerformed.cTPETPerformed -&gt; ##34#TBD##34#</v>
      </c>
    </row>
    <row r="237" spans="3:3" x14ac:dyDescent="0.75">
      <c r="C237" s="12" t="str">
        <f>IF('Staging-Map-1'!E40="*  -&gt; ##34###34#","// --END",'Staging-Map-1'!E40)</f>
        <v>* imagingformetastasisPerformed.unknownPerformed -&gt; ##34#TBD##34#</v>
      </c>
    </row>
    <row r="238" spans="3:3" x14ac:dyDescent="0.75">
      <c r="C238" s="12" t="str">
        <f>IF('Staging-Map-1'!E41="*  -&gt; ##34###34#","// --END",'Staging-Map-1'!E41)</f>
        <v>* imagingformetastasisPerformed.otherimagingformetastaticdiseasePerformed -&gt; ##34#TBD##34#</v>
      </c>
    </row>
    <row r="239" spans="3:3" x14ac:dyDescent="0.75">
      <c r="C239" s="12" t="str">
        <f>IF('Staging-Map-1'!E42="*  -&gt; ##34###34#","// --END",'Staging-Map-1'!E42)</f>
        <v>* clinicalStage -&gt; ##34#TBD##34#</v>
      </c>
    </row>
    <row r="240" spans="3:3" x14ac:dyDescent="0.75">
      <c r="C240" s="12" t="str">
        <f>IF('Staging-Map-1'!E43="*  -&gt; ##34###34#","// --END",'Staging-Map-1'!E43)</f>
        <v>* clinicalStage.ct -&gt; ##34#TBD##34#</v>
      </c>
    </row>
    <row r="241" spans="3:3" x14ac:dyDescent="0.75">
      <c r="C241" s="12" t="str">
        <f>IF('Staging-Map-1'!E44="*  -&gt; ##34###34#","// --END",'Staging-Map-1'!E44)</f>
        <v>* clinicalStage.cn -&gt; ##34#TBD##34#</v>
      </c>
    </row>
    <row r="242" spans="3:3" x14ac:dyDescent="0.75">
      <c r="C242" s="12" t="str">
        <f>IF('Staging-Map-1'!E45="*  -&gt; ##34###34#","// --END",'Staging-Map-1'!E45)</f>
        <v>* clinicalStage.radiologicalExtraNodalExtensionRene -&gt; ##34#TBD##34#</v>
      </c>
    </row>
    <row r="243" spans="3:3" x14ac:dyDescent="0.75">
      <c r="C243" s="12" t="str">
        <f>IF('Staging-Map-1'!E46="*  -&gt; ##34###34#","// --END",'Staging-Map-1'!E46)</f>
        <v>* clinicalStage.cm -&gt; ##34#TBD##34#</v>
      </c>
    </row>
    <row r="244" spans="3:3" x14ac:dyDescent="0.75">
      <c r="C244" s="12" t="str">
        <f>IF('Staging-Map-1'!E47="*  -&gt; ##34###34#","// --END",'Staging-Map-1'!E47)</f>
        <v>* clinicalStage.clinicalStaging -&gt; ##34#TBD##34#</v>
      </c>
    </row>
    <row r="245" spans="3:3" x14ac:dyDescent="0.75">
      <c r="C245" s="12" t="str">
        <f>IF('Staging-Map-1'!E48="*  -&gt; ##34###34#","// --END",'Staging-Map-1'!E48)</f>
        <v>* clinicalStage.ajccEdition -&gt; ##34#TBD##34#</v>
      </c>
    </row>
    <row r="246" spans="3:3" x14ac:dyDescent="0.75">
      <c r="C246" s="12" t="str">
        <f>IF('Staging-Map-1'!E49="*  -&gt; ##34###34#","// --END",'Staging-Map-1'!E49)</f>
        <v>* clinicalStage.nan -&gt; ##34#TBD##34#</v>
      </c>
    </row>
    <row r="247" spans="3:3" x14ac:dyDescent="0.75">
      <c r="C247" s="12" t="str">
        <f>IF('Staging-Map-1'!E50="*  -&gt; ##34###34#","// --END",'Staging-Map-1'!E50)</f>
        <v>* metastasisSite -&gt; ##34#TBD##34#</v>
      </c>
    </row>
    <row r="248" spans="3:3" x14ac:dyDescent="0.75">
      <c r="C248" s="12" t="str">
        <f>IF('Staging-Map-1'!E51="*  -&gt; ##34###34#","// --END",'Staging-Map-1'!E51)</f>
        <v>* metastasisSite.softTissue -&gt; ##34#TBD##34#</v>
      </c>
    </row>
    <row r="249" spans="3:3" x14ac:dyDescent="0.75">
      <c r="C249" s="12" t="str">
        <f>IF('Staging-Map-1'!E52="*  -&gt; ##34###34#","// --END",'Staging-Map-1'!E52)</f>
        <v>* metastasisSite.distantLymphNode -&gt; ##34#TBD##34#</v>
      </c>
    </row>
    <row r="250" spans="3:3" x14ac:dyDescent="0.75">
      <c r="C250" s="12" t="str">
        <f>IF('Staging-Map-1'!E53="*  -&gt; ##34###34#","// --END",'Staging-Map-1'!E53)</f>
        <v>* metastasisSite.lung -&gt; ##34#TBD##34#</v>
      </c>
    </row>
    <row r="251" spans="3:3" x14ac:dyDescent="0.75">
      <c r="C251" s="12" t="str">
        <f>IF('Staging-Map-1'!E54="*  -&gt; ##34###34#","// --END",'Staging-Map-1'!E54)</f>
        <v>* metastasisSite.bone -&gt; ##34#TBD##34#</v>
      </c>
    </row>
    <row r="252" spans="3:3" x14ac:dyDescent="0.75">
      <c r="C252" s="12" t="str">
        <f>IF('Staging-Map-1'!E55="*  -&gt; ##34###34#","// --END",'Staging-Map-1'!E55)</f>
        <v>* metastasisSite.liver -&gt; ##34#TBD##34#</v>
      </c>
    </row>
    <row r="253" spans="3:3" x14ac:dyDescent="0.75">
      <c r="C253" s="12" t="str">
        <f>IF('Staging-Map-1'!E56="*  -&gt; ##34###34#","// --END",'Staging-Map-1'!E56)</f>
        <v>* metastasisSite.pleura -&gt; ##34#TBD##34#</v>
      </c>
    </row>
    <row r="254" spans="3:3" x14ac:dyDescent="0.75">
      <c r="C254" s="12" t="str">
        <f>IF('Staging-Map-1'!E57="*  -&gt; ##34###34#","// --END",'Staging-Map-1'!E57)</f>
        <v>* metastasisSite.peritoneum -&gt; ##34#TBD##34#</v>
      </c>
    </row>
    <row r="255" spans="3:3" x14ac:dyDescent="0.75">
      <c r="C255" s="12" t="str">
        <f>IF('Staging-Map-1'!E58="*  -&gt; ##34###34#","// --END",'Staging-Map-1'!E58)</f>
        <v>* metastasisSite.brain -&gt; ##34#TBD##34#</v>
      </c>
    </row>
    <row r="256" spans="3:3" x14ac:dyDescent="0.75">
      <c r="C256" s="12" t="str">
        <f>IF('Staging-Map-1'!E59="*  -&gt; ##34###34#","// --END",'Staging-Map-1'!E59)</f>
        <v>* metastasisSite.otherViscera -&gt; ##34#TBD##34#</v>
      </c>
    </row>
    <row r="257" spans="3:3" x14ac:dyDescent="0.75">
      <c r="C257" s="12" t="str">
        <f>IF('Staging-Map-1'!E60="*  -&gt; ##34###34#","// --END",'Staging-Map-1'!E60)</f>
        <v>* metastasisSite.unknown -&gt; ##34#TBD##34#</v>
      </c>
    </row>
    <row r="258" spans="3:3" x14ac:dyDescent="0.75">
      <c r="C258" s="12" t="str">
        <f>IF('Staging-Map-1'!E61="*  -&gt; ##34###34#","// --END",'Staging-Map-1'!E61)</f>
        <v>* clinicalStagingDefinedBy -&gt; ##34#TBD##34#</v>
      </c>
    </row>
    <row r="259" spans="3:3" x14ac:dyDescent="0.75">
      <c r="C259" s="12" t="str">
        <f>IF('Staging-Map-1'!E62="*  -&gt; ##34###34#","// --END",'Staging-Map-1'!E62)</f>
        <v>* pathologicalStage -&gt; ##34#TBD##34#</v>
      </c>
    </row>
    <row r="260" spans="3:3" x14ac:dyDescent="0.75">
      <c r="C260" s="12" t="str">
        <f>IF('Staging-Map-1'!E63="*  -&gt; ##34###34#","// --END",'Staging-Map-1'!E63)</f>
        <v>* pathologicalStage.pt -&gt; ##34#TBD##34#</v>
      </c>
    </row>
    <row r="261" spans="3:3" x14ac:dyDescent="0.75">
      <c r="C261" s="12" t="str">
        <f>IF('Staging-Map-1'!E64="*  -&gt; ##34###34#","// --END",'Staging-Map-1'!E64)</f>
        <v>* pathologicalStage.pn -&gt; ##34#TBD##34#</v>
      </c>
    </row>
    <row r="262" spans="3:3" x14ac:dyDescent="0.75">
      <c r="C262" s="12" t="str">
        <f>IF('Staging-Map-1'!E65="*  -&gt; ##34###34#","// --END",'Staging-Map-1'!E65)</f>
        <v>* extranodalExtensionEne -&gt; ##34#TBD##34#</v>
      </c>
    </row>
    <row r="263" spans="3:3" x14ac:dyDescent="0.75">
      <c r="C263" s="12" t="str">
        <f>IF('Staging-Map-1'!E66="*  -&gt; ##34###34#","// --END",'Staging-Map-1'!E66)</f>
        <v>* extranodalExtent -&gt; ##34#TBD##34#</v>
      </c>
    </row>
    <row r="264" spans="3:3" x14ac:dyDescent="0.75">
      <c r="C264" s="12" t="str">
        <f>IF('Staging-Map-1'!E67="*  -&gt; ##34###34#","// --END",'Staging-Map-1'!E67)</f>
        <v>* marginsAfterSurgery -&gt; ##34#TBD##34#</v>
      </c>
    </row>
    <row r="265" spans="3:3" x14ac:dyDescent="0.75">
      <c r="C265" s="12" t="str">
        <f>IF('Staging-Map-1'!E68="*  -&gt; ##34###34#","// --END",'Staging-Map-1'!E68)</f>
        <v>* marginsAfterSurgeryIf5Mm -&gt; ##34#TBD##34#</v>
      </c>
    </row>
    <row r="266" spans="3:3" x14ac:dyDescent="0.75">
      <c r="C266" s="12" t="str">
        <f>IF('Staging-Map-1'!E69="*  -&gt; ##34###34#","// --END",'Staging-Map-1'!E69)</f>
        <v>* sentinelNode -&gt; ##34#TBD##34#</v>
      </c>
    </row>
    <row r="267" spans="3:3" x14ac:dyDescent="0.75">
      <c r="C267" s="12" t="str">
        <f>IF('Staging-Map-1'!E70="*  -&gt; ##34###34#","// --END",'Staging-Map-1'!E70)</f>
        <v>* neckDissection -&gt; ##34#TBD##34#</v>
      </c>
    </row>
    <row r="268" spans="3:3" x14ac:dyDescent="0.75">
      <c r="C268" s="12" t="str">
        <f>IF('Staging-Map-1'!E71="*  -&gt; ##34###34#","// --END",'Staging-Map-1'!E71)</f>
        <v>* numberOfLymphNodesRemovedRightSide -&gt; ##34#TBD##34#</v>
      </c>
    </row>
    <row r="269" spans="3:3" x14ac:dyDescent="0.75">
      <c r="C269" s="12" t="str">
        <f>IF('Staging-Map-1'!E72="*  -&gt; ##34###34#","// --END",'Staging-Map-1'!E72)</f>
        <v>* numberOfPositiveLymphNodesRightSide -&gt; ##34#TBD##34#</v>
      </c>
    </row>
    <row r="270" spans="3:3" x14ac:dyDescent="0.75">
      <c r="C270" s="12" t="str">
        <f>IF('Staging-Map-1'!E73="*  -&gt; ##34###34#","// --END",'Staging-Map-1'!E73)</f>
        <v>* lnrRightLymphNodeRatio -&gt; ##34#TBD##34#</v>
      </c>
    </row>
    <row r="271" spans="3:3" x14ac:dyDescent="0.75">
      <c r="C271" s="12" t="str">
        <f>IF('Staging-Map-1'!E74="*  -&gt; ##34###34#","// --END",'Staging-Map-1'!E74)</f>
        <v>* numberOfLymphNodesRemovedLeftSide -&gt; ##34#TBD##34#</v>
      </c>
    </row>
    <row r="272" spans="3:3" x14ac:dyDescent="0.75">
      <c r="C272" s="12" t="str">
        <f>IF('Staging-Map-1'!E75="*  -&gt; ##34###34#","// --END",'Staging-Map-1'!E75)</f>
        <v>* numberOfPositiveLymphNodesLeftSide -&gt; ##34#TBD##34#</v>
      </c>
    </row>
    <row r="273" spans="3:3" x14ac:dyDescent="0.75">
      <c r="C273" s="12" t="str">
        <f>IF('Staging-Map-1'!E76="*  -&gt; ##34###34#","// --END",'Staging-Map-1'!E76)</f>
        <v>* lnrLeftLymphNodeRatio -&gt; ##34#TBD##34#</v>
      </c>
    </row>
    <row r="274" spans="3:3" x14ac:dyDescent="0.75">
      <c r="C274" s="12" t="str">
        <f>IF('Staging-Map-1'!E77="*  -&gt; ##34###34#","// --END",'Staging-Map-1'!E77)</f>
        <v>* lymphovascularSpaceInvasionLvsi -&gt; ##34#TBD##34#</v>
      </c>
    </row>
    <row r="275" spans="3:3" x14ac:dyDescent="0.75">
      <c r="C275" s="12" t="str">
        <f>IF('Staging-Map-1'!E78="*  -&gt; ##34###34#","// --END",'Staging-Map-1'!E78)</f>
        <v>* perineuralInvasionPni -&gt; ##34#TBD##34#</v>
      </c>
    </row>
    <row r="276" spans="3:3" x14ac:dyDescent="0.75">
      <c r="C276" s="12" t="str">
        <f>IF('Staging-Map-1'!E79="*  -&gt; ##34###34#","// --END",'Staging-Map-1'!E79)</f>
        <v>* pm -&gt; ##34#TBD##34#</v>
      </c>
    </row>
    <row r="277" spans="3:3" x14ac:dyDescent="0.75">
      <c r="C277" s="12" t="str">
        <f>IF('Staging-Map-1'!E80="*  -&gt; ##34###34#","// --END",'Staging-Map-1'!E80)</f>
        <v>* pathologicalStaging -&gt; ##34#TBD##34#</v>
      </c>
    </row>
    <row r="278" spans="3:3" x14ac:dyDescent="0.75">
      <c r="C278" s="12" t="str">
        <f>IF('Staging-Map-1'!E81="*  -&gt; ##34###34#","// --END",'Staging-Map-1'!E81)</f>
        <v>* ajccEdition -&gt; ##34#TBD##34#</v>
      </c>
    </row>
    <row r="279" spans="3:3" x14ac:dyDescent="0.75">
      <c r="C279" s="12" t="str">
        <f>IF('Staging-Map-1'!E82="*  -&gt; ##34###34#","// --END",'Staging-Map-1'!E82)</f>
        <v>* mSite -&gt; ##34#TBD##34#</v>
      </c>
    </row>
    <row r="280" spans="3:3" x14ac:dyDescent="0.75">
      <c r="C280" s="12" t="str">
        <f>IF('Staging-Map-1'!E83="*  -&gt; ##34###34#","// --END",'Staging-Map-1'!E83)</f>
        <v>* softTissue -&gt; ##34#TBD##34#</v>
      </c>
    </row>
    <row r="281" spans="3:3" x14ac:dyDescent="0.75">
      <c r="C281" s="12" t="str">
        <f>IF('Staging-Map-1'!E84="*  -&gt; ##34###34#","// --END",'Staging-Map-1'!E84)</f>
        <v>* distantLymphNode -&gt; ##34#TBD##34#</v>
      </c>
    </row>
    <row r="282" spans="3:3" x14ac:dyDescent="0.75">
      <c r="C282" s="12" t="str">
        <f>IF('Staging-Map-1'!E85="*  -&gt; ##34###34#","// --END",'Staging-Map-1'!E85)</f>
        <v>* lung -&gt; ##34#TBD##34#</v>
      </c>
    </row>
    <row r="283" spans="3:3" x14ac:dyDescent="0.75">
      <c r="C283" s="12" t="str">
        <f>IF('Staging-Map-1'!E86="*  -&gt; ##34###34#","// --END",'Staging-Map-1'!E86)</f>
        <v>* bone -&gt; ##34#TBD##34#</v>
      </c>
    </row>
    <row r="284" spans="3:3" x14ac:dyDescent="0.75">
      <c r="C284" s="12" t="str">
        <f>IF('Staging-Map-1'!E87="*  -&gt; ##34###34#","// --END",'Staging-Map-1'!E87)</f>
        <v>* liver -&gt; ##34#TBD##34#</v>
      </c>
    </row>
    <row r="285" spans="3:3" x14ac:dyDescent="0.75">
      <c r="C285" s="12" t="str">
        <f>IF('Staging-Map-1'!E88="*  -&gt; ##34###34#","// --END",'Staging-Map-1'!E88)</f>
        <v>* pleura -&gt; ##34#TBD##34#</v>
      </c>
    </row>
    <row r="286" spans="3:3" x14ac:dyDescent="0.75">
      <c r="C286" s="12" t="str">
        <f>IF('Staging-Map-1'!E89="*  -&gt; ##34###34#","// --END",'Staging-Map-1'!E89)</f>
        <v>* peritoneum -&gt; ##34#TBD##34#</v>
      </c>
    </row>
    <row r="287" spans="3:3" x14ac:dyDescent="0.75">
      <c r="C287" s="12" t="str">
        <f>IF('Staging-Map-1'!E90="*  -&gt; ##34###34#","// --END",'Staging-Map-1'!E90)</f>
        <v>* brain -&gt; ##34#TBD##34#</v>
      </c>
    </row>
    <row r="288" spans="3:3" x14ac:dyDescent="0.75">
      <c r="C288" s="12" t="str">
        <f>IF('Staging-Map-1'!E91="*  -&gt; ##34###34#","// --END",'Staging-Map-1'!E91)</f>
        <v>* otherViscera -&gt; ##34#TBD##34#</v>
      </c>
    </row>
    <row r="289" spans="3:3" x14ac:dyDescent="0.75">
      <c r="C289" s="12" t="str">
        <f>IF('Staging-Map-1'!E92="*  -&gt; ##34###34#","// --END",'Staging-Map-1'!E92)</f>
        <v>* msite -&gt; ##34#TBD##34#</v>
      </c>
    </row>
    <row r="290" spans="3:3" x14ac:dyDescent="0.75">
      <c r="C290" s="12" t="str">
        <f>IF('Staging-Map-1'!E93="*  -&gt; ##34###34#","// --END",'Staging-Map-1'!E93)</f>
        <v>* unknown -&gt; ##34#TBD##34#</v>
      </c>
    </row>
    <row r="291" spans="3:3" x14ac:dyDescent="0.75">
      <c r="C291" s="12" t="str">
        <f>IF('Staging-Map-1'!E94="*  -&gt; ##34###34#","// --END",'Staging-Map-1'!E94)</f>
        <v>* pathologicalStagingDefinedBy -&gt; ##34#TBD##34#</v>
      </c>
    </row>
    <row r="292" spans="3:3" x14ac:dyDescent="0.75">
      <c r="C292" s="12" t="str">
        <f>IF('Staging-Map-1'!E95="*  -&gt; ##34###34#","// --END",'Staging-Map-1'!E95)</f>
        <v>* instrumentStatus -&gt; ##34#TBD##34#</v>
      </c>
    </row>
    <row r="293" spans="3:3" x14ac:dyDescent="0.75">
      <c r="C293" s="12" t="str">
        <f>IF('Staging-Map-1'!E96="*  -&gt; ##34###34#","// --END",'Staging-Map-1'!E96)</f>
        <v>// --END</v>
      </c>
    </row>
    <row r="294" spans="3:3" x14ac:dyDescent="0.75">
      <c r="C294" s="12" t="str">
        <f>IF('Staging-Map-1'!E97="*  -&gt; ##34###34#","// --END",'Staging-Map-1'!E97)</f>
        <v>// --END</v>
      </c>
    </row>
    <row r="295" spans="3:3" x14ac:dyDescent="0.75">
      <c r="C295" s="12" t="str">
        <f>IF('Staging-Map-1'!E98="*  -&gt; ##34###34#","// --END",'Staging-Map-1'!E98)</f>
        <v>// --END</v>
      </c>
    </row>
    <row r="296" spans="3:3" x14ac:dyDescent="0.75">
      <c r="C296" s="71"/>
    </row>
    <row r="297" spans="3:3" x14ac:dyDescent="0.75">
      <c r="C297" s="71"/>
    </row>
    <row r="298" spans="3:3" x14ac:dyDescent="0.75">
      <c r="C298" s="71"/>
    </row>
    <row r="299" spans="3:3" x14ac:dyDescent="0.75">
      <c r="C299" s="71"/>
    </row>
    <row r="300" spans="3:3" x14ac:dyDescent="0.75">
      <c r="C300" s="71"/>
    </row>
    <row r="301" spans="3:3" x14ac:dyDescent="0.75">
      <c r="C301" s="71"/>
    </row>
    <row r="302" spans="3:3" x14ac:dyDescent="0.75">
      <c r="C302" s="71"/>
    </row>
    <row r="303" spans="3:3" x14ac:dyDescent="0.75">
      <c r="C303" s="71"/>
    </row>
    <row r="304" spans="3:3" x14ac:dyDescent="0.75">
      <c r="C304" s="71"/>
    </row>
    <row r="305" spans="3:3" x14ac:dyDescent="0.75">
      <c r="C305" s="71"/>
    </row>
    <row r="306" spans="3:3" x14ac:dyDescent="0.75">
      <c r="C306" s="71"/>
    </row>
    <row r="307" spans="3:3" x14ac:dyDescent="0.75">
      <c r="C307" s="7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Staging!B5</f>
        <v>Staging</v>
      </c>
      <c r="C10" s="6" t="str">
        <f>Staging!B6</f>
        <v>Staging</v>
      </c>
      <c r="D10" s="46" t="e">
        <f>ConvertOsiris!I2</f>
        <v>#REF!</v>
      </c>
      <c r="E10" s="46" t="e">
        <f>ConvertOsiris!J2</f>
        <v>#REF!</v>
      </c>
      <c r="F10" s="53" t="s">
        <v>121</v>
      </c>
      <c r="G10" s="47"/>
      <c r="H10" s="12" t="str">
        <f>"* group[=].element[+].code = #"&amp;B10</f>
        <v>* group[=].element[+].code = #Staging</v>
      </c>
      <c r="I10" s="12" t="str">
        <f>"* group[=].element[=].display = ##34#"&amp;C10&amp;"##34#"</f>
        <v>* group[=].element[=].display = ##34#Staging##34#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x14ac:dyDescent="0.75">
      <c r="A11" s="48"/>
      <c r="B11" s="11" t="str">
        <f>$B$10&amp;"."&amp;Staging!B8</f>
        <v>Staging.stagingProceduresDoneBy</v>
      </c>
      <c r="C11" s="11" t="str">
        <f>Staging!C8</f>
        <v>Staging procedures done by</v>
      </c>
      <c r="D11" s="11" t="e">
        <f>ConvertOsiris!I6</f>
        <v>#REF!</v>
      </c>
      <c r="E11" s="11" t="e">
        <f>ConvertOsiris!J6</f>
        <v>#REF!</v>
      </c>
      <c r="F11" s="53" t="s">
        <v>99</v>
      </c>
      <c r="G11" s="47"/>
      <c r="H11" s="12" t="str">
        <f t="shared" ref="H11:H17" si="0">"* group[=].element[+].code = #"&amp;B11</f>
        <v>* group[=].element[+].code = #Staging.stagingProceduresDoneBy</v>
      </c>
      <c r="I11" s="12" t="str">
        <f t="shared" ref="I11:I17" si="1">"* group[=].element[=].display = ##34#"&amp;C11&amp;"##34#"</f>
        <v>* group[=].element[=].display = ##34#Staging procedures done by##34#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x14ac:dyDescent="0.75">
      <c r="A12" s="48"/>
      <c r="B12" s="11" t="str">
        <f>$B$10&amp;"."&amp;Staging!B9</f>
        <v>Staging.imagingPerformed</v>
      </c>
      <c r="C12" s="11" t="str">
        <f>Staging!C9</f>
        <v>Imaging for primary site</v>
      </c>
      <c r="D12" s="11" t="e">
        <f>ConvertOsiris!I6</f>
        <v>#REF!</v>
      </c>
      <c r="E12" s="11" t="e">
        <f>ConvertOsiris!J6</f>
        <v>#REF!</v>
      </c>
      <c r="F12" s="53" t="s">
        <v>121</v>
      </c>
      <c r="G12" s="47"/>
      <c r="H12" s="12" t="str">
        <f t="shared" si="0"/>
        <v>* group[=].element[+].code = #Staging.imagingPerformed</v>
      </c>
      <c r="I12" s="12" t="str">
        <f t="shared" si="1"/>
        <v>* group[=].element[=].display = ##34#Imaging for primary site##34#</v>
      </c>
      <c r="J12" s="12" t="e">
        <f t="shared" si="2"/>
        <v>#REF!</v>
      </c>
      <c r="K12" s="12" t="e">
        <f t="shared" si="3"/>
        <v>#REF!</v>
      </c>
      <c r="L12" s="12" t="str">
        <f t="shared" si="4"/>
        <v>* group[=].element[=].target.equivalence = #equivalent</v>
      </c>
      <c r="N12" s="11">
        <v>3</v>
      </c>
      <c r="O12" s="11">
        <f t="shared" si="5"/>
        <v>0</v>
      </c>
      <c r="P12" s="11">
        <f t="shared" si="6"/>
        <v>3</v>
      </c>
      <c r="Q12" s="12" t="e" cm="1">
        <f t="array" ref="Q12">INDEX('Staging-ConceptMap'!$H$10:$L$264,O12+1,P12)</f>
        <v>#REF!</v>
      </c>
    </row>
    <row r="13" spans="1:17" ht="44.25" x14ac:dyDescent="0.75">
      <c r="A13" s="48"/>
      <c r="B13" s="11" t="str">
        <f>$B$10&amp;"."&amp;Staging!B11</f>
        <v>Staging.imagingPerformed.cTPerformed</v>
      </c>
      <c r="C13" s="11" t="str">
        <f>Staging!C11</f>
        <v>CT</v>
      </c>
      <c r="D13" s="11"/>
      <c r="E13" s="11"/>
      <c r="F13" s="53" t="s">
        <v>116</v>
      </c>
      <c r="G13" s="47"/>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INDEX('Staging-ConceptMap'!$H$10:$L$264,O13+1,P13)</f>
        <v>#REF!</v>
      </c>
    </row>
    <row r="14" spans="1:17" ht="44.25" x14ac:dyDescent="0.75">
      <c r="A14" s="48"/>
      <c r="B14" s="11" t="str">
        <f>$B$10&amp;"."&amp;Staging!B12</f>
        <v>Staging.imagingPerformed.mRIPerformed</v>
      </c>
      <c r="C14" s="11" t="str">
        <f>Staging!C12</f>
        <v>MRI</v>
      </c>
      <c r="D14" s="11"/>
      <c r="E14" s="11"/>
      <c r="F14" s="53" t="s">
        <v>116</v>
      </c>
      <c r="G14" s="47"/>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x14ac:dyDescent="0.75">
      <c r="A15" s="48"/>
      <c r="B15" s="11" t="str">
        <f>$B$10&amp;"."&amp;Staging!B13</f>
        <v>Staging.imagingPerformed.uSPerformed</v>
      </c>
      <c r="C15" s="11" t="str">
        <f>Staging!C13</f>
        <v>US</v>
      </c>
      <c r="D15" s="11" t="e">
        <f>ConvertOsiris!I4</f>
        <v>#REF!</v>
      </c>
      <c r="E15" s="11" t="e">
        <f>ConvertOsiris!J4</f>
        <v>#REF!</v>
      </c>
      <c r="F15" s="53" t="s">
        <v>125</v>
      </c>
      <c r="G15" s="47"/>
      <c r="H15" s="12" t="str">
        <f t="shared" si="0"/>
        <v>* group[=].element[+].code = #Staging.imagingPerformed.uSPerformed</v>
      </c>
      <c r="I15" s="12" t="str">
        <f t="shared" si="1"/>
        <v>* group[=].element[=].display = ##34#US##34#</v>
      </c>
      <c r="J15" s="12" t="e">
        <f t="shared" si="2"/>
        <v>#REF!</v>
      </c>
      <c r="K15" s="12" t="e">
        <f t="shared" si="3"/>
        <v>#REF!</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x14ac:dyDescent="0.75">
      <c r="A16" s="48"/>
      <c r="B16" s="11" t="str">
        <f>$B$10&amp;"."&amp;Staging!B14</f>
        <v>Staging.imagingPerformed.fDGPETPerformed</v>
      </c>
      <c r="C16" s="11" t="str">
        <f>Staging!C14</f>
        <v>FDG PET</v>
      </c>
      <c r="D16" s="11" t="e">
        <f>ConvertOsiris!I5</f>
        <v>#REF!</v>
      </c>
      <c r="E16" s="11" t="e">
        <f>ConvertOsiris!J5</f>
        <v>#REF!</v>
      </c>
      <c r="F16" s="53" t="s">
        <v>123</v>
      </c>
      <c r="G16" s="47"/>
      <c r="H16" s="12" t="str">
        <f t="shared" si="0"/>
        <v>* group[=].element[+].code = #Staging.imagingPerformed.fDGPETPerformed</v>
      </c>
      <c r="I16" s="12" t="str">
        <f t="shared" si="1"/>
        <v>* group[=].element[=].display = ##34#FDG PET##34#</v>
      </c>
      <c r="J16" s="12" t="e">
        <f t="shared" si="2"/>
        <v>#REF!</v>
      </c>
      <c r="K16" s="12" t="e">
        <f t="shared" si="3"/>
        <v>#REF!</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x14ac:dyDescent="0.75">
      <c r="A17" s="48"/>
      <c r="B17" s="11" t="str">
        <f>$B$10&amp;"."&amp;Staging!B15</f>
        <v>Staging.imagingPerformed.pETwithothertracersPerformed</v>
      </c>
      <c r="C17" s="11" t="str">
        <f>Staging!C15</f>
        <v>PET with other tracers</v>
      </c>
      <c r="D17" s="11"/>
      <c r="E17" s="12"/>
      <c r="F17" s="53" t="s">
        <v>116</v>
      </c>
      <c r="G17" s="47"/>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INDEX('Staging-ConceptMap'!$H$10:$L$264,O17+1,P17)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INDEX('Staging-ConceptMap'!$H$10:$L$264,O18+1,P18)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INDEX('Staging-ConceptMap'!$H$10:$L$264,O19+1,P19)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INDEX('Staging-ConceptMap'!$H$10:$L$264,O20+1,P20)</f>
        <v>* group[=].element[+].code = #Staging.imagingPerformed</v>
      </c>
    </row>
    <row r="21" spans="1:17" x14ac:dyDescent="0.75">
      <c r="B21" s="11"/>
      <c r="C21" s="11"/>
      <c r="D21" s="11"/>
      <c r="E21" s="12"/>
      <c r="F21" s="53"/>
      <c r="G21" s="47"/>
      <c r="J21" s="47"/>
      <c r="K21" s="47"/>
      <c r="L21" s="55"/>
      <c r="N21" s="11">
        <v>12</v>
      </c>
      <c r="O21" s="11">
        <f t="shared" si="5"/>
        <v>2</v>
      </c>
      <c r="P21" s="11">
        <f t="shared" si="6"/>
        <v>2</v>
      </c>
      <c r="Q21" s="12" t="str" cm="1">
        <f t="array" ref="Q21">INDEX('Staging-ConceptMap'!$H$10:$L$264,O21+1,P21)</f>
        <v>* group[=].element[=].display = ##34#Imaging for primary site##34#</v>
      </c>
    </row>
    <row r="22" spans="1:17" x14ac:dyDescent="0.75">
      <c r="B22" s="11"/>
      <c r="C22" s="11"/>
      <c r="D22" s="11"/>
      <c r="E22" s="12"/>
      <c r="F22" s="53"/>
      <c r="G22" s="47"/>
      <c r="J22" s="47"/>
      <c r="K22" s="47"/>
      <c r="L22" s="55"/>
      <c r="N22" s="11">
        <v>13</v>
      </c>
      <c r="O22" s="11">
        <f t="shared" si="5"/>
        <v>2</v>
      </c>
      <c r="P22" s="11">
        <f t="shared" si="6"/>
        <v>3</v>
      </c>
      <c r="Q22" s="12" t="e" cm="1">
        <f t="array" ref="Q22">INDEX('Staging-ConceptMap'!$H$10:$L$264,O22+1,P22)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INDEX('Staging-ConceptMap'!$H$10:$L$264,O23+1,P23)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INDEX('Staging-ConceptMap'!$H$10:$L$264,O24+1,P24)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INDEX('Staging-ConceptMap'!$H$10:$L$264,O25+1,P25)</f>
        <v>* group[=].element[+].code = #Staging.imagingPerformed.cTPerformed</v>
      </c>
    </row>
    <row r="26" spans="1:17" x14ac:dyDescent="0.75">
      <c r="B26" s="11"/>
      <c r="C26" s="11"/>
      <c r="D26" s="11"/>
      <c r="E26" s="12"/>
      <c r="F26" s="53"/>
      <c r="G26" s="47"/>
      <c r="J26" s="47"/>
      <c r="K26" s="47"/>
      <c r="L26" s="55"/>
      <c r="N26" s="11">
        <v>17</v>
      </c>
      <c r="O26" s="11">
        <f t="shared" si="5"/>
        <v>3</v>
      </c>
      <c r="P26" s="11">
        <f t="shared" si="6"/>
        <v>2</v>
      </c>
      <c r="Q26" s="12" t="str" cm="1">
        <f t="array" ref="Q26">INDEX('Staging-ConceptMap'!$H$10:$L$264,O26+1,P26)</f>
        <v>* group[=].element[=].display = ##34#CT##34#</v>
      </c>
    </row>
    <row r="27" spans="1:17" x14ac:dyDescent="0.75">
      <c r="B27" s="11"/>
      <c r="C27" s="11"/>
      <c r="D27" s="11"/>
      <c r="E27" s="12"/>
      <c r="F27" s="53"/>
      <c r="G27" s="47"/>
      <c r="J27" s="47"/>
      <c r="K27" s="47"/>
      <c r="L27" s="55"/>
      <c r="N27" s="11">
        <v>18</v>
      </c>
      <c r="O27" s="11">
        <f t="shared" si="5"/>
        <v>3</v>
      </c>
      <c r="P27" s="11">
        <f t="shared" si="6"/>
        <v>3</v>
      </c>
      <c r="Q27" s="12" t="str" cm="1">
        <f t="array" ref="Q27">INDEX('Staging-ConceptMap'!$H$10:$L$264,O27+1,P27)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INDEX('Staging-ConceptMap'!$H$10:$L$264,O28+1,P28)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INDEX('Staging-ConceptMap'!$H$10:$L$264,O29+1,P29)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INDEX('Staging-ConceptMap'!$H$10:$L$264,O30+1,P30)</f>
        <v>* group[=].element[+].code = #Staging.imagingPerformed.mRIPerformed</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INDEX('Staging-ConceptMap'!$H$10:$L$264,O31+1,P31)</f>
        <v>* group[=].element[=].display = ##34#MRI##34#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INDEX('Staging-ConceptMap'!$H$10:$L$264,O32+1,P32)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INDEX('Staging-ConceptMap'!$H$10:$L$264,O33+1,P33)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INDEX('Staging-ConceptMap'!$H$10:$L$264,O34+1,P34)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INDEX('Staging-ConceptMap'!$H$10:$L$264,O35+1,P35)</f>
        <v>* group[=].element[+].code = #Staging.imagingPerformed.uSPerformed</v>
      </c>
    </row>
    <row r="36" spans="1:17" s="2" customFormat="1" x14ac:dyDescent="0.75">
      <c r="A36"/>
      <c r="B36" s="11"/>
      <c r="C36"/>
      <c r="F36" s="47"/>
      <c r="G36" s="47"/>
      <c r="I36" s="47"/>
      <c r="J36" s="47"/>
      <c r="K36" s="47"/>
      <c r="L36" s="55"/>
      <c r="N36" s="11">
        <v>27</v>
      </c>
      <c r="O36" s="11">
        <f t="shared" si="5"/>
        <v>5</v>
      </c>
      <c r="P36" s="11">
        <f t="shared" si="6"/>
        <v>2</v>
      </c>
      <c r="Q36" s="12" t="str" cm="1">
        <f t="array" ref="Q36">INDEX('Staging-ConceptMap'!$H$10:$L$264,O36+1,P36)</f>
        <v>* group[=].element[=].display = ##34#US##34#</v>
      </c>
    </row>
    <row r="37" spans="1:17" s="2" customFormat="1" x14ac:dyDescent="0.75">
      <c r="A37"/>
      <c r="B37" s="11"/>
      <c r="C37"/>
      <c r="F37" s="47"/>
      <c r="G37" s="47"/>
      <c r="I37" s="47"/>
      <c r="J37" s="47"/>
      <c r="K37" s="47"/>
      <c r="L37" s="47"/>
      <c r="N37" s="11">
        <v>28</v>
      </c>
      <c r="O37" s="11">
        <f t="shared" si="5"/>
        <v>5</v>
      </c>
      <c r="P37" s="11">
        <f t="shared" si="6"/>
        <v>3</v>
      </c>
      <c r="Q37" s="12" t="e" cm="1">
        <f t="array" ref="Q37">INDEX('Staging-ConceptMap'!$H$10:$L$264,O37+1,P37)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INDEX('Staging-ConceptMap'!$H$10:$L$264,O38+1,P38)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INDEX('Staging-ConceptMap'!$H$10:$L$264,O39+1,P39)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INDEX('Staging-ConceptMap'!$H$10:$L$264,O40+1,P40)</f>
        <v>* group[=].element[+].code = #Staging.imagingPerformed.fDGPETPerformed</v>
      </c>
    </row>
    <row r="41" spans="1:17" s="2" customFormat="1" x14ac:dyDescent="0.75">
      <c r="A41"/>
      <c r="B41" s="11"/>
      <c r="C41"/>
      <c r="F41" s="47"/>
      <c r="G41" s="47"/>
      <c r="I41" s="47"/>
      <c r="J41" s="47"/>
      <c r="K41" s="47"/>
      <c r="L41" s="47"/>
      <c r="N41" s="11">
        <v>32</v>
      </c>
      <c r="O41" s="11">
        <f t="shared" si="5"/>
        <v>6</v>
      </c>
      <c r="P41" s="11">
        <f t="shared" si="6"/>
        <v>2</v>
      </c>
      <c r="Q41" s="12" t="str" cm="1">
        <f t="array" ref="Q41">INDEX('Staging-ConceptMap'!$H$10:$L$264,O41+1,P41)</f>
        <v>* group[=].element[=].display = ##34#FDG PET##34#</v>
      </c>
    </row>
    <row r="42" spans="1:17" s="2" customFormat="1" x14ac:dyDescent="0.75">
      <c r="A42"/>
      <c r="B42" s="11"/>
      <c r="C42"/>
      <c r="F42" s="47"/>
      <c r="G42" s="47"/>
      <c r="I42" s="47"/>
      <c r="J42" s="47"/>
      <c r="K42" s="47"/>
      <c r="L42" s="47"/>
      <c r="N42" s="11">
        <v>33</v>
      </c>
      <c r="O42" s="11">
        <f t="shared" si="5"/>
        <v>6</v>
      </c>
      <c r="P42" s="11">
        <f t="shared" si="6"/>
        <v>3</v>
      </c>
      <c r="Q42" s="12" t="e" cm="1">
        <f t="array" ref="Q42">INDEX('Staging-ConceptMap'!$H$10:$L$264,O42+1,P42)</f>
        <v>#REF!</v>
      </c>
    </row>
    <row r="43" spans="1:17" x14ac:dyDescent="0.75">
      <c r="F43" s="47"/>
      <c r="G43" s="47"/>
      <c r="I43" s="47"/>
      <c r="J43" s="47"/>
      <c r="K43" s="47"/>
      <c r="L43" s="47"/>
      <c r="N43" s="11">
        <v>34</v>
      </c>
      <c r="O43" s="11">
        <f t="shared" si="5"/>
        <v>6</v>
      </c>
      <c r="P43" s="11">
        <f t="shared" si="6"/>
        <v>4</v>
      </c>
      <c r="Q43" s="12" t="e" cm="1">
        <f t="array" ref="Q43">INDEX('Staging-ConceptMap'!$H$10:$L$264,O43+1,P43)</f>
        <v>#REF!</v>
      </c>
    </row>
    <row r="44" spans="1:17" x14ac:dyDescent="0.75">
      <c r="F44" s="47"/>
      <c r="G44" s="47"/>
      <c r="I44" s="47"/>
      <c r="J44" s="47"/>
      <c r="K44" s="47"/>
      <c r="L44" s="47"/>
      <c r="N44" s="11">
        <v>35</v>
      </c>
      <c r="O44" s="11">
        <f t="shared" si="5"/>
        <v>6</v>
      </c>
      <c r="P44" s="11">
        <f t="shared" si="6"/>
        <v>5</v>
      </c>
      <c r="Q44" s="12" t="str" cm="1">
        <f t="array" ref="Q44">INDEX('Staging-ConceptMap'!$H$10:$L$264,O44+1,P44)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INDEX('Staging-ConceptMap'!$H$10:$L$264,O45+1,P45)</f>
        <v>* group[=].element[+].code = #Staging.imagingPerformed.pETwithothertracersPerformed</v>
      </c>
    </row>
    <row r="46" spans="1:17" x14ac:dyDescent="0.75">
      <c r="F46" s="47"/>
      <c r="G46" s="47"/>
      <c r="I46" s="47"/>
      <c r="J46" s="47"/>
      <c r="K46" s="47"/>
      <c r="L46" s="47"/>
      <c r="N46" s="11">
        <v>37</v>
      </c>
      <c r="O46" s="11">
        <f t="shared" si="5"/>
        <v>7</v>
      </c>
      <c r="P46" s="11">
        <f t="shared" si="6"/>
        <v>2</v>
      </c>
      <c r="Q46" s="12" t="str" cm="1">
        <f t="array" ref="Q46">INDEX('Staging-ConceptMap'!$H$10:$L$264,O46+1,P46)</f>
        <v>* group[=].element[=].display = ##34#PET with other tracers##34#</v>
      </c>
    </row>
    <row r="47" spans="1:17" x14ac:dyDescent="0.75">
      <c r="B47" t="s">
        <v>94</v>
      </c>
      <c r="C47" t="s">
        <v>95</v>
      </c>
      <c r="D47" t="s">
        <v>96</v>
      </c>
      <c r="E47" t="s">
        <v>97</v>
      </c>
      <c r="N47" s="11">
        <v>38</v>
      </c>
      <c r="O47" s="11">
        <f t="shared" si="5"/>
        <v>7</v>
      </c>
      <c r="P47" s="11">
        <f t="shared" si="6"/>
        <v>3</v>
      </c>
      <c r="Q47" s="12" t="str" cm="1">
        <f t="array" ref="Q47">INDEX('Staging-ConceptMap'!$H$10:$L$264,O47+1,P47)</f>
        <v>//-- unmatched</v>
      </c>
    </row>
    <row r="48" spans="1:17" x14ac:dyDescent="0.75">
      <c r="N48" s="11">
        <v>39</v>
      </c>
      <c r="O48" s="11">
        <f t="shared" si="5"/>
        <v>7</v>
      </c>
      <c r="P48" s="11">
        <f t="shared" si="6"/>
        <v>4</v>
      </c>
      <c r="Q48" s="12" t="str" cm="1">
        <f t="array" ref="Q48">INDEX('Staging-ConceptMap'!$H$10:$L$264,O48+1,P48)</f>
        <v>//-- unmatched</v>
      </c>
    </row>
    <row r="49" spans="14:17" x14ac:dyDescent="0.75">
      <c r="N49" s="11">
        <v>40</v>
      </c>
      <c r="O49" s="11">
        <f t="shared" si="5"/>
        <v>7</v>
      </c>
      <c r="P49" s="11">
        <f t="shared" si="6"/>
        <v>5</v>
      </c>
      <c r="Q49" s="12" t="str" cm="1">
        <f t="array" ref="Q49">INDEX('Staging-ConceptMap'!$H$10:$L$264,O49+1,P49)</f>
        <v>* group[=].element[=].target.equivalence = #unmatched</v>
      </c>
    </row>
    <row r="50" spans="14:17" x14ac:dyDescent="0.75">
      <c r="N50" s="11">
        <v>41</v>
      </c>
      <c r="O50" s="11">
        <f t="shared" si="5"/>
        <v>8</v>
      </c>
      <c r="P50" s="11">
        <f t="shared" si="6"/>
        <v>1</v>
      </c>
      <c r="Q50" s="12" cm="1">
        <f t="array" ref="Q50">INDEX('Staging-ConceptMap'!$H$10:$L$264,O50+1,P50)</f>
        <v>0</v>
      </c>
    </row>
    <row r="51" spans="14:17" x14ac:dyDescent="0.75">
      <c r="N51" s="11">
        <v>42</v>
      </c>
      <c r="O51" s="11">
        <f t="shared" si="5"/>
        <v>8</v>
      </c>
      <c r="P51" s="11">
        <f t="shared" si="6"/>
        <v>2</v>
      </c>
      <c r="Q51" s="12" cm="1">
        <f t="array" ref="Q51">INDEX('Staging-ConceptMap'!$H$10:$L$264,O51+1,P51)</f>
        <v>0</v>
      </c>
    </row>
    <row r="52" spans="14:17" x14ac:dyDescent="0.75">
      <c r="N52" s="11">
        <v>43</v>
      </c>
      <c r="O52" s="11">
        <f t="shared" si="5"/>
        <v>8</v>
      </c>
      <c r="P52" s="11">
        <f t="shared" si="6"/>
        <v>3</v>
      </c>
      <c r="Q52" s="12" cm="1">
        <f t="array" ref="Q52">INDEX('Staging-ConceptMap'!$H$10:$L$264,O52+1,P52)</f>
        <v>0</v>
      </c>
    </row>
    <row r="53" spans="14:17" x14ac:dyDescent="0.75">
      <c r="N53" s="11">
        <v>44</v>
      </c>
      <c r="O53" s="11">
        <f t="shared" si="5"/>
        <v>8</v>
      </c>
      <c r="P53" s="11">
        <f t="shared" si="6"/>
        <v>4</v>
      </c>
      <c r="Q53" s="12" cm="1">
        <f t="array" ref="Q53">INDEX('Staging-ConceptMap'!$H$10:$L$264,O53+1,P53)</f>
        <v>0</v>
      </c>
    </row>
    <row r="54" spans="14:17" x14ac:dyDescent="0.75">
      <c r="N54" s="11">
        <v>45</v>
      </c>
      <c r="O54" s="11">
        <f t="shared" si="5"/>
        <v>8</v>
      </c>
      <c r="P54" s="11">
        <f t="shared" si="6"/>
        <v>5</v>
      </c>
      <c r="Q54" s="12" cm="1">
        <f t="array" ref="Q54">INDEX('Staging-ConceptMap'!$H$10:$L$264,O54+1,P54)</f>
        <v>0</v>
      </c>
    </row>
    <row r="55" spans="14:17" x14ac:dyDescent="0.75">
      <c r="N55" s="11">
        <v>46</v>
      </c>
      <c r="O55" s="11">
        <f t="shared" si="5"/>
        <v>9</v>
      </c>
      <c r="P55" s="11">
        <f t="shared" si="6"/>
        <v>1</v>
      </c>
      <c r="Q55" s="12" cm="1">
        <f t="array" ref="Q55">INDEX('Staging-ConceptMap'!$H$10:$L$264,O55+1,P55)</f>
        <v>0</v>
      </c>
    </row>
    <row r="56" spans="14:17" x14ac:dyDescent="0.75">
      <c r="N56" s="11">
        <v>47</v>
      </c>
      <c r="O56" s="11">
        <f t="shared" si="5"/>
        <v>9</v>
      </c>
      <c r="P56" s="11">
        <f t="shared" si="6"/>
        <v>2</v>
      </c>
      <c r="Q56" s="12" cm="1">
        <f t="array" ref="Q56">INDEX('Staging-ConceptMap'!$H$10:$L$264,O56+1,P56)</f>
        <v>0</v>
      </c>
    </row>
    <row r="57" spans="14:17" x14ac:dyDescent="0.75">
      <c r="N57" s="11">
        <v>48</v>
      </c>
      <c r="O57" s="11">
        <f t="shared" si="5"/>
        <v>9</v>
      </c>
      <c r="P57" s="11">
        <f t="shared" si="6"/>
        <v>3</v>
      </c>
      <c r="Q57" s="12" cm="1">
        <f t="array" ref="Q57">INDEX('Staging-ConceptMap'!$H$10:$L$264,O57+1,P57)</f>
        <v>0</v>
      </c>
    </row>
    <row r="58" spans="14:17" x14ac:dyDescent="0.75">
      <c r="N58" s="11">
        <v>49</v>
      </c>
      <c r="O58" s="11">
        <f t="shared" si="5"/>
        <v>9</v>
      </c>
      <c r="P58" s="11">
        <f t="shared" si="6"/>
        <v>4</v>
      </c>
      <c r="Q58" s="12" cm="1">
        <f t="array" ref="Q58">INDEX('Staging-ConceptMap'!$H$10:$L$264,O58+1,P58)</f>
        <v>0</v>
      </c>
    </row>
    <row r="59" spans="14:17" x14ac:dyDescent="0.75">
      <c r="N59" s="11">
        <v>50</v>
      </c>
      <c r="O59" s="11">
        <f t="shared" si="5"/>
        <v>9</v>
      </c>
      <c r="P59" s="11">
        <f t="shared" si="6"/>
        <v>5</v>
      </c>
      <c r="Q59" s="12" cm="1">
        <f t="array" ref="Q59">INDEX('Staging-ConceptMap'!$H$10:$L$264,O59+1,P59)</f>
        <v>0</v>
      </c>
    </row>
    <row r="60" spans="14:17" x14ac:dyDescent="0.75">
      <c r="N60" s="11">
        <v>51</v>
      </c>
      <c r="O60" s="11">
        <f t="shared" si="5"/>
        <v>10</v>
      </c>
      <c r="P60" s="11">
        <f t="shared" si="6"/>
        <v>1</v>
      </c>
      <c r="Q60" s="12" cm="1">
        <f t="array" ref="Q60">INDEX('Staging-ConceptMap'!$H$10:$L$264,O60+1,P60)</f>
        <v>0</v>
      </c>
    </row>
    <row r="61" spans="14:17" x14ac:dyDescent="0.75">
      <c r="N61" s="11">
        <v>52</v>
      </c>
      <c r="O61" s="11">
        <f t="shared" si="5"/>
        <v>10</v>
      </c>
      <c r="P61" s="11">
        <f t="shared" si="6"/>
        <v>2</v>
      </c>
      <c r="Q61" s="12" cm="1">
        <f t="array" ref="Q61">INDEX('Staging-ConceptMap'!$H$10:$L$264,O61+1,P61)</f>
        <v>0</v>
      </c>
    </row>
    <row r="62" spans="14:17" x14ac:dyDescent="0.75">
      <c r="N62" s="11">
        <v>53</v>
      </c>
      <c r="O62" s="11">
        <f t="shared" si="5"/>
        <v>10</v>
      </c>
      <c r="P62" s="11">
        <f t="shared" si="6"/>
        <v>3</v>
      </c>
      <c r="Q62" s="12" cm="1">
        <f t="array" ref="Q62">INDEX('Staging-ConceptMap'!$H$10:$L$264,O62+1,P62)</f>
        <v>0</v>
      </c>
    </row>
    <row r="63" spans="14:17" x14ac:dyDescent="0.75">
      <c r="N63" s="11">
        <v>54</v>
      </c>
      <c r="O63" s="11">
        <f t="shared" si="5"/>
        <v>10</v>
      </c>
      <c r="P63" s="11">
        <f t="shared" si="6"/>
        <v>4</v>
      </c>
      <c r="Q63" s="12" cm="1">
        <f t="array" ref="Q63">INDEX('Staging-ConceptMap'!$H$10:$L$264,O63+1,P63)</f>
        <v>0</v>
      </c>
    </row>
    <row r="64" spans="14:17" x14ac:dyDescent="0.75">
      <c r="N64" s="11">
        <v>55</v>
      </c>
      <c r="O64" s="11">
        <f t="shared" si="5"/>
        <v>10</v>
      </c>
      <c r="P64" s="11">
        <f t="shared" si="6"/>
        <v>5</v>
      </c>
      <c r="Q64" s="12" cm="1">
        <f t="array" ref="Q64">INDEX('Staging-ConceptMap'!$H$10:$L$264,O64+1,P64)</f>
        <v>0</v>
      </c>
    </row>
    <row r="65" spans="14:17" x14ac:dyDescent="0.75">
      <c r="N65" s="11">
        <v>56</v>
      </c>
      <c r="O65" s="11">
        <f t="shared" si="5"/>
        <v>11</v>
      </c>
      <c r="P65" s="11">
        <f t="shared" si="6"/>
        <v>1</v>
      </c>
      <c r="Q65" s="12" cm="1">
        <f t="array" ref="Q65">INDEX('Staging-ConceptMap'!$H$10:$L$264,O65+1,P65)</f>
        <v>0</v>
      </c>
    </row>
    <row r="66" spans="14:17" x14ac:dyDescent="0.75">
      <c r="N66" s="11">
        <v>57</v>
      </c>
      <c r="O66" s="11">
        <f t="shared" si="5"/>
        <v>11</v>
      </c>
      <c r="P66" s="11">
        <f t="shared" si="6"/>
        <v>2</v>
      </c>
      <c r="Q66" s="12" cm="1">
        <f t="array" ref="Q66">INDEX('Staging-ConceptMap'!$H$10:$L$264,O66+1,P66)</f>
        <v>0</v>
      </c>
    </row>
    <row r="67" spans="14:17" x14ac:dyDescent="0.75">
      <c r="N67" s="11">
        <v>58</v>
      </c>
      <c r="O67" s="11">
        <f t="shared" si="5"/>
        <v>11</v>
      </c>
      <c r="P67" s="11">
        <f t="shared" si="6"/>
        <v>3</v>
      </c>
      <c r="Q67" s="12" cm="1">
        <f t="array" ref="Q67">INDEX('Staging-ConceptMap'!$H$10:$L$264,O67+1,P67)</f>
        <v>0</v>
      </c>
    </row>
    <row r="68" spans="14:17" x14ac:dyDescent="0.75">
      <c r="N68" s="11">
        <v>59</v>
      </c>
      <c r="O68" s="11">
        <f t="shared" si="5"/>
        <v>11</v>
      </c>
      <c r="P68" s="11">
        <f t="shared" si="6"/>
        <v>4</v>
      </c>
      <c r="Q68" s="12" cm="1">
        <f t="array" ref="Q68">INDEX('Staging-ConceptMap'!$H$10:$L$264,O68+1,P68)</f>
        <v>0</v>
      </c>
    </row>
    <row r="69" spans="14:17" x14ac:dyDescent="0.75">
      <c r="N69" s="11">
        <v>60</v>
      </c>
      <c r="O69" s="11">
        <f t="shared" si="5"/>
        <v>11</v>
      </c>
      <c r="P69" s="11">
        <f t="shared" si="6"/>
        <v>5</v>
      </c>
      <c r="Q69" s="12" cm="1">
        <f t="array" ref="Q69">INDEX('Staging-ConceptMap'!$H$10:$L$264,O69+1,P69)</f>
        <v>0</v>
      </c>
    </row>
    <row r="70" spans="14:17" x14ac:dyDescent="0.75">
      <c r="N70" s="11">
        <v>61</v>
      </c>
      <c r="O70" s="11">
        <f t="shared" si="5"/>
        <v>12</v>
      </c>
      <c r="P70" s="11">
        <f t="shared" si="6"/>
        <v>1</v>
      </c>
      <c r="Q70" s="12" cm="1">
        <f t="array" ref="Q70">INDEX('Staging-ConceptMap'!$H$10:$L$264,O70+1,P70)</f>
        <v>0</v>
      </c>
    </row>
    <row r="71" spans="14:17" x14ac:dyDescent="0.75">
      <c r="N71" s="11">
        <v>62</v>
      </c>
      <c r="O71" s="11">
        <f t="shared" si="5"/>
        <v>12</v>
      </c>
      <c r="P71" s="11">
        <f t="shared" si="6"/>
        <v>2</v>
      </c>
      <c r="Q71" s="12" cm="1">
        <f t="array" ref="Q71">INDEX('Staging-ConceptMap'!$H$10:$L$264,O71+1,P71)</f>
        <v>0</v>
      </c>
    </row>
    <row r="72" spans="14:17" x14ac:dyDescent="0.75">
      <c r="N72" s="11">
        <v>63</v>
      </c>
      <c r="O72" s="11">
        <f t="shared" si="5"/>
        <v>12</v>
      </c>
      <c r="P72" s="11">
        <f t="shared" si="6"/>
        <v>3</v>
      </c>
      <c r="Q72" s="12" cm="1">
        <f t="array" ref="Q72">INDEX('Staging-ConceptMap'!$H$10:$L$264,O72+1,P72)</f>
        <v>0</v>
      </c>
    </row>
    <row r="73" spans="14:17" x14ac:dyDescent="0.75">
      <c r="N73" s="11">
        <v>64</v>
      </c>
      <c r="O73" s="11">
        <f t="shared" si="5"/>
        <v>12</v>
      </c>
      <c r="P73" s="11">
        <f t="shared" si="6"/>
        <v>4</v>
      </c>
      <c r="Q73" s="12" cm="1">
        <f t="array" ref="Q73">INDEX('Staging-ConceptMap'!$H$10:$L$264,O73+1,P73)</f>
        <v>0</v>
      </c>
    </row>
    <row r="74" spans="14:17" x14ac:dyDescent="0.75">
      <c r="N74" s="11">
        <v>65</v>
      </c>
      <c r="O74" s="11">
        <f t="shared" si="5"/>
        <v>12</v>
      </c>
      <c r="P74" s="11">
        <f t="shared" si="6"/>
        <v>5</v>
      </c>
      <c r="Q74" s="12" cm="1">
        <f t="array" ref="Q74">INDEX('Staging-ConceptMap'!$H$10:$L$264,O74+1,P74)</f>
        <v>0</v>
      </c>
    </row>
    <row r="75" spans="14:17" x14ac:dyDescent="0.75">
      <c r="N75" s="11">
        <v>66</v>
      </c>
      <c r="O75" s="11">
        <f t="shared" ref="O75:O138" si="7">IF(MOD(N75,$O$3)=0,N75/$O$3-1,INT(N75/$O$3))</f>
        <v>13</v>
      </c>
      <c r="P75" s="11">
        <f t="shared" ref="P75:P138" si="8">IF(MOD(N75,$O$3)=0,$O$3,MOD(N75,$O$3))</f>
        <v>1</v>
      </c>
      <c r="Q75" s="12" cm="1">
        <f t="array" ref="Q75">INDEX('Staging-ConceptMap'!$H$10:$L$264,O75+1,P75)</f>
        <v>0</v>
      </c>
    </row>
    <row r="76" spans="14:17" x14ac:dyDescent="0.75">
      <c r="N76" s="11">
        <v>67</v>
      </c>
      <c r="O76" s="11">
        <f t="shared" si="7"/>
        <v>13</v>
      </c>
      <c r="P76" s="11">
        <f t="shared" si="8"/>
        <v>2</v>
      </c>
      <c r="Q76" s="12" cm="1">
        <f t="array" ref="Q76">INDEX('Staging-ConceptMap'!$H$10:$L$264,O76+1,P76)</f>
        <v>0</v>
      </c>
    </row>
    <row r="77" spans="14:17" x14ac:dyDescent="0.75">
      <c r="N77" s="11">
        <v>68</v>
      </c>
      <c r="O77" s="11">
        <f t="shared" si="7"/>
        <v>13</v>
      </c>
      <c r="P77" s="11">
        <f t="shared" si="8"/>
        <v>3</v>
      </c>
      <c r="Q77" s="12" cm="1">
        <f t="array" ref="Q77">INDEX('Staging-ConceptMap'!$H$10:$L$264,O77+1,P77)</f>
        <v>0</v>
      </c>
    </row>
    <row r="78" spans="14:17" x14ac:dyDescent="0.75">
      <c r="N78" s="11">
        <v>69</v>
      </c>
      <c r="O78" s="11">
        <f t="shared" si="7"/>
        <v>13</v>
      </c>
      <c r="P78" s="11">
        <f t="shared" si="8"/>
        <v>4</v>
      </c>
      <c r="Q78" s="12" cm="1">
        <f t="array" ref="Q78">INDEX('Staging-ConceptMap'!$H$10:$L$264,O78+1,P78)</f>
        <v>0</v>
      </c>
    </row>
    <row r="79" spans="14:17" x14ac:dyDescent="0.75">
      <c r="N79" s="11">
        <v>70</v>
      </c>
      <c r="O79" s="11">
        <f t="shared" si="7"/>
        <v>13</v>
      </c>
      <c r="P79" s="11">
        <f t="shared" si="8"/>
        <v>5</v>
      </c>
      <c r="Q79" s="12" cm="1">
        <f t="array" ref="Q79">INDEX('Staging-ConceptMap'!$H$10:$L$264,O79+1,P79)</f>
        <v>0</v>
      </c>
    </row>
    <row r="80" spans="14:17" x14ac:dyDescent="0.75">
      <c r="N80" s="11">
        <v>71</v>
      </c>
      <c r="O80" s="11">
        <f t="shared" si="7"/>
        <v>14</v>
      </c>
      <c r="P80" s="11">
        <f t="shared" si="8"/>
        <v>1</v>
      </c>
      <c r="Q80" s="12" cm="1">
        <f t="array" ref="Q80">INDEX('Staging-ConceptMap'!$H$10:$L$264,O80+1,P80)</f>
        <v>0</v>
      </c>
    </row>
    <row r="81" spans="14:17" x14ac:dyDescent="0.75">
      <c r="N81" s="11">
        <v>72</v>
      </c>
      <c r="O81" s="11">
        <f t="shared" si="7"/>
        <v>14</v>
      </c>
      <c r="P81" s="11">
        <f t="shared" si="8"/>
        <v>2</v>
      </c>
      <c r="Q81" s="12" cm="1">
        <f t="array" ref="Q81">INDEX('Staging-ConceptMap'!$H$10:$L$264,O81+1,P81)</f>
        <v>0</v>
      </c>
    </row>
    <row r="82" spans="14:17" x14ac:dyDescent="0.75">
      <c r="N82" s="11">
        <v>73</v>
      </c>
      <c r="O82" s="11">
        <f t="shared" si="7"/>
        <v>14</v>
      </c>
      <c r="P82" s="11">
        <f t="shared" si="8"/>
        <v>3</v>
      </c>
      <c r="Q82" s="12" cm="1">
        <f t="array" ref="Q82">INDEX('Staging-ConceptMap'!$H$10:$L$264,O82+1,P82)</f>
        <v>0</v>
      </c>
    </row>
    <row r="83" spans="14:17" x14ac:dyDescent="0.75">
      <c r="N83" s="11">
        <v>74</v>
      </c>
      <c r="O83" s="11">
        <f t="shared" si="7"/>
        <v>14</v>
      </c>
      <c r="P83" s="11">
        <f t="shared" si="8"/>
        <v>4</v>
      </c>
      <c r="Q83" s="12" cm="1">
        <f t="array" ref="Q83">INDEX('Staging-ConceptMap'!$H$10:$L$264,O83+1,P83)</f>
        <v>0</v>
      </c>
    </row>
    <row r="84" spans="14:17" x14ac:dyDescent="0.75">
      <c r="N84" s="11">
        <v>75</v>
      </c>
      <c r="O84" s="11">
        <f t="shared" si="7"/>
        <v>14</v>
      </c>
      <c r="P84" s="11">
        <f t="shared" si="8"/>
        <v>5</v>
      </c>
      <c r="Q84" s="12" cm="1">
        <f t="array" ref="Q84">INDEX('Staging-ConceptMap'!$H$10:$L$264,O84+1,P84)</f>
        <v>0</v>
      </c>
    </row>
    <row r="85" spans="14:17" x14ac:dyDescent="0.75">
      <c r="N85" s="11">
        <v>76</v>
      </c>
      <c r="O85" s="11">
        <f t="shared" si="7"/>
        <v>15</v>
      </c>
      <c r="P85" s="11">
        <f t="shared" si="8"/>
        <v>1</v>
      </c>
      <c r="Q85" s="12" cm="1">
        <f t="array" ref="Q85">INDEX('Staging-ConceptMap'!$H$10:$L$264,O85+1,P85)</f>
        <v>0</v>
      </c>
    </row>
    <row r="86" spans="14:17" x14ac:dyDescent="0.75">
      <c r="N86" s="11">
        <v>77</v>
      </c>
      <c r="O86" s="11">
        <f t="shared" si="7"/>
        <v>15</v>
      </c>
      <c r="P86" s="11">
        <f t="shared" si="8"/>
        <v>2</v>
      </c>
      <c r="Q86" s="12" cm="1">
        <f t="array" ref="Q86">INDEX('Staging-ConceptMap'!$H$10:$L$264,O86+1,P86)</f>
        <v>0</v>
      </c>
    </row>
    <row r="87" spans="14:17" x14ac:dyDescent="0.75">
      <c r="N87" s="11">
        <v>78</v>
      </c>
      <c r="O87" s="11">
        <f t="shared" si="7"/>
        <v>15</v>
      </c>
      <c r="P87" s="11">
        <f t="shared" si="8"/>
        <v>3</v>
      </c>
      <c r="Q87" s="12" cm="1">
        <f t="array" ref="Q87">INDEX('Staging-ConceptMap'!$H$10:$L$264,O87+1,P87)</f>
        <v>0</v>
      </c>
    </row>
    <row r="88" spans="14:17" x14ac:dyDescent="0.75">
      <c r="N88" s="11">
        <v>79</v>
      </c>
      <c r="O88" s="11">
        <f t="shared" si="7"/>
        <v>15</v>
      </c>
      <c r="P88" s="11">
        <f t="shared" si="8"/>
        <v>4</v>
      </c>
      <c r="Q88" s="12" cm="1">
        <f t="array" ref="Q88">INDEX('Staging-ConceptMap'!$H$10:$L$264,O88+1,P88)</f>
        <v>0</v>
      </c>
    </row>
    <row r="89" spans="14:17" x14ac:dyDescent="0.75">
      <c r="N89" s="11">
        <v>80</v>
      </c>
      <c r="O89" s="11">
        <f t="shared" si="7"/>
        <v>15</v>
      </c>
      <c r="P89" s="11">
        <f t="shared" si="8"/>
        <v>5</v>
      </c>
      <c r="Q89" s="12" cm="1">
        <f t="array" ref="Q89">INDEX('Staging-ConceptMap'!$H$10:$L$264,O89+1,P89)</f>
        <v>0</v>
      </c>
    </row>
    <row r="90" spans="14:17" x14ac:dyDescent="0.75">
      <c r="N90" s="11">
        <v>81</v>
      </c>
      <c r="O90" s="11">
        <f t="shared" si="7"/>
        <v>16</v>
      </c>
      <c r="P90" s="11">
        <f t="shared" si="8"/>
        <v>1</v>
      </c>
      <c r="Q90" s="12" cm="1">
        <f t="array" ref="Q90">INDEX('Staging-ConceptMap'!$H$10:$L$264,O90+1,P90)</f>
        <v>0</v>
      </c>
    </row>
    <row r="91" spans="14:17" x14ac:dyDescent="0.75">
      <c r="N91" s="11">
        <v>82</v>
      </c>
      <c r="O91" s="11">
        <f t="shared" si="7"/>
        <v>16</v>
      </c>
      <c r="P91" s="11">
        <f t="shared" si="8"/>
        <v>2</v>
      </c>
      <c r="Q91" s="12" cm="1">
        <f t="array" ref="Q91">INDEX('Staging-ConceptMap'!$H$10:$L$264,O91+1,P91)</f>
        <v>0</v>
      </c>
    </row>
    <row r="92" spans="14:17" x14ac:dyDescent="0.75">
      <c r="N92" s="11">
        <v>83</v>
      </c>
      <c r="O92" s="11">
        <f t="shared" si="7"/>
        <v>16</v>
      </c>
      <c r="P92" s="11">
        <f t="shared" si="8"/>
        <v>3</v>
      </c>
      <c r="Q92" s="12" cm="1">
        <f t="array" ref="Q92">INDEX('Staging-ConceptMap'!$H$10:$L$264,O92+1,P92)</f>
        <v>0</v>
      </c>
    </row>
    <row r="93" spans="14:17" x14ac:dyDescent="0.75">
      <c r="N93" s="11">
        <v>84</v>
      </c>
      <c r="O93" s="11">
        <f t="shared" si="7"/>
        <v>16</v>
      </c>
      <c r="P93" s="11">
        <f t="shared" si="8"/>
        <v>4</v>
      </c>
      <c r="Q93" s="12" cm="1">
        <f t="array" ref="Q93">INDEX('Staging-ConceptMap'!$H$10:$L$264,O93+1,P93)</f>
        <v>0</v>
      </c>
    </row>
    <row r="94" spans="14:17" x14ac:dyDescent="0.75">
      <c r="N94" s="11">
        <v>85</v>
      </c>
      <c r="O94" s="11">
        <f t="shared" si="7"/>
        <v>16</v>
      </c>
      <c r="P94" s="11">
        <f t="shared" si="8"/>
        <v>5</v>
      </c>
      <c r="Q94" s="12" cm="1">
        <f t="array" ref="Q94">INDEX('Staging-ConceptMap'!$H$10:$L$264,O94+1,P94)</f>
        <v>0</v>
      </c>
    </row>
    <row r="95" spans="14:17" x14ac:dyDescent="0.75">
      <c r="N95" s="11">
        <v>86</v>
      </c>
      <c r="O95" s="11">
        <f t="shared" si="7"/>
        <v>17</v>
      </c>
      <c r="P95" s="11">
        <f t="shared" si="8"/>
        <v>1</v>
      </c>
      <c r="Q95" s="12" cm="1">
        <f t="array" ref="Q95">INDEX('Staging-ConceptMap'!$H$10:$L$264,O95+1,P95)</f>
        <v>0</v>
      </c>
    </row>
    <row r="96" spans="14:17" x14ac:dyDescent="0.75">
      <c r="N96" s="11">
        <v>87</v>
      </c>
      <c r="O96" s="11">
        <f t="shared" si="7"/>
        <v>17</v>
      </c>
      <c r="P96" s="11">
        <f t="shared" si="8"/>
        <v>2</v>
      </c>
      <c r="Q96" s="12" cm="1">
        <f t="array" ref="Q96">INDEX('Staging-ConceptMap'!$H$10:$L$264,O96+1,P96)</f>
        <v>0</v>
      </c>
    </row>
    <row r="97" spans="14:17" x14ac:dyDescent="0.75">
      <c r="N97" s="11">
        <v>88</v>
      </c>
      <c r="O97" s="11">
        <f t="shared" si="7"/>
        <v>17</v>
      </c>
      <c r="P97" s="11">
        <f t="shared" si="8"/>
        <v>3</v>
      </c>
      <c r="Q97" s="12" cm="1">
        <f t="array" ref="Q97">INDEX('Staging-ConceptMap'!$H$10:$L$264,O97+1,P97)</f>
        <v>0</v>
      </c>
    </row>
    <row r="98" spans="14:17" x14ac:dyDescent="0.75">
      <c r="N98" s="11">
        <v>89</v>
      </c>
      <c r="O98" s="11">
        <f t="shared" si="7"/>
        <v>17</v>
      </c>
      <c r="P98" s="11">
        <f t="shared" si="8"/>
        <v>4</v>
      </c>
      <c r="Q98" s="12" cm="1">
        <f t="array" ref="Q98">INDEX('Staging-ConceptMap'!$H$10:$L$264,O98+1,P98)</f>
        <v>0</v>
      </c>
    </row>
    <row r="99" spans="14:17" x14ac:dyDescent="0.75">
      <c r="N99" s="11">
        <v>90</v>
      </c>
      <c r="O99" s="11">
        <f t="shared" si="7"/>
        <v>17</v>
      </c>
      <c r="P99" s="11">
        <f t="shared" si="8"/>
        <v>5</v>
      </c>
      <c r="Q99" s="12" cm="1">
        <f t="array" ref="Q99">INDEX('Staging-ConceptMap'!$H$10:$L$264,O99+1,P99)</f>
        <v>0</v>
      </c>
    </row>
    <row r="100" spans="14:17" x14ac:dyDescent="0.75">
      <c r="N100" s="11">
        <v>91</v>
      </c>
      <c r="O100" s="11">
        <f t="shared" si="7"/>
        <v>18</v>
      </c>
      <c r="P100" s="11">
        <f t="shared" si="8"/>
        <v>1</v>
      </c>
      <c r="Q100" s="12" cm="1">
        <f t="array" ref="Q100">INDEX('Staging-ConceptMap'!$H$10:$L$264,O100+1,P100)</f>
        <v>0</v>
      </c>
    </row>
    <row r="101" spans="14:17" x14ac:dyDescent="0.75">
      <c r="N101" s="11">
        <v>92</v>
      </c>
      <c r="O101" s="11">
        <f t="shared" si="7"/>
        <v>18</v>
      </c>
      <c r="P101" s="11">
        <f t="shared" si="8"/>
        <v>2</v>
      </c>
      <c r="Q101" s="12" cm="1">
        <f t="array" ref="Q101">INDEX('Staging-ConceptMap'!U85:Y339,1+O101,P101)</f>
        <v>0</v>
      </c>
    </row>
    <row r="102" spans="14:17" x14ac:dyDescent="0.75">
      <c r="N102" s="11">
        <v>93</v>
      </c>
      <c r="O102" s="11">
        <f t="shared" si="7"/>
        <v>18</v>
      </c>
      <c r="P102" s="11">
        <f t="shared" si="8"/>
        <v>3</v>
      </c>
      <c r="Q102" s="12" cm="1">
        <f t="array" ref="Q102">INDEX('Staging-ConceptMap'!U86:Y340,1+O102,P102)</f>
        <v>0</v>
      </c>
    </row>
    <row r="103" spans="14:17" x14ac:dyDescent="0.75">
      <c r="N103" s="11">
        <v>94</v>
      </c>
      <c r="O103" s="11">
        <f t="shared" si="7"/>
        <v>18</v>
      </c>
      <c r="P103" s="11">
        <f t="shared" si="8"/>
        <v>4</v>
      </c>
      <c r="Q103" s="12" cm="1">
        <f t="array" ref="Q103">INDEX('Staging-ConceptMap'!U87:Y341,1+O103,P103)</f>
        <v>0</v>
      </c>
    </row>
    <row r="104" spans="14:17" x14ac:dyDescent="0.75">
      <c r="N104" s="11">
        <v>95</v>
      </c>
      <c r="O104" s="11">
        <f t="shared" si="7"/>
        <v>18</v>
      </c>
      <c r="P104" s="11">
        <f t="shared" si="8"/>
        <v>5</v>
      </c>
      <c r="Q104" s="12" cm="1">
        <f t="array" ref="Q104">INDEX('Staging-ConceptMap'!U88:Y342,1+O104,P104)</f>
        <v>0</v>
      </c>
    </row>
    <row r="105" spans="14:17" x14ac:dyDescent="0.75">
      <c r="N105" s="11">
        <v>96</v>
      </c>
      <c r="O105" s="11">
        <f t="shared" si="7"/>
        <v>19</v>
      </c>
      <c r="P105" s="11">
        <f t="shared" si="8"/>
        <v>1</v>
      </c>
      <c r="Q105" s="12" cm="1">
        <f t="array" ref="Q105">INDEX('Staging-ConceptMap'!U89:Y343,1+O105,P105)</f>
        <v>0</v>
      </c>
    </row>
    <row r="106" spans="14:17" x14ac:dyDescent="0.75">
      <c r="N106" s="11">
        <v>97</v>
      </c>
      <c r="O106" s="11">
        <f t="shared" si="7"/>
        <v>19</v>
      </c>
      <c r="P106" s="11">
        <f t="shared" si="8"/>
        <v>2</v>
      </c>
      <c r="Q106" s="12" cm="1">
        <f t="array" ref="Q106">INDEX('Staging-ConceptMap'!U90:Y344,1+O106,P106)</f>
        <v>0</v>
      </c>
    </row>
    <row r="107" spans="14:17" x14ac:dyDescent="0.75">
      <c r="N107" s="11">
        <v>98</v>
      </c>
      <c r="O107" s="11">
        <f t="shared" si="7"/>
        <v>19</v>
      </c>
      <c r="P107" s="11">
        <f t="shared" si="8"/>
        <v>3</v>
      </c>
      <c r="Q107" s="12" cm="1">
        <f t="array" ref="Q107">INDEX('Staging-ConceptMap'!U91:Y345,1+O107,P107)</f>
        <v>0</v>
      </c>
    </row>
    <row r="108" spans="14:17" x14ac:dyDescent="0.75">
      <c r="N108" s="11">
        <v>99</v>
      </c>
      <c r="O108" s="11">
        <f t="shared" si="7"/>
        <v>19</v>
      </c>
      <c r="P108" s="11">
        <f t="shared" si="8"/>
        <v>4</v>
      </c>
      <c r="Q108" s="12" cm="1">
        <f t="array" ref="Q108">INDEX('Staging-ConceptMap'!U92:Y346,1+O108,P108)</f>
        <v>0</v>
      </c>
    </row>
    <row r="109" spans="14:17" x14ac:dyDescent="0.75">
      <c r="N109" s="11">
        <v>100</v>
      </c>
      <c r="O109" s="11">
        <f t="shared" si="7"/>
        <v>19</v>
      </c>
      <c r="P109" s="11">
        <f t="shared" si="8"/>
        <v>5</v>
      </c>
      <c r="Q109" s="12" cm="1">
        <f t="array" ref="Q109">INDEX('Staging-ConceptMap'!U93:Y347,1+O109,P109)</f>
        <v>0</v>
      </c>
    </row>
    <row r="110" spans="14:17" x14ac:dyDescent="0.75">
      <c r="N110" s="11">
        <v>101</v>
      </c>
      <c r="O110" s="11">
        <f t="shared" si="7"/>
        <v>20</v>
      </c>
      <c r="P110" s="11">
        <f t="shared" si="8"/>
        <v>1</v>
      </c>
      <c r="Q110" s="12" cm="1">
        <f t="array" ref="Q110">INDEX('Staging-ConceptMap'!U94:Y348,1+O110,P110)</f>
        <v>0</v>
      </c>
    </row>
    <row r="111" spans="14:17" x14ac:dyDescent="0.75">
      <c r="N111" s="11">
        <v>102</v>
      </c>
      <c r="O111" s="11">
        <f t="shared" si="7"/>
        <v>20</v>
      </c>
      <c r="P111" s="11">
        <f t="shared" si="8"/>
        <v>2</v>
      </c>
      <c r="Q111" s="12" cm="1">
        <f t="array" ref="Q111">INDEX('Staging-ConceptMap'!U95:Y349,1+O111,P111)</f>
        <v>0</v>
      </c>
    </row>
    <row r="112" spans="14:17" x14ac:dyDescent="0.75">
      <c r="N112" s="11">
        <v>103</v>
      </c>
      <c r="O112" s="11">
        <f t="shared" si="7"/>
        <v>20</v>
      </c>
      <c r="P112" s="11">
        <f t="shared" si="8"/>
        <v>3</v>
      </c>
      <c r="Q112" s="12" cm="1">
        <f t="array" ref="Q112">INDEX('Staging-ConceptMap'!U96:Y350,1+O112,P112)</f>
        <v>0</v>
      </c>
    </row>
    <row r="113" spans="14:17" x14ac:dyDescent="0.75">
      <c r="N113" s="11">
        <v>104</v>
      </c>
      <c r="O113" s="11">
        <f t="shared" si="7"/>
        <v>20</v>
      </c>
      <c r="P113" s="11">
        <f t="shared" si="8"/>
        <v>4</v>
      </c>
      <c r="Q113" s="12" cm="1">
        <f t="array" ref="Q113">INDEX('Staging-ConceptMap'!U97:Y351,1+O113,P113)</f>
        <v>0</v>
      </c>
    </row>
    <row r="114" spans="14:17" x14ac:dyDescent="0.75">
      <c r="N114" s="11">
        <v>105</v>
      </c>
      <c r="O114" s="11">
        <f t="shared" si="7"/>
        <v>20</v>
      </c>
      <c r="P114" s="11">
        <f t="shared" si="8"/>
        <v>5</v>
      </c>
      <c r="Q114" s="12" cm="1">
        <f t="array" ref="Q114">INDEX('Staging-ConceptMap'!U98:Y352,1+O114,P114)</f>
        <v>0</v>
      </c>
    </row>
    <row r="115" spans="14:17" x14ac:dyDescent="0.75">
      <c r="N115" s="11">
        <v>106</v>
      </c>
      <c r="O115" s="11">
        <f t="shared" si="7"/>
        <v>21</v>
      </c>
      <c r="P115" s="11">
        <f t="shared" si="8"/>
        <v>1</v>
      </c>
      <c r="Q115" s="12" cm="1">
        <f t="array" ref="Q115">INDEX('Staging-ConceptMap'!U99:Y353,1+O115,P115)</f>
        <v>0</v>
      </c>
    </row>
    <row r="116" spans="14:17" x14ac:dyDescent="0.75">
      <c r="N116" s="11">
        <v>107</v>
      </c>
      <c r="O116" s="11">
        <f t="shared" si="7"/>
        <v>21</v>
      </c>
      <c r="P116" s="11">
        <f t="shared" si="8"/>
        <v>2</v>
      </c>
      <c r="Q116" s="12" cm="1">
        <f t="array" ref="Q116">INDEX('Staging-ConceptMap'!U100:Y354,1+O116,P116)</f>
        <v>0</v>
      </c>
    </row>
    <row r="117" spans="14:17" x14ac:dyDescent="0.75">
      <c r="N117" s="11">
        <v>108</v>
      </c>
      <c r="O117" s="11">
        <f t="shared" si="7"/>
        <v>21</v>
      </c>
      <c r="P117" s="11">
        <f t="shared" si="8"/>
        <v>3</v>
      </c>
      <c r="Q117" s="12" cm="1">
        <f t="array" ref="Q117">INDEX('Staging-ConceptMap'!U101:Y355,1+O117,P117)</f>
        <v>0</v>
      </c>
    </row>
    <row r="118" spans="14:17" x14ac:dyDescent="0.75">
      <c r="N118" s="11">
        <v>109</v>
      </c>
      <c r="O118" s="11">
        <f t="shared" si="7"/>
        <v>21</v>
      </c>
      <c r="P118" s="11">
        <f t="shared" si="8"/>
        <v>4</v>
      </c>
      <c r="Q118" s="12" cm="1">
        <f t="array" ref="Q118">INDEX('Staging-ConceptMap'!U102:Y356,1+O118,P118)</f>
        <v>0</v>
      </c>
    </row>
    <row r="119" spans="14:17" x14ac:dyDescent="0.75">
      <c r="N119" s="11">
        <v>110</v>
      </c>
      <c r="O119" s="11">
        <f t="shared" si="7"/>
        <v>21</v>
      </c>
      <c r="P119" s="11">
        <f t="shared" si="8"/>
        <v>5</v>
      </c>
      <c r="Q119" s="12" cm="1">
        <f t="array" ref="Q119">INDEX('Staging-ConceptMap'!U103:Y357,1+O119,P119)</f>
        <v>0</v>
      </c>
    </row>
    <row r="120" spans="14:17" x14ac:dyDescent="0.75">
      <c r="N120" s="11">
        <v>111</v>
      </c>
      <c r="O120" s="11">
        <f t="shared" si="7"/>
        <v>22</v>
      </c>
      <c r="P120" s="11">
        <f t="shared" si="8"/>
        <v>1</v>
      </c>
      <c r="Q120" s="12" cm="1">
        <f t="array" ref="Q120">INDEX('Staging-ConceptMap'!U104:Y358,1+O120,P120)</f>
        <v>0</v>
      </c>
    </row>
    <row r="121" spans="14:17" x14ac:dyDescent="0.75">
      <c r="N121" s="11">
        <v>112</v>
      </c>
      <c r="O121" s="11">
        <f t="shared" si="7"/>
        <v>22</v>
      </c>
      <c r="P121" s="11">
        <f t="shared" si="8"/>
        <v>2</v>
      </c>
      <c r="Q121" s="12" cm="1">
        <f t="array" ref="Q121">INDEX('Staging-ConceptMap'!U105:Y359,1+O121,P121)</f>
        <v>0</v>
      </c>
    </row>
    <row r="122" spans="14:17" x14ac:dyDescent="0.75">
      <c r="N122" s="11">
        <v>113</v>
      </c>
      <c r="O122" s="11">
        <f t="shared" si="7"/>
        <v>22</v>
      </c>
      <c r="P122" s="11">
        <f t="shared" si="8"/>
        <v>3</v>
      </c>
      <c r="Q122" s="12" cm="1">
        <f t="array" ref="Q122">INDEX('Staging-ConceptMap'!U106:Y360,1+O122,P122)</f>
        <v>0</v>
      </c>
    </row>
    <row r="123" spans="14:17" x14ac:dyDescent="0.75">
      <c r="N123" s="11">
        <v>114</v>
      </c>
      <c r="O123" s="11">
        <f t="shared" si="7"/>
        <v>22</v>
      </c>
      <c r="P123" s="11">
        <f t="shared" si="8"/>
        <v>4</v>
      </c>
      <c r="Q123" s="12" cm="1">
        <f t="array" ref="Q123">INDEX('Staging-ConceptMap'!U107:Y361,1+O123,P123)</f>
        <v>0</v>
      </c>
    </row>
    <row r="124" spans="14:17" x14ac:dyDescent="0.75">
      <c r="N124" s="11">
        <v>115</v>
      </c>
      <c r="O124" s="11">
        <f t="shared" si="7"/>
        <v>22</v>
      </c>
      <c r="P124" s="11">
        <f t="shared" si="8"/>
        <v>5</v>
      </c>
      <c r="Q124" s="12" cm="1">
        <f t="array" ref="Q124">INDEX('Staging-ConceptMap'!U108:Y362,1+O124,P124)</f>
        <v>0</v>
      </c>
    </row>
    <row r="125" spans="14:17" x14ac:dyDescent="0.75">
      <c r="N125" s="11">
        <v>116</v>
      </c>
      <c r="O125" s="11">
        <f t="shared" si="7"/>
        <v>23</v>
      </c>
      <c r="P125" s="11">
        <f t="shared" si="8"/>
        <v>1</v>
      </c>
      <c r="Q125" s="12" cm="1">
        <f t="array" ref="Q125">INDEX('Staging-ConceptMap'!U109:Y363,1+O125,P125)</f>
        <v>0</v>
      </c>
    </row>
    <row r="126" spans="14:17" x14ac:dyDescent="0.75">
      <c r="N126" s="11">
        <v>117</v>
      </c>
      <c r="O126" s="11">
        <f t="shared" si="7"/>
        <v>23</v>
      </c>
      <c r="P126" s="11">
        <f t="shared" si="8"/>
        <v>2</v>
      </c>
      <c r="Q126" s="12" cm="1">
        <f t="array" ref="Q126">INDEX('Staging-ConceptMap'!U110:Y364,1+O126,P126)</f>
        <v>0</v>
      </c>
    </row>
    <row r="127" spans="14:17" x14ac:dyDescent="0.75">
      <c r="N127" s="11">
        <v>118</v>
      </c>
      <c r="O127" s="11">
        <f t="shared" si="7"/>
        <v>23</v>
      </c>
      <c r="P127" s="11">
        <f t="shared" si="8"/>
        <v>3</v>
      </c>
      <c r="Q127" s="12" cm="1">
        <f t="array" ref="Q127">INDEX('Staging-ConceptMap'!U111:Y365,1+O127,P127)</f>
        <v>0</v>
      </c>
    </row>
    <row r="128" spans="14:17" x14ac:dyDescent="0.75">
      <c r="N128" s="11">
        <v>119</v>
      </c>
      <c r="O128" s="11">
        <f t="shared" si="7"/>
        <v>23</v>
      </c>
      <c r="P128" s="11">
        <f t="shared" si="8"/>
        <v>4</v>
      </c>
      <c r="Q128" s="12" cm="1">
        <f t="array" ref="Q128">INDEX('Staging-ConceptMap'!U112:Y366,1+O128,P128)</f>
        <v>0</v>
      </c>
    </row>
    <row r="129" spans="14:17" x14ac:dyDescent="0.75">
      <c r="N129" s="11">
        <v>120</v>
      </c>
      <c r="O129" s="11">
        <f t="shared" si="7"/>
        <v>23</v>
      </c>
      <c r="P129" s="11">
        <f t="shared" si="8"/>
        <v>5</v>
      </c>
      <c r="Q129" s="12" cm="1">
        <f t="array" ref="Q129">INDEX('Staging-ConceptMap'!U113:Y367,1+O129,P129)</f>
        <v>0</v>
      </c>
    </row>
    <row r="130" spans="14:17" x14ac:dyDescent="0.75">
      <c r="N130" s="11">
        <v>121</v>
      </c>
      <c r="O130" s="11">
        <f t="shared" si="7"/>
        <v>24</v>
      </c>
      <c r="P130" s="11">
        <f t="shared" si="8"/>
        <v>1</v>
      </c>
      <c r="Q130" s="12" cm="1">
        <f t="array" ref="Q130">INDEX('Staging-ConceptMap'!U114:Y368,1+O130,P130)</f>
        <v>0</v>
      </c>
    </row>
    <row r="131" spans="14:17" x14ac:dyDescent="0.75">
      <c r="N131" s="11">
        <v>122</v>
      </c>
      <c r="O131" s="11">
        <f t="shared" si="7"/>
        <v>24</v>
      </c>
      <c r="P131" s="11">
        <f t="shared" si="8"/>
        <v>2</v>
      </c>
      <c r="Q131" s="12" cm="1">
        <f t="array" ref="Q131">INDEX('Staging-ConceptMap'!U115:Y369,1+O131,P131)</f>
        <v>0</v>
      </c>
    </row>
    <row r="132" spans="14:17" x14ac:dyDescent="0.75">
      <c r="N132" s="11">
        <v>123</v>
      </c>
      <c r="O132" s="11">
        <f t="shared" si="7"/>
        <v>24</v>
      </c>
      <c r="P132" s="11">
        <f t="shared" si="8"/>
        <v>3</v>
      </c>
      <c r="Q132" s="12" cm="1">
        <f t="array" ref="Q132">INDEX('Staging-ConceptMap'!U116:Y370,1+O132,P132)</f>
        <v>0</v>
      </c>
    </row>
    <row r="133" spans="14:17" x14ac:dyDescent="0.75">
      <c r="N133" s="11">
        <v>124</v>
      </c>
      <c r="O133" s="11">
        <f t="shared" si="7"/>
        <v>24</v>
      </c>
      <c r="P133" s="11">
        <f t="shared" si="8"/>
        <v>4</v>
      </c>
      <c r="Q133" s="12" cm="1">
        <f t="array" ref="Q133">INDEX('Staging-ConceptMap'!U117:Y371,1+O133,P133)</f>
        <v>0</v>
      </c>
    </row>
    <row r="134" spans="14:17" x14ac:dyDescent="0.75">
      <c r="N134" s="11">
        <v>125</v>
      </c>
      <c r="O134" s="11">
        <f t="shared" si="7"/>
        <v>24</v>
      </c>
      <c r="P134" s="11">
        <f t="shared" si="8"/>
        <v>5</v>
      </c>
      <c r="Q134" s="12" cm="1">
        <f t="array" ref="Q134">INDEX('Staging-ConceptMap'!U118:Y372,1+O134,P134)</f>
        <v>0</v>
      </c>
    </row>
    <row r="135" spans="14:17" x14ac:dyDescent="0.75">
      <c r="N135" s="11">
        <v>126</v>
      </c>
      <c r="O135" s="11">
        <f t="shared" si="7"/>
        <v>25</v>
      </c>
      <c r="P135" s="11">
        <f t="shared" si="8"/>
        <v>1</v>
      </c>
      <c r="Q135" s="12" cm="1">
        <f t="array" ref="Q135">INDEX('Staging-ConceptMap'!U119:Y373,1+O135,P135)</f>
        <v>0</v>
      </c>
    </row>
    <row r="136" spans="14:17" x14ac:dyDescent="0.75">
      <c r="N136" s="11">
        <v>127</v>
      </c>
      <c r="O136" s="11">
        <f t="shared" si="7"/>
        <v>25</v>
      </c>
      <c r="P136" s="11">
        <f t="shared" si="8"/>
        <v>2</v>
      </c>
      <c r="Q136" s="12" cm="1">
        <f t="array" ref="Q136">INDEX('Staging-ConceptMap'!U120:Y374,1+O136,P136)</f>
        <v>0</v>
      </c>
    </row>
    <row r="137" spans="14:17" x14ac:dyDescent="0.75">
      <c r="N137" s="11">
        <v>128</v>
      </c>
      <c r="O137" s="11">
        <f t="shared" si="7"/>
        <v>25</v>
      </c>
      <c r="P137" s="11">
        <f t="shared" si="8"/>
        <v>3</v>
      </c>
      <c r="Q137" s="12" cm="1">
        <f t="array" ref="Q137">INDEX('Staging-ConceptMap'!U121:Y375,1+O137,P137)</f>
        <v>0</v>
      </c>
    </row>
    <row r="138" spans="14:17" x14ac:dyDescent="0.75">
      <c r="N138" s="11">
        <v>129</v>
      </c>
      <c r="O138" s="11">
        <f t="shared" si="7"/>
        <v>25</v>
      </c>
      <c r="P138" s="11">
        <f t="shared" si="8"/>
        <v>4</v>
      </c>
      <c r="Q138" s="12" cm="1">
        <f t="array" ref="Q138">INDEX('Staging-ConceptMap'!U122:Y376,1+O138,P138)</f>
        <v>0</v>
      </c>
    </row>
    <row r="139" spans="14:17" x14ac:dyDescent="0.75">
      <c r="N139" s="11">
        <v>130</v>
      </c>
      <c r="O139" s="11">
        <f t="shared" ref="O139:O184" si="9">IF(MOD(N139,$O$3)=0,N139/$O$3-1,INT(N139/$O$3))</f>
        <v>25</v>
      </c>
      <c r="P139" s="11">
        <f t="shared" ref="P139:P184" si="10">IF(MOD(N139,$O$3)=0,$O$3,MOD(N139,$O$3))</f>
        <v>5</v>
      </c>
      <c r="Q139" s="12" cm="1">
        <f t="array" ref="Q139">INDEX('Staging-ConceptMap'!U123:Y377,1+O139,P139)</f>
        <v>0</v>
      </c>
    </row>
    <row r="140" spans="14:17" x14ac:dyDescent="0.75">
      <c r="N140" s="11">
        <v>131</v>
      </c>
      <c r="O140" s="11">
        <f t="shared" si="9"/>
        <v>26</v>
      </c>
      <c r="P140" s="11">
        <f t="shared" si="10"/>
        <v>1</v>
      </c>
      <c r="Q140" s="12" cm="1">
        <f t="array" ref="Q140">INDEX('Staging-ConceptMap'!U124:Y378,1+O140,P140)</f>
        <v>0</v>
      </c>
    </row>
    <row r="141" spans="14:17" x14ac:dyDescent="0.75">
      <c r="N141" s="11">
        <v>132</v>
      </c>
      <c r="O141" s="11">
        <f t="shared" si="9"/>
        <v>26</v>
      </c>
      <c r="P141" s="11">
        <f t="shared" si="10"/>
        <v>2</v>
      </c>
      <c r="Q141" s="12" cm="1">
        <f t="array" ref="Q141">INDEX('Staging-ConceptMap'!U125:Y379,1+O141,P141)</f>
        <v>0</v>
      </c>
    </row>
    <row r="142" spans="14:17" x14ac:dyDescent="0.75">
      <c r="N142" s="11">
        <v>133</v>
      </c>
      <c r="O142" s="11">
        <f t="shared" si="9"/>
        <v>26</v>
      </c>
      <c r="P142" s="11">
        <f t="shared" si="10"/>
        <v>3</v>
      </c>
      <c r="Q142" s="12" cm="1">
        <f t="array" ref="Q142">INDEX('Staging-ConceptMap'!U126:Y380,1+O142,P142)</f>
        <v>0</v>
      </c>
    </row>
    <row r="143" spans="14:17" x14ac:dyDescent="0.75">
      <c r="N143" s="11">
        <v>134</v>
      </c>
      <c r="O143" s="11">
        <f t="shared" si="9"/>
        <v>26</v>
      </c>
      <c r="P143" s="11">
        <f t="shared" si="10"/>
        <v>4</v>
      </c>
      <c r="Q143" s="12" cm="1">
        <f t="array" ref="Q143">INDEX('Staging-ConceptMap'!U127:Y381,1+O143,P143)</f>
        <v>0</v>
      </c>
    </row>
    <row r="144" spans="14:17" x14ac:dyDescent="0.75">
      <c r="N144" s="11">
        <v>135</v>
      </c>
      <c r="O144" s="11">
        <f t="shared" si="9"/>
        <v>26</v>
      </c>
      <c r="P144" s="11">
        <f t="shared" si="10"/>
        <v>5</v>
      </c>
      <c r="Q144" s="12" cm="1">
        <f t="array" ref="Q144">INDEX('Staging-ConceptMap'!U128:Y382,1+O144,P144)</f>
        <v>0</v>
      </c>
    </row>
    <row r="145" spans="14:17" x14ac:dyDescent="0.75">
      <c r="N145" s="11">
        <v>136</v>
      </c>
      <c r="O145" s="11">
        <f t="shared" si="9"/>
        <v>27</v>
      </c>
      <c r="P145" s="11">
        <f t="shared" si="10"/>
        <v>1</v>
      </c>
      <c r="Q145" s="12" cm="1">
        <f t="array" ref="Q145">INDEX('Staging-ConceptMap'!U129:Y383,1+O145,P145)</f>
        <v>0</v>
      </c>
    </row>
    <row r="146" spans="14:17" x14ac:dyDescent="0.75">
      <c r="N146" s="11">
        <v>137</v>
      </c>
      <c r="O146" s="11">
        <f t="shared" si="9"/>
        <v>27</v>
      </c>
      <c r="P146" s="11">
        <f t="shared" si="10"/>
        <v>2</v>
      </c>
      <c r="Q146" s="12" cm="1">
        <f t="array" ref="Q146">INDEX('Staging-ConceptMap'!U130:Y384,1+O146,P146)</f>
        <v>0</v>
      </c>
    </row>
    <row r="147" spans="14:17" x14ac:dyDescent="0.75">
      <c r="N147" s="11">
        <v>138</v>
      </c>
      <c r="O147" s="11">
        <f t="shared" si="9"/>
        <v>27</v>
      </c>
      <c r="P147" s="11">
        <f t="shared" si="10"/>
        <v>3</v>
      </c>
      <c r="Q147" s="12" cm="1">
        <f t="array" ref="Q147">INDEX('Staging-ConceptMap'!U131:Y385,1+O147,P147)</f>
        <v>0</v>
      </c>
    </row>
    <row r="148" spans="14:17" x14ac:dyDescent="0.75">
      <c r="N148" s="11">
        <v>139</v>
      </c>
      <c r="O148" s="11">
        <f t="shared" si="9"/>
        <v>27</v>
      </c>
      <c r="P148" s="11">
        <f t="shared" si="10"/>
        <v>4</v>
      </c>
      <c r="Q148" s="12" cm="1">
        <f t="array" ref="Q148">INDEX('Staging-ConceptMap'!U132:Y386,1+O148,P148)</f>
        <v>0</v>
      </c>
    </row>
    <row r="149" spans="14:17" x14ac:dyDescent="0.75">
      <c r="N149" s="11">
        <v>140</v>
      </c>
      <c r="O149" s="11">
        <f t="shared" si="9"/>
        <v>27</v>
      </c>
      <c r="P149" s="11">
        <f t="shared" si="10"/>
        <v>5</v>
      </c>
      <c r="Q149" s="12" cm="1">
        <f t="array" ref="Q149">INDEX('Staging-ConceptMap'!U133:Y387,1+O149,P149)</f>
        <v>0</v>
      </c>
    </row>
    <row r="150" spans="14:17" x14ac:dyDescent="0.75">
      <c r="N150" s="11">
        <v>141</v>
      </c>
      <c r="O150" s="11">
        <f t="shared" si="9"/>
        <v>28</v>
      </c>
      <c r="P150" s="11">
        <f t="shared" si="10"/>
        <v>1</v>
      </c>
      <c r="Q150" s="12" cm="1">
        <f t="array" ref="Q150">INDEX('Staging-ConceptMap'!U134:Y388,1+O150,P150)</f>
        <v>0</v>
      </c>
    </row>
    <row r="151" spans="14:17" x14ac:dyDescent="0.75">
      <c r="N151" s="11">
        <v>142</v>
      </c>
      <c r="O151" s="11">
        <f t="shared" si="9"/>
        <v>28</v>
      </c>
      <c r="P151" s="11">
        <f t="shared" si="10"/>
        <v>2</v>
      </c>
      <c r="Q151" s="12" cm="1">
        <f t="array" ref="Q151">INDEX('Staging-ConceptMap'!U135:Y389,1+O151,P151)</f>
        <v>0</v>
      </c>
    </row>
    <row r="152" spans="14:17" x14ac:dyDescent="0.75">
      <c r="N152" s="11">
        <v>143</v>
      </c>
      <c r="O152" s="11">
        <f t="shared" si="9"/>
        <v>28</v>
      </c>
      <c r="P152" s="11">
        <f t="shared" si="10"/>
        <v>3</v>
      </c>
      <c r="Q152" s="12" cm="1">
        <f t="array" ref="Q152">INDEX('Staging-ConceptMap'!U136:Y390,1+O152,P152)</f>
        <v>0</v>
      </c>
    </row>
    <row r="153" spans="14:17" x14ac:dyDescent="0.75">
      <c r="N153" s="11">
        <v>144</v>
      </c>
      <c r="O153" s="11">
        <f t="shared" si="9"/>
        <v>28</v>
      </c>
      <c r="P153" s="11">
        <f t="shared" si="10"/>
        <v>4</v>
      </c>
      <c r="Q153" s="12" cm="1">
        <f t="array" ref="Q153">INDEX('Staging-ConceptMap'!U137:Y391,1+O153,P153)</f>
        <v>0</v>
      </c>
    </row>
    <row r="154" spans="14:17" x14ac:dyDescent="0.75">
      <c r="N154" s="11">
        <v>145</v>
      </c>
      <c r="O154" s="11">
        <f t="shared" si="9"/>
        <v>28</v>
      </c>
      <c r="P154" s="11">
        <f t="shared" si="10"/>
        <v>5</v>
      </c>
      <c r="Q154" s="12" cm="1">
        <f t="array" ref="Q154">INDEX('Staging-ConceptMap'!U138:Y392,1+O154,P154)</f>
        <v>0</v>
      </c>
    </row>
    <row r="155" spans="14:17" x14ac:dyDescent="0.75">
      <c r="N155" s="11">
        <v>146</v>
      </c>
      <c r="O155" s="11">
        <f t="shared" si="9"/>
        <v>29</v>
      </c>
      <c r="P155" s="11">
        <f t="shared" si="10"/>
        <v>1</v>
      </c>
      <c r="Q155" s="12" cm="1">
        <f t="array" ref="Q155">INDEX('Staging-ConceptMap'!U139:Y393,1+O155,P155)</f>
        <v>0</v>
      </c>
    </row>
    <row r="156" spans="14:17" x14ac:dyDescent="0.75">
      <c r="N156" s="11">
        <v>147</v>
      </c>
      <c r="O156" s="11">
        <f t="shared" si="9"/>
        <v>29</v>
      </c>
      <c r="P156" s="11">
        <f t="shared" si="10"/>
        <v>2</v>
      </c>
      <c r="Q156" s="12" cm="1">
        <f t="array" ref="Q156">INDEX('Staging-ConceptMap'!U140:Y394,1+O156,P156)</f>
        <v>0</v>
      </c>
    </row>
    <row r="157" spans="14:17" x14ac:dyDescent="0.75">
      <c r="N157" s="11">
        <v>148</v>
      </c>
      <c r="O157" s="11">
        <f t="shared" si="9"/>
        <v>29</v>
      </c>
      <c r="P157" s="11">
        <f t="shared" si="10"/>
        <v>3</v>
      </c>
      <c r="Q157" s="12" cm="1">
        <f t="array" ref="Q157">INDEX('Staging-ConceptMap'!U141:Y395,1+O157,P157)</f>
        <v>0</v>
      </c>
    </row>
    <row r="158" spans="14:17" x14ac:dyDescent="0.75">
      <c r="N158" s="11">
        <v>149</v>
      </c>
      <c r="O158" s="11">
        <f t="shared" si="9"/>
        <v>29</v>
      </c>
      <c r="P158" s="11">
        <f t="shared" si="10"/>
        <v>4</v>
      </c>
      <c r="Q158" s="12" cm="1">
        <f t="array" ref="Q158">INDEX('Staging-ConceptMap'!U142:Y396,1+O158,P158)</f>
        <v>0</v>
      </c>
    </row>
    <row r="159" spans="14:17" x14ac:dyDescent="0.75">
      <c r="N159" s="11">
        <v>150</v>
      </c>
      <c r="O159" s="11">
        <f t="shared" si="9"/>
        <v>29</v>
      </c>
      <c r="P159" s="11">
        <f t="shared" si="10"/>
        <v>5</v>
      </c>
      <c r="Q159" s="12" cm="1">
        <f t="array" ref="Q159">INDEX('Staging-ConceptMap'!U143:Y397,1+O159,P159)</f>
        <v>0</v>
      </c>
    </row>
    <row r="160" spans="14:17" x14ac:dyDescent="0.75">
      <c r="N160" s="11">
        <v>151</v>
      </c>
      <c r="O160" s="11">
        <f t="shared" si="9"/>
        <v>30</v>
      </c>
      <c r="P160" s="11">
        <f t="shared" si="10"/>
        <v>1</v>
      </c>
      <c r="Q160" s="12" cm="1">
        <f t="array" ref="Q160">INDEX('Staging-ConceptMap'!U144:Y398,1+O160,P160)</f>
        <v>0</v>
      </c>
    </row>
    <row r="161" spans="14:17" x14ac:dyDescent="0.75">
      <c r="N161" s="11">
        <v>152</v>
      </c>
      <c r="O161" s="11">
        <f t="shared" si="9"/>
        <v>30</v>
      </c>
      <c r="P161" s="11">
        <f t="shared" si="10"/>
        <v>2</v>
      </c>
      <c r="Q161" s="12" cm="1">
        <f t="array" ref="Q161">INDEX('Staging-ConceptMap'!U145:Y399,1+O161,P161)</f>
        <v>0</v>
      </c>
    </row>
    <row r="162" spans="14:17" x14ac:dyDescent="0.75">
      <c r="N162" s="11">
        <v>153</v>
      </c>
      <c r="O162" s="11">
        <f t="shared" si="9"/>
        <v>30</v>
      </c>
      <c r="P162" s="11">
        <f t="shared" si="10"/>
        <v>3</v>
      </c>
      <c r="Q162" s="12" cm="1">
        <f t="array" ref="Q162">INDEX('Staging-ConceptMap'!U146:Y400,1+O162,P162)</f>
        <v>0</v>
      </c>
    </row>
    <row r="163" spans="14:17" x14ac:dyDescent="0.75">
      <c r="N163" s="11">
        <v>154</v>
      </c>
      <c r="O163" s="11">
        <f t="shared" si="9"/>
        <v>30</v>
      </c>
      <c r="P163" s="11">
        <f t="shared" si="10"/>
        <v>4</v>
      </c>
      <c r="Q163" s="12" cm="1">
        <f t="array" ref="Q163">INDEX('Staging-ConceptMap'!U147:Y401,1+O163,P163)</f>
        <v>0</v>
      </c>
    </row>
    <row r="164" spans="14:17" x14ac:dyDescent="0.75">
      <c r="N164" s="11">
        <v>155</v>
      </c>
      <c r="O164" s="11">
        <f t="shared" si="9"/>
        <v>30</v>
      </c>
      <c r="P164" s="11">
        <f t="shared" si="10"/>
        <v>5</v>
      </c>
      <c r="Q164" s="12" cm="1">
        <f t="array" ref="Q164">INDEX('Staging-ConceptMap'!U148:Y402,1+O164,P164)</f>
        <v>0</v>
      </c>
    </row>
    <row r="165" spans="14:17" x14ac:dyDescent="0.75">
      <c r="N165" s="11">
        <v>156</v>
      </c>
      <c r="O165" s="11">
        <f t="shared" si="9"/>
        <v>31</v>
      </c>
      <c r="P165" s="11">
        <f t="shared" si="10"/>
        <v>1</v>
      </c>
      <c r="Q165" s="12" cm="1">
        <f t="array" ref="Q165">INDEX('Staging-ConceptMap'!U149:Y403,1+O165,P165)</f>
        <v>0</v>
      </c>
    </row>
    <row r="166" spans="14:17" x14ac:dyDescent="0.75">
      <c r="N166" s="11">
        <v>157</v>
      </c>
      <c r="O166" s="11">
        <f t="shared" si="9"/>
        <v>31</v>
      </c>
      <c r="P166" s="11">
        <f t="shared" si="10"/>
        <v>2</v>
      </c>
      <c r="Q166" s="12" cm="1">
        <f t="array" ref="Q166">INDEX('Staging-ConceptMap'!U150:Y404,1+O166,P166)</f>
        <v>0</v>
      </c>
    </row>
    <row r="167" spans="14:17" x14ac:dyDescent="0.75">
      <c r="N167" s="11">
        <v>158</v>
      </c>
      <c r="O167" s="11">
        <f t="shared" si="9"/>
        <v>31</v>
      </c>
      <c r="P167" s="11">
        <f t="shared" si="10"/>
        <v>3</v>
      </c>
      <c r="Q167" s="12" cm="1">
        <f t="array" ref="Q167">INDEX('Staging-ConceptMap'!U151:Y405,1+O167,P167)</f>
        <v>0</v>
      </c>
    </row>
    <row r="168" spans="14:17" x14ac:dyDescent="0.75">
      <c r="N168" s="11">
        <v>159</v>
      </c>
      <c r="O168" s="11">
        <f t="shared" si="9"/>
        <v>31</v>
      </c>
      <c r="P168" s="11">
        <f t="shared" si="10"/>
        <v>4</v>
      </c>
      <c r="Q168" s="12" cm="1">
        <f t="array" ref="Q168">INDEX('Staging-ConceptMap'!U152:Y406,1+O168,P168)</f>
        <v>0</v>
      </c>
    </row>
    <row r="169" spans="14:17" x14ac:dyDescent="0.75">
      <c r="N169" s="11">
        <v>160</v>
      </c>
      <c r="O169" s="11">
        <f t="shared" si="9"/>
        <v>31</v>
      </c>
      <c r="P169" s="11">
        <f t="shared" si="10"/>
        <v>5</v>
      </c>
      <c r="Q169" s="12" cm="1">
        <f t="array" ref="Q169">INDEX('Staging-ConceptMap'!U153:Y407,1+O169,P169)</f>
        <v>0</v>
      </c>
    </row>
    <row r="170" spans="14:17" x14ac:dyDescent="0.75">
      <c r="N170" s="11">
        <v>161</v>
      </c>
      <c r="O170" s="11">
        <f t="shared" si="9"/>
        <v>32</v>
      </c>
      <c r="P170" s="11">
        <f t="shared" si="10"/>
        <v>1</v>
      </c>
      <c r="Q170" s="12" cm="1">
        <f t="array" ref="Q170">INDEX('Staging-ConceptMap'!U154:Y408,1+O170,P170)</f>
        <v>0</v>
      </c>
    </row>
    <row r="171" spans="14:17" x14ac:dyDescent="0.75">
      <c r="N171" s="11">
        <v>162</v>
      </c>
      <c r="O171" s="11">
        <f t="shared" si="9"/>
        <v>32</v>
      </c>
      <c r="P171" s="11">
        <f t="shared" si="10"/>
        <v>2</v>
      </c>
      <c r="Q171" s="12" cm="1">
        <f t="array" ref="Q171">INDEX('Staging-ConceptMap'!U155:Y409,1+O171,P171)</f>
        <v>0</v>
      </c>
    </row>
    <row r="172" spans="14:17" x14ac:dyDescent="0.75">
      <c r="N172" s="11">
        <v>163</v>
      </c>
      <c r="O172" s="11">
        <f t="shared" si="9"/>
        <v>32</v>
      </c>
      <c r="P172" s="11">
        <f t="shared" si="10"/>
        <v>3</v>
      </c>
      <c r="Q172" s="12" cm="1">
        <f t="array" ref="Q172">INDEX('Staging-ConceptMap'!U156:Y410,1+O172,P172)</f>
        <v>0</v>
      </c>
    </row>
    <row r="173" spans="14:17" x14ac:dyDescent="0.75">
      <c r="N173" s="11">
        <v>164</v>
      </c>
      <c r="O173" s="11">
        <f t="shared" si="9"/>
        <v>32</v>
      </c>
      <c r="P173" s="11">
        <f t="shared" si="10"/>
        <v>4</v>
      </c>
      <c r="Q173" s="12" cm="1">
        <f t="array" ref="Q173">INDEX('Staging-ConceptMap'!U157:Y411,1+O173,P173)</f>
        <v>0</v>
      </c>
    </row>
    <row r="174" spans="14:17" x14ac:dyDescent="0.75">
      <c r="N174" s="11">
        <v>165</v>
      </c>
      <c r="O174" s="11">
        <f t="shared" si="9"/>
        <v>32</v>
      </c>
      <c r="P174" s="11">
        <f t="shared" si="10"/>
        <v>5</v>
      </c>
      <c r="Q174" s="12" cm="1">
        <f t="array" ref="Q174">INDEX('Staging-ConceptMap'!U158:Y412,1+O174,P174)</f>
        <v>0</v>
      </c>
    </row>
    <row r="175" spans="14:17" x14ac:dyDescent="0.75">
      <c r="N175" s="11">
        <v>166</v>
      </c>
      <c r="O175" s="11">
        <f t="shared" si="9"/>
        <v>33</v>
      </c>
      <c r="P175" s="11">
        <f t="shared" si="10"/>
        <v>1</v>
      </c>
      <c r="Q175" s="12" cm="1">
        <f t="array" ref="Q175">INDEX('Staging-ConceptMap'!U159:Y413,1+O175,P175)</f>
        <v>0</v>
      </c>
    </row>
    <row r="176" spans="14:17" x14ac:dyDescent="0.75">
      <c r="N176" s="11">
        <v>167</v>
      </c>
      <c r="O176" s="11">
        <f t="shared" si="9"/>
        <v>33</v>
      </c>
      <c r="P176" s="11">
        <f t="shared" si="10"/>
        <v>2</v>
      </c>
      <c r="Q176" s="12" cm="1">
        <f t="array" ref="Q176">INDEX('Staging-ConceptMap'!U160:Y414,1+O176,P176)</f>
        <v>0</v>
      </c>
    </row>
    <row r="177" spans="14:17" x14ac:dyDescent="0.75">
      <c r="N177" s="11">
        <v>168</v>
      </c>
      <c r="O177" s="11">
        <f t="shared" si="9"/>
        <v>33</v>
      </c>
      <c r="P177" s="11">
        <f t="shared" si="10"/>
        <v>3</v>
      </c>
      <c r="Q177" s="12" cm="1">
        <f t="array" ref="Q177">INDEX('Staging-ConceptMap'!U161:Y415,1+O177,P177)</f>
        <v>0</v>
      </c>
    </row>
    <row r="178" spans="14:17" x14ac:dyDescent="0.75">
      <c r="N178" s="11">
        <v>169</v>
      </c>
      <c r="O178" s="11">
        <f t="shared" si="9"/>
        <v>33</v>
      </c>
      <c r="P178" s="11">
        <f t="shared" si="10"/>
        <v>4</v>
      </c>
      <c r="Q178" s="12" cm="1">
        <f t="array" ref="Q178">INDEX('Staging-ConceptMap'!U162:Y416,1+O178,P178)</f>
        <v>0</v>
      </c>
    </row>
    <row r="179" spans="14:17" x14ac:dyDescent="0.75">
      <c r="N179" s="11">
        <v>170</v>
      </c>
      <c r="O179" s="11">
        <f t="shared" si="9"/>
        <v>33</v>
      </c>
      <c r="P179" s="11">
        <f t="shared" si="10"/>
        <v>5</v>
      </c>
      <c r="Q179" s="12" cm="1">
        <f t="array" ref="Q179">INDEX('Staging-ConceptMap'!U163:Y417,1+O179,P179)</f>
        <v>0</v>
      </c>
    </row>
    <row r="180" spans="14:17" x14ac:dyDescent="0.75">
      <c r="N180" s="11">
        <v>171</v>
      </c>
      <c r="O180" s="11">
        <f t="shared" si="9"/>
        <v>34</v>
      </c>
      <c r="P180" s="11">
        <f t="shared" si="10"/>
        <v>1</v>
      </c>
      <c r="Q180" s="12" cm="1">
        <f t="array" ref="Q180">INDEX('Staging-ConceptMap'!U164:Y418,1+O180,P180)</f>
        <v>0</v>
      </c>
    </row>
    <row r="181" spans="14:17" x14ac:dyDescent="0.75">
      <c r="N181" s="11">
        <v>172</v>
      </c>
      <c r="O181" s="11">
        <f t="shared" si="9"/>
        <v>34</v>
      </c>
      <c r="P181" s="11">
        <f t="shared" si="10"/>
        <v>2</v>
      </c>
      <c r="Q181" s="12" cm="1">
        <f t="array" ref="Q181">INDEX('Staging-ConceptMap'!U165:Y419,1+O181,P181)</f>
        <v>0</v>
      </c>
    </row>
    <row r="182" spans="14:17" x14ac:dyDescent="0.75">
      <c r="N182" s="11">
        <v>173</v>
      </c>
      <c r="O182" s="11">
        <f t="shared" si="9"/>
        <v>34</v>
      </c>
      <c r="P182" s="11">
        <f t="shared" si="10"/>
        <v>3</v>
      </c>
      <c r="Q182" s="12" cm="1">
        <f t="array" ref="Q182">INDEX('Staging-ConceptMap'!U166:Y420,1+O182,P182)</f>
        <v>0</v>
      </c>
    </row>
    <row r="183" spans="14:17" x14ac:dyDescent="0.75">
      <c r="N183" s="11">
        <v>174</v>
      </c>
      <c r="O183" s="11">
        <f t="shared" si="9"/>
        <v>34</v>
      </c>
      <c r="P183" s="11">
        <f t="shared" si="10"/>
        <v>4</v>
      </c>
      <c r="Q183" s="12" cm="1">
        <f t="array" ref="Q183">INDEX('Staging-ConceptMap'!U167:Y421,1+O183,P183)</f>
        <v>0</v>
      </c>
    </row>
    <row r="184" spans="14:17" x14ac:dyDescent="0.75">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IF('Staging-ConceptMap'!Q10=0,"//---END",'Staging-ConceptMap'!Q10)</f>
        <v>* group[=].element[+].code = #Staging</v>
      </c>
    </row>
    <row r="21" spans="2:7" x14ac:dyDescent="0.75">
      <c r="B21" s="12" t="str">
        <f>IF('Staging-ConceptMap'!Q11=0,"//---END",'Staging-ConceptMap'!Q11)</f>
        <v>* group[=].element[=].display = ##34#Staging##34#</v>
      </c>
    </row>
    <row r="22" spans="2:7" x14ac:dyDescent="0.75">
      <c r="B22" s="12" t="e">
        <f>IF('Staging-ConceptMap'!Q12=0,"//---END",'Staging-ConceptMap'!Q12)</f>
        <v>#REF!</v>
      </c>
    </row>
    <row r="23" spans="2:7" x14ac:dyDescent="0.75">
      <c r="B23" s="12" t="e">
        <f>IF('Staging-ConceptMap'!Q13=0,"//---END",'Staging-ConceptMap'!Q13)</f>
        <v>#REF!</v>
      </c>
    </row>
    <row r="24" spans="2:7" x14ac:dyDescent="0.75">
      <c r="B24" s="12" t="str">
        <f>IF('Staging-ConceptMap'!Q14=0,"//---END",'Staging-ConceptMap'!Q14)</f>
        <v>* group[=].element[=].target.equivalence = #equivalent</v>
      </c>
    </row>
    <row r="25" spans="2:7" x14ac:dyDescent="0.75">
      <c r="B25" s="12" t="str">
        <f>IF('Staging-ConceptMap'!Q15=0,"//---END",'Staging-ConceptMap'!Q15)</f>
        <v>* group[=].element[+].code = #Staging.stagingProceduresDoneBy</v>
      </c>
      <c r="G25" s="7"/>
    </row>
    <row r="26" spans="2:7" x14ac:dyDescent="0.75">
      <c r="B26" s="12" t="str">
        <f>IF('Staging-ConceptMap'!Q16=0,"//---END",'Staging-ConceptMap'!Q16)</f>
        <v>* group[=].element[=].display = ##34#Staging procedures done by##34#</v>
      </c>
    </row>
    <row r="27" spans="2:7" x14ac:dyDescent="0.75">
      <c r="B27" s="12" t="e">
        <f>IF('Staging-ConceptMap'!Q17=0,"//---END",'Staging-ConceptMap'!Q17)</f>
        <v>#REF!</v>
      </c>
    </row>
    <row r="28" spans="2:7" x14ac:dyDescent="0.75">
      <c r="B28" s="12" t="e">
        <f>IF('Staging-ConceptMap'!Q18=0,"//---END",'Staging-ConceptMap'!Q18)</f>
        <v>#REF!</v>
      </c>
    </row>
    <row r="29" spans="2:7" x14ac:dyDescent="0.75">
      <c r="B29" s="12" t="str">
        <f>IF('Staging-ConceptMap'!Q19=0,"//---END",'Staging-ConceptMap'!Q19)</f>
        <v>* group[=].element[=].target.equivalence = #relatedto</v>
      </c>
    </row>
    <row r="30" spans="2:7" x14ac:dyDescent="0.75">
      <c r="B30" s="12" t="str">
        <f>IF('Staging-ConceptMap'!Q20=0,"//---END",'Staging-ConceptMap'!Q20)</f>
        <v>* group[=].element[+].code = #Staging.imagingPerformed</v>
      </c>
    </row>
    <row r="31" spans="2:7" x14ac:dyDescent="0.75">
      <c r="B31" s="12" t="str">
        <f>IF('Staging-ConceptMap'!Q21=0,"//---END",'Staging-ConceptMap'!Q21)</f>
        <v>* group[=].element[=].display = ##34#Imaging for primary site##34#</v>
      </c>
    </row>
    <row r="32" spans="2:7" x14ac:dyDescent="0.75">
      <c r="B32" s="12" t="e">
        <f>IF('Staging-ConceptMap'!Q22=0,"//---END",'Staging-ConceptMap'!Q22)</f>
        <v>#REF!</v>
      </c>
    </row>
    <row r="33" spans="2:2" x14ac:dyDescent="0.75">
      <c r="B33" s="12" t="e">
        <f>IF('Staging-ConceptMap'!Q23=0,"//---END",'Staging-ConceptMap'!Q23)</f>
        <v>#REF!</v>
      </c>
    </row>
    <row r="34" spans="2:2" x14ac:dyDescent="0.75">
      <c r="B34" s="12" t="str">
        <f>IF('Staging-ConceptMap'!Q24=0,"//---END",'Staging-ConceptMap'!Q24)</f>
        <v>* group[=].element[=].target.equivalence = #equivalent</v>
      </c>
    </row>
    <row r="35" spans="2:2" x14ac:dyDescent="0.75">
      <c r="B35" s="12" t="str">
        <f>IF('Staging-ConceptMap'!Q25=0,"//---END",'Staging-ConceptMap'!Q25)</f>
        <v>* group[=].element[+].code = #Staging.imagingPerformed.cTPerformed</v>
      </c>
    </row>
    <row r="36" spans="2:2" x14ac:dyDescent="0.75">
      <c r="B36" s="12" t="str">
        <f>IF('Staging-ConceptMap'!Q26=0,"//---END",'Staging-ConceptMap'!Q26)</f>
        <v>* group[=].element[=].display = ##34#CT##34#</v>
      </c>
    </row>
    <row r="37" spans="2:2" x14ac:dyDescent="0.75">
      <c r="B37" s="12" t="str">
        <f>IF('Staging-ConceptMap'!Q27=0,"//---END",'Staging-ConceptMap'!Q27)</f>
        <v>//-- unmatched</v>
      </c>
    </row>
    <row r="38" spans="2:2" x14ac:dyDescent="0.75">
      <c r="B38" s="12" t="str">
        <f>IF('Staging-ConceptMap'!Q28=0,"//---END",'Staging-ConceptMap'!Q28)</f>
        <v>//-- unmatched</v>
      </c>
    </row>
    <row r="39" spans="2:2" x14ac:dyDescent="0.75">
      <c r="B39" s="12" t="str">
        <f>IF('Staging-ConceptMap'!Q29=0,"//---END",'Staging-ConceptMap'!Q29)</f>
        <v>* group[=].element[=].target.equivalence = #unmatched</v>
      </c>
    </row>
    <row r="40" spans="2:2" x14ac:dyDescent="0.75">
      <c r="B40" s="12" t="str">
        <f>IF('Staging-ConceptMap'!Q30=0,"//---END",'Staging-ConceptMap'!Q30)</f>
        <v>* group[=].element[+].code = #Staging.imagingPerformed.mRIPerformed</v>
      </c>
    </row>
    <row r="41" spans="2:2" x14ac:dyDescent="0.75">
      <c r="B41" s="12" t="str">
        <f>IF('Staging-ConceptMap'!Q31=0,"//---END",'Staging-ConceptMap'!Q31)</f>
        <v>* group[=].element[=].display = ##34#MRI##34#</v>
      </c>
    </row>
    <row r="42" spans="2:2" x14ac:dyDescent="0.75">
      <c r="B42" s="12" t="str">
        <f>IF('Staging-ConceptMap'!Q32=0,"//---END",'Staging-ConceptMap'!Q32)</f>
        <v>//-- unmatched</v>
      </c>
    </row>
    <row r="43" spans="2:2" x14ac:dyDescent="0.75">
      <c r="B43" s="12" t="str">
        <f>IF('Staging-ConceptMap'!Q33=0,"//---END",'Staging-ConceptMap'!Q33)</f>
        <v>//-- unmatched</v>
      </c>
    </row>
    <row r="44" spans="2:2" x14ac:dyDescent="0.75">
      <c r="B44" s="12" t="str">
        <f>IF('Staging-ConceptMap'!Q34=0,"//---END",'Staging-ConceptMap'!Q34)</f>
        <v>* group[=].element[=].target.equivalence = #unmatched</v>
      </c>
    </row>
    <row r="45" spans="2:2" x14ac:dyDescent="0.75">
      <c r="B45" s="12" t="str">
        <f>IF('Staging-ConceptMap'!Q35=0,"//---END",'Staging-ConceptMap'!Q35)</f>
        <v>* group[=].element[+].code = #Staging.imagingPerformed.uSPerformed</v>
      </c>
    </row>
    <row r="46" spans="2:2" x14ac:dyDescent="0.75">
      <c r="B46" s="12" t="str">
        <f>IF('Staging-ConceptMap'!Q36=0,"//---END",'Staging-ConceptMap'!Q36)</f>
        <v>* group[=].element[=].display = ##34#US##34#</v>
      </c>
    </row>
    <row r="47" spans="2:2" x14ac:dyDescent="0.75">
      <c r="B47" s="12" t="e">
        <f>IF('Staging-ConceptMap'!Q37=0,"//---END",'Staging-ConceptMap'!Q37)</f>
        <v>#REF!</v>
      </c>
    </row>
    <row r="48" spans="2:2" x14ac:dyDescent="0.75">
      <c r="B48" s="12" t="e">
        <f>IF('Staging-ConceptMap'!Q38=0,"//---END",'Staging-ConceptMap'!Q38)</f>
        <v>#REF!</v>
      </c>
    </row>
    <row r="49" spans="2:2" x14ac:dyDescent="0.75">
      <c r="B49" s="12" t="str">
        <f>IF('Staging-ConceptMap'!Q39=0,"//---END",'Staging-ConceptMap'!Q39)</f>
        <v>* group[=].element[=].target.equivalence = #narrower</v>
      </c>
    </row>
    <row r="50" spans="2:2" x14ac:dyDescent="0.75">
      <c r="B50" s="12" t="str">
        <f>IF('Staging-ConceptMap'!Q40=0,"//---END",'Staging-ConceptMap'!Q40)</f>
        <v>* group[=].element[+].code = #Staging.imagingPerformed.fDGPETPerformed</v>
      </c>
    </row>
    <row r="51" spans="2:2" x14ac:dyDescent="0.75">
      <c r="B51" s="12" t="str">
        <f>IF('Staging-ConceptMap'!Q41=0,"//---END",'Staging-ConceptMap'!Q41)</f>
        <v>* group[=].element[=].display = ##34#FDG PET##34#</v>
      </c>
    </row>
    <row r="52" spans="2:2" x14ac:dyDescent="0.75">
      <c r="B52" s="12" t="e">
        <f>IF('Staging-ConceptMap'!Q42=0,"//---END",'Staging-ConceptMap'!Q42)</f>
        <v>#REF!</v>
      </c>
    </row>
    <row r="53" spans="2:2" x14ac:dyDescent="0.75">
      <c r="B53" s="12" t="e">
        <f>IF('Staging-ConceptMap'!Q43=0,"//---END",'Staging-ConceptMap'!Q43)</f>
        <v>#REF!</v>
      </c>
    </row>
    <row r="54" spans="2:2" x14ac:dyDescent="0.75">
      <c r="B54" s="12" t="str">
        <f>IF('Staging-ConceptMap'!Q44=0,"//---END",'Staging-ConceptMap'!Q44)</f>
        <v>* group[=].element[=].target.equivalence = #wider</v>
      </c>
    </row>
    <row r="55" spans="2:2" x14ac:dyDescent="0.75">
      <c r="B55" s="12" t="str">
        <f>IF('Staging-ConceptMap'!Q45=0,"//---END",'Staging-ConceptMap'!Q45)</f>
        <v>* group[=].element[+].code = #Staging.imagingPerformed.pETwithothertracersPerformed</v>
      </c>
    </row>
    <row r="56" spans="2:2" x14ac:dyDescent="0.75">
      <c r="B56" s="12" t="str">
        <f>IF('Staging-ConceptMap'!Q46=0,"//---END",'Staging-ConceptMap'!Q46)</f>
        <v>* group[=].element[=].display = ##34#PET with other tracers##34#</v>
      </c>
    </row>
    <row r="57" spans="2:2" x14ac:dyDescent="0.75">
      <c r="B57" s="12" t="str">
        <f>IF('Staging-ConceptMap'!Q47=0,"//---END",'Staging-ConceptMap'!Q47)</f>
        <v>//-- unmatched</v>
      </c>
    </row>
    <row r="58" spans="2:2" x14ac:dyDescent="0.75">
      <c r="B58" s="12" t="str">
        <f>IF('Staging-ConceptMap'!Q48=0,"//---END",'Staging-ConceptMap'!Q48)</f>
        <v>//-- unmatched</v>
      </c>
    </row>
    <row r="59" spans="2:2" x14ac:dyDescent="0.75">
      <c r="B59" s="12" t="str">
        <f>IF('Staging-ConceptMap'!Q49=0,"//---END",'Staging-ConceptMap'!Q49)</f>
        <v>* group[=].element[=].target.equivalence = #unmatched</v>
      </c>
    </row>
    <row r="60" spans="2:2" x14ac:dyDescent="0.75">
      <c r="B60" s="12" t="str">
        <f>IF('Staging-ConceptMap'!Q50=0,"//---END",'Staging-ConceptMap'!Q50)</f>
        <v>//---END</v>
      </c>
    </row>
    <row r="61" spans="2:2" x14ac:dyDescent="0.75">
      <c r="B61" s="12" t="str">
        <f>IF('Staging-ConceptMap'!Q51=0,"//---END",'Staging-ConceptMap'!Q51)</f>
        <v>//---END</v>
      </c>
    </row>
    <row r="62" spans="2:2" x14ac:dyDescent="0.75">
      <c r="B62" s="12" t="str">
        <f>IF('Staging-ConceptMap'!Q52=0,"//---END",'Staging-ConceptMap'!Q52)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4" t="s">
        <v>171</v>
      </c>
      <c r="L1" s="24" t="s">
        <v>21</v>
      </c>
    </row>
    <row r="2" spans="1:12" x14ac:dyDescent="0.75">
      <c r="J2" s="25" t="s">
        <v>20</v>
      </c>
      <c r="L2" s="25" t="s">
        <v>170</v>
      </c>
    </row>
    <row r="3" spans="1:12" ht="17.75" customHeight="1" thickBot="1" x14ac:dyDescent="0.9">
      <c r="J3" s="25" t="str">
        <f>J1</f>
        <v>//===================================================</v>
      </c>
      <c r="L3" s="25" t="str">
        <f>L1</f>
        <v>// -------------------------------------------------------------------------------</v>
      </c>
    </row>
    <row r="4" spans="1:12" x14ac:dyDescent="0.75">
      <c r="A4" s="5" t="s">
        <v>12</v>
      </c>
      <c r="B4" s="31" t="s">
        <v>413</v>
      </c>
      <c r="J4" s="17" t="str">
        <f>CONCATENATE("Logical: ",B4)</f>
        <v>Logical: TreatmentI4rc</v>
      </c>
    </row>
    <row r="5" spans="1:12" x14ac:dyDescent="0.75">
      <c r="A5" s="15" t="s">
        <v>17</v>
      </c>
      <c r="B5" s="32" t="s">
        <v>74</v>
      </c>
      <c r="J5" s="17" t="str">
        <f>CONCATENATE("Id: ",B5)</f>
        <v>Id: Treatment</v>
      </c>
    </row>
    <row r="6" spans="1:12" x14ac:dyDescent="0.75">
      <c r="A6" s="15" t="s">
        <v>11</v>
      </c>
      <c r="B6" s="33" t="s">
        <v>74</v>
      </c>
      <c r="J6" s="18" t="str">
        <f>CONCATENATE("Title: ##34#",B6,"##34#")</f>
        <v>Title: ##34#Treatment##34#</v>
      </c>
    </row>
    <row r="7" spans="1:12" ht="29.5" x14ac:dyDescent="0.75">
      <c r="A7" s="27" t="s">
        <v>3</v>
      </c>
      <c r="B7" s="72" t="s">
        <v>414</v>
      </c>
      <c r="C7" s="9" t="s">
        <v>4</v>
      </c>
      <c r="D7" s="1" t="s">
        <v>5</v>
      </c>
      <c r="E7" s="3" t="s">
        <v>6</v>
      </c>
      <c r="F7" s="3" t="s">
        <v>7</v>
      </c>
      <c r="G7" s="3" t="s">
        <v>8</v>
      </c>
      <c r="H7" s="73" t="s">
        <v>169</v>
      </c>
      <c r="J7" s="18" t="str">
        <f>CONCATENATE("Description: "," ##334#",B7,"##334#",)</f>
        <v>Description:  ##334#Treatment
Maturity Level: 0 Draft##334#</v>
      </c>
    </row>
    <row r="8" spans="1:12" x14ac:dyDescent="0.75">
      <c r="A8" s="64">
        <v>0</v>
      </c>
      <c r="B8" s="2" t="s">
        <v>713</v>
      </c>
      <c r="C8" s="2" t="s">
        <v>415</v>
      </c>
      <c r="D8" s="74" t="s">
        <v>415</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x14ac:dyDescent="0.75">
      <c r="A9" s="64">
        <v>1</v>
      </c>
      <c r="B9" s="2" t="s">
        <v>714</v>
      </c>
      <c r="C9" s="2" t="s">
        <v>416</v>
      </c>
      <c r="D9" s="2" t="s">
        <v>417</v>
      </c>
      <c r="E9">
        <v>0</v>
      </c>
      <c r="F9">
        <v>1</v>
      </c>
      <c r="G9" t="s">
        <v>1</v>
      </c>
      <c r="H9" s="2" t="s">
        <v>418</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x14ac:dyDescent="0.75">
      <c r="A10" s="64">
        <v>2</v>
      </c>
      <c r="B10" s="2" t="s">
        <v>715</v>
      </c>
      <c r="C10" s="2" t="s">
        <v>419</v>
      </c>
      <c r="D10" s="2" t="s">
        <v>420</v>
      </c>
      <c r="E10">
        <v>0</v>
      </c>
      <c r="F10">
        <v>1</v>
      </c>
      <c r="G10" s="67" t="s">
        <v>45</v>
      </c>
      <c r="H10" s="2" t="s">
        <v>173</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x14ac:dyDescent="0.75">
      <c r="A11" s="64">
        <v>3</v>
      </c>
      <c r="B11" s="2" t="s">
        <v>716</v>
      </c>
      <c r="C11" s="2" t="s">
        <v>421</v>
      </c>
      <c r="D11" s="2" t="s">
        <v>422</v>
      </c>
      <c r="E11">
        <v>0</v>
      </c>
      <c r="F11">
        <v>1</v>
      </c>
      <c r="G11" s="67" t="s">
        <v>1</v>
      </c>
      <c r="H11" s="2" t="s">
        <v>423</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x14ac:dyDescent="0.75">
      <c r="A12" s="64">
        <v>4</v>
      </c>
      <c r="B12" s="2" t="s">
        <v>717</v>
      </c>
      <c r="C12" s="2" t="s">
        <v>424</v>
      </c>
      <c r="D12" s="2" t="s">
        <v>425</v>
      </c>
      <c r="E12">
        <v>0</v>
      </c>
      <c r="F12">
        <v>1</v>
      </c>
      <c r="G12" t="s">
        <v>1</v>
      </c>
      <c r="H12" s="2" t="s">
        <v>426</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x14ac:dyDescent="0.75">
      <c r="A13" s="64">
        <v>5</v>
      </c>
      <c r="B13" s="2" t="s">
        <v>718</v>
      </c>
      <c r="C13" s="2" t="s">
        <v>427</v>
      </c>
      <c r="D13" s="2" t="s">
        <v>428</v>
      </c>
      <c r="E13">
        <v>0</v>
      </c>
      <c r="F13">
        <v>1</v>
      </c>
      <c r="G13" t="s">
        <v>1</v>
      </c>
      <c r="H13" s="2" t="s">
        <v>429</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x14ac:dyDescent="0.75">
      <c r="A14" s="66"/>
      <c r="B14" s="67" t="s">
        <v>719</v>
      </c>
      <c r="C14" s="67" t="s">
        <v>430</v>
      </c>
      <c r="D14" s="67" t="s">
        <v>431</v>
      </c>
      <c r="E14" s="62">
        <v>0</v>
      </c>
      <c r="F14" s="67" t="s">
        <v>9</v>
      </c>
      <c r="G14" s="67" t="s">
        <v>2</v>
      </c>
      <c r="I14" s="26"/>
      <c r="J14" s="12" t="str">
        <f t="shared" si="0"/>
        <v>* surgicalProcedure 0..* BackboneElement ##34#Surgical procedure##34# ##334#Describes the procedure performed##334#</v>
      </c>
      <c r="L14" s="12" t="str">
        <f t="shared" si="1"/>
        <v/>
      </c>
    </row>
    <row r="15" spans="1:12" ht="59" x14ac:dyDescent="0.75">
      <c r="A15" s="64">
        <v>6</v>
      </c>
      <c r="B15" s="67" t="s">
        <v>720</v>
      </c>
      <c r="C15" s="2" t="s">
        <v>432</v>
      </c>
      <c r="D15" s="2" t="s">
        <v>433</v>
      </c>
      <c r="E15">
        <v>0</v>
      </c>
      <c r="F15">
        <v>1</v>
      </c>
      <c r="G15" t="s">
        <v>1</v>
      </c>
      <c r="H15" s="2" t="s">
        <v>434</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x14ac:dyDescent="0.75">
      <c r="A16" s="64">
        <v>7</v>
      </c>
      <c r="B16" s="67" t="s">
        <v>721</v>
      </c>
      <c r="C16" s="2" t="s">
        <v>435</v>
      </c>
      <c r="D16" s="2" t="s">
        <v>436</v>
      </c>
      <c r="E16">
        <v>0</v>
      </c>
      <c r="F16">
        <v>1</v>
      </c>
      <c r="G16" t="s">
        <v>1</v>
      </c>
      <c r="H16" s="2" t="s">
        <v>437</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x14ac:dyDescent="0.75">
      <c r="A17" s="64">
        <v>8</v>
      </c>
      <c r="B17" s="67" t="s">
        <v>722</v>
      </c>
      <c r="C17" s="2" t="s">
        <v>438</v>
      </c>
      <c r="D17" s="2" t="s">
        <v>439</v>
      </c>
      <c r="E17">
        <v>0</v>
      </c>
      <c r="F17">
        <v>1</v>
      </c>
      <c r="G17" t="s">
        <v>1</v>
      </c>
      <c r="H17" s="2" t="s">
        <v>440</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x14ac:dyDescent="0.75">
      <c r="A18" s="64">
        <v>9</v>
      </c>
      <c r="B18" s="67" t="s">
        <v>723</v>
      </c>
      <c r="C18" s="2" t="s">
        <v>441</v>
      </c>
      <c r="D18" s="2" t="s">
        <v>442</v>
      </c>
      <c r="E18">
        <v>0</v>
      </c>
      <c r="F18">
        <v>1</v>
      </c>
      <c r="G18" t="s">
        <v>1</v>
      </c>
      <c r="H18" s="2" t="s">
        <v>443</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x14ac:dyDescent="0.75">
      <c r="A19" s="64">
        <v>10</v>
      </c>
      <c r="B19" s="67" t="s">
        <v>724</v>
      </c>
      <c r="C19" s="2" t="s">
        <v>444</v>
      </c>
      <c r="D19" s="2" t="s">
        <v>445</v>
      </c>
      <c r="E19">
        <v>0</v>
      </c>
      <c r="F19">
        <v>1</v>
      </c>
      <c r="G19" t="s">
        <v>1</v>
      </c>
      <c r="H19" s="2" t="s">
        <v>446</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x14ac:dyDescent="0.75">
      <c r="A20" s="64">
        <v>11</v>
      </c>
      <c r="B20" s="67" t="s">
        <v>725</v>
      </c>
      <c r="C20" s="2" t="s">
        <v>447</v>
      </c>
      <c r="D20" s="2" t="s">
        <v>448</v>
      </c>
      <c r="E20">
        <v>0</v>
      </c>
      <c r="F20">
        <v>1</v>
      </c>
      <c r="G20" t="s">
        <v>1</v>
      </c>
      <c r="H20" s="2" t="s">
        <v>449</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x14ac:dyDescent="0.75">
      <c r="A21" s="64">
        <v>12</v>
      </c>
      <c r="B21" s="67" t="s">
        <v>726</v>
      </c>
      <c r="C21" s="2" t="s">
        <v>450</v>
      </c>
      <c r="D21" s="2" t="s">
        <v>451</v>
      </c>
      <c r="E21">
        <v>0</v>
      </c>
      <c r="F21">
        <v>1</v>
      </c>
      <c r="G21" t="s">
        <v>1</v>
      </c>
      <c r="H21" s="2" t="s">
        <v>452</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x14ac:dyDescent="0.75">
      <c r="A22" s="64">
        <v>13</v>
      </c>
      <c r="B22" s="67" t="s">
        <v>727</v>
      </c>
      <c r="C22" s="2" t="s">
        <v>453</v>
      </c>
      <c r="D22" s="2" t="s">
        <v>454</v>
      </c>
      <c r="E22">
        <v>0</v>
      </c>
      <c r="F22">
        <v>1</v>
      </c>
      <c r="G22" t="s">
        <v>1</v>
      </c>
      <c r="H22" s="2" t="s">
        <v>455</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x14ac:dyDescent="0.75">
      <c r="A23" s="64">
        <v>14</v>
      </c>
      <c r="B23" s="67" t="s">
        <v>728</v>
      </c>
      <c r="C23" s="2" t="s">
        <v>456</v>
      </c>
      <c r="D23" s="2" t="s">
        <v>457</v>
      </c>
      <c r="E23">
        <v>0</v>
      </c>
      <c r="F23">
        <v>1</v>
      </c>
      <c r="G23" t="s">
        <v>1</v>
      </c>
      <c r="H23" s="2" t="s">
        <v>458</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x14ac:dyDescent="0.75">
      <c r="A24" s="64">
        <v>15</v>
      </c>
      <c r="B24" s="67" t="s">
        <v>729</v>
      </c>
      <c r="C24" s="2" t="s">
        <v>459</v>
      </c>
      <c r="D24" s="2" t="s">
        <v>460</v>
      </c>
      <c r="E24">
        <v>0</v>
      </c>
      <c r="F24">
        <v>1</v>
      </c>
      <c r="G24" t="s">
        <v>1</v>
      </c>
      <c r="H24" s="2" t="s">
        <v>461</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x14ac:dyDescent="0.75">
      <c r="A25" s="64"/>
      <c r="B25" s="67" t="s">
        <v>730</v>
      </c>
      <c r="C25" s="67" t="s">
        <v>462</v>
      </c>
      <c r="D25" s="67" t="s">
        <v>463</v>
      </c>
      <c r="E25" s="62">
        <v>0</v>
      </c>
      <c r="F25" s="62">
        <v>1</v>
      </c>
      <c r="G25" s="62" t="s">
        <v>2</v>
      </c>
      <c r="J25" s="12" t="str">
        <f t="shared" si="0"/>
        <v>* reconstruction 0..1 BackboneElement ##34#Reconstruction##34# ##334#Reconstruction procedure that was performed after tomor removal to restore either shape or function##334#</v>
      </c>
      <c r="L25" s="12" t="str">
        <f t="shared" si="1"/>
        <v/>
      </c>
      <c r="M25"/>
    </row>
    <row r="26" spans="1:13" ht="44.25" x14ac:dyDescent="0.75">
      <c r="A26" s="64">
        <v>16</v>
      </c>
      <c r="B26" s="67" t="s">
        <v>731</v>
      </c>
      <c r="C26" s="2" t="s">
        <v>462</v>
      </c>
      <c r="D26" s="2" t="s">
        <v>464</v>
      </c>
      <c r="E26">
        <v>0</v>
      </c>
      <c r="F26">
        <v>1</v>
      </c>
      <c r="G26" t="s">
        <v>1</v>
      </c>
      <c r="H26" s="2" t="s">
        <v>465</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x14ac:dyDescent="0.75">
      <c r="A27" s="64">
        <v>17</v>
      </c>
      <c r="B27" s="67" t="s">
        <v>732</v>
      </c>
      <c r="C27" s="2" t="s">
        <v>466</v>
      </c>
      <c r="D27" s="2" t="s">
        <v>467</v>
      </c>
      <c r="E27">
        <v>0</v>
      </c>
      <c r="F27">
        <v>1</v>
      </c>
      <c r="G27" t="s">
        <v>1</v>
      </c>
      <c r="H27" s="2" t="s">
        <v>468</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x14ac:dyDescent="0.75">
      <c r="A28" s="64">
        <v>18</v>
      </c>
      <c r="B28" s="67" t="s">
        <v>733</v>
      </c>
      <c r="C28" s="2" t="s">
        <v>469</v>
      </c>
      <c r="D28" s="2" t="s">
        <v>470</v>
      </c>
      <c r="E28">
        <v>0</v>
      </c>
      <c r="F28">
        <v>1</v>
      </c>
      <c r="G28" t="s">
        <v>1</v>
      </c>
      <c r="H28" s="2" t="s">
        <v>471</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x14ac:dyDescent="0.75">
      <c r="A29" s="64">
        <v>19</v>
      </c>
      <c r="B29" s="67" t="s">
        <v>734</v>
      </c>
      <c r="C29" s="2" t="s">
        <v>472</v>
      </c>
      <c r="D29" s="2" t="s">
        <v>473</v>
      </c>
      <c r="E29">
        <v>0</v>
      </c>
      <c r="F29">
        <v>1</v>
      </c>
      <c r="G29" t="s">
        <v>1</v>
      </c>
      <c r="H29" s="2" t="s">
        <v>474</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x14ac:dyDescent="0.75">
      <c r="A30" s="64">
        <v>20</v>
      </c>
      <c r="B30" s="2" t="s">
        <v>735</v>
      </c>
      <c r="C30" s="2" t="s">
        <v>475</v>
      </c>
      <c r="D30" s="2" t="s">
        <v>476</v>
      </c>
      <c r="E30">
        <v>0</v>
      </c>
      <c r="F30">
        <v>1</v>
      </c>
      <c r="G30" t="s">
        <v>1</v>
      </c>
      <c r="H30" s="2" t="s">
        <v>477</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x14ac:dyDescent="0.75">
      <c r="A31" s="64">
        <v>21</v>
      </c>
      <c r="B31" s="2" t="s">
        <v>736</v>
      </c>
      <c r="C31" s="2" t="s">
        <v>478</v>
      </c>
      <c r="D31" s="2" t="s">
        <v>479</v>
      </c>
      <c r="E31">
        <v>0</v>
      </c>
      <c r="F31">
        <v>1</v>
      </c>
      <c r="G31" s="67" t="s">
        <v>45</v>
      </c>
      <c r="H31" s="2" t="s">
        <v>479</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x14ac:dyDescent="0.75">
      <c r="A32" s="64">
        <v>22</v>
      </c>
      <c r="B32" s="2" t="s">
        <v>737</v>
      </c>
      <c r="C32" s="2" t="s">
        <v>480</v>
      </c>
      <c r="D32" s="2" t="s">
        <v>481</v>
      </c>
      <c r="E32">
        <v>0</v>
      </c>
      <c r="F32">
        <v>1</v>
      </c>
      <c r="G32" s="67" t="s">
        <v>45</v>
      </c>
      <c r="J32" s="12" t="str">
        <f t="shared" si="0"/>
        <v>* dateOfNeckSurgeryDayUnknown 0..1 date ##34#Date of neck surgery day unknown##34# ##334#Describes if the day of neck surgery is unknwon##334#</v>
      </c>
      <c r="L32" s="12" t="str">
        <f t="shared" si="1"/>
        <v/>
      </c>
    </row>
    <row r="33" spans="1:12" ht="44.25" x14ac:dyDescent="0.75">
      <c r="A33" s="64">
        <v>23</v>
      </c>
      <c r="B33" s="2" t="s">
        <v>738</v>
      </c>
      <c r="C33" s="2" t="s">
        <v>482</v>
      </c>
      <c r="D33" s="2" t="s">
        <v>483</v>
      </c>
      <c r="E33">
        <v>0</v>
      </c>
      <c r="F33">
        <v>1</v>
      </c>
      <c r="G33" t="s">
        <v>1</v>
      </c>
      <c r="H33" s="2" t="s">
        <v>484</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x14ac:dyDescent="0.75">
      <c r="A34" s="64">
        <v>24</v>
      </c>
      <c r="B34" s="2" t="s">
        <v>352</v>
      </c>
      <c r="C34" s="2" t="s">
        <v>353</v>
      </c>
      <c r="D34" s="2" t="s">
        <v>354</v>
      </c>
      <c r="E34">
        <v>0</v>
      </c>
      <c r="F34">
        <v>1</v>
      </c>
      <c r="G34" t="s">
        <v>1</v>
      </c>
      <c r="H34" s="2" t="s">
        <v>485</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x14ac:dyDescent="0.75">
      <c r="A35" s="64">
        <v>25</v>
      </c>
      <c r="B35" s="2" t="s">
        <v>739</v>
      </c>
      <c r="C35" s="2" t="s">
        <v>486</v>
      </c>
      <c r="D35" s="2" t="s">
        <v>487</v>
      </c>
      <c r="E35">
        <v>0</v>
      </c>
      <c r="F35">
        <v>1</v>
      </c>
      <c r="G35" t="s">
        <v>1</v>
      </c>
      <c r="H35" s="2" t="s">
        <v>488</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x14ac:dyDescent="0.75">
      <c r="A36" s="64">
        <v>26</v>
      </c>
      <c r="B36" s="2" t="s">
        <v>740</v>
      </c>
      <c r="C36" s="2" t="s">
        <v>489</v>
      </c>
      <c r="D36" s="2" t="s">
        <v>490</v>
      </c>
      <c r="E36">
        <v>0</v>
      </c>
      <c r="F36">
        <v>1</v>
      </c>
      <c r="G36" t="s">
        <v>1</v>
      </c>
      <c r="H36" s="2" t="s">
        <v>491</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x14ac:dyDescent="0.75">
      <c r="A37" s="64">
        <v>27</v>
      </c>
      <c r="B37" s="2" t="s">
        <v>741</v>
      </c>
      <c r="C37" s="2" t="s">
        <v>492</v>
      </c>
      <c r="D37" s="2" t="s">
        <v>493</v>
      </c>
      <c r="E37">
        <v>0</v>
      </c>
      <c r="F37">
        <v>1</v>
      </c>
      <c r="G37" t="s">
        <v>1</v>
      </c>
      <c r="H37" s="2" t="s">
        <v>494</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x14ac:dyDescent="0.75">
      <c r="A38" s="64">
        <v>28</v>
      </c>
      <c r="B38" s="2" t="s">
        <v>742</v>
      </c>
      <c r="C38" s="2" t="s">
        <v>495</v>
      </c>
      <c r="D38" s="2" t="s">
        <v>496</v>
      </c>
      <c r="E38">
        <v>0</v>
      </c>
      <c r="F38">
        <v>1</v>
      </c>
      <c r="G38" t="s">
        <v>1</v>
      </c>
      <c r="H38" s="2" t="s">
        <v>497</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x14ac:dyDescent="0.75">
      <c r="A39" s="64">
        <v>29</v>
      </c>
      <c r="B39" s="2" t="s">
        <v>743</v>
      </c>
      <c r="C39" s="2" t="s">
        <v>498</v>
      </c>
      <c r="D39" s="2" t="s">
        <v>493</v>
      </c>
      <c r="E39">
        <v>0</v>
      </c>
      <c r="F39">
        <v>1</v>
      </c>
      <c r="G39" t="s">
        <v>1</v>
      </c>
      <c r="H39" s="2" t="s">
        <v>494</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x14ac:dyDescent="0.75">
      <c r="A40" s="64">
        <v>30</v>
      </c>
      <c r="B40" s="2" t="s">
        <v>744</v>
      </c>
      <c r="C40" s="2" t="s">
        <v>499</v>
      </c>
      <c r="D40" s="2" t="s">
        <v>500</v>
      </c>
      <c r="E40">
        <v>0</v>
      </c>
      <c r="F40">
        <v>1</v>
      </c>
      <c r="G40" t="s">
        <v>1</v>
      </c>
      <c r="H40" s="2" t="s">
        <v>501</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x14ac:dyDescent="0.75">
      <c r="A41" s="64"/>
      <c r="B41" s="67" t="s">
        <v>745</v>
      </c>
      <c r="C41" s="67" t="s">
        <v>502</v>
      </c>
      <c r="D41" s="67" t="s">
        <v>502</v>
      </c>
      <c r="E41" s="62">
        <v>0</v>
      </c>
      <c r="F41" s="62">
        <v>1</v>
      </c>
      <c r="G41" s="67" t="s">
        <v>2</v>
      </c>
      <c r="J41" s="12" t="str">
        <f t="shared" si="0"/>
        <v>* siteOfSurgeryOnMetastasis 0..1 BackboneElement ##34#Site of surgery on metastasis##34# ##334#Site of surgery on metastasis##334#</v>
      </c>
      <c r="L41" s="12" t="str">
        <f t="shared" si="1"/>
        <v/>
      </c>
    </row>
    <row r="42" spans="1:12" ht="44.25" x14ac:dyDescent="0.75">
      <c r="A42" s="64">
        <v>31</v>
      </c>
      <c r="B42" s="2" t="s">
        <v>746</v>
      </c>
      <c r="C42" s="67" t="s">
        <v>503</v>
      </c>
      <c r="D42" s="2" t="s">
        <v>504</v>
      </c>
      <c r="E42">
        <v>0</v>
      </c>
      <c r="F42">
        <v>1</v>
      </c>
      <c r="G42" s="62" t="s">
        <v>1</v>
      </c>
      <c r="J42" s="12" t="str">
        <f t="shared" si="0"/>
        <v>* siteOfSurgeryOnMetastasisSoftTissue 0..1 string ##34#Site of surgery on metastasis soft tissue##34# ##334#Describes if site of surgery on metastasis  is soft tissue##334#</v>
      </c>
      <c r="L42" s="12" t="str">
        <f t="shared" si="1"/>
        <v/>
      </c>
    </row>
    <row r="43" spans="1:12" ht="44.25" x14ac:dyDescent="0.75">
      <c r="A43" s="64">
        <v>32</v>
      </c>
      <c r="B43" s="2" t="s">
        <v>747</v>
      </c>
      <c r="C43" s="67" t="s">
        <v>505</v>
      </c>
      <c r="D43" s="2" t="s">
        <v>506</v>
      </c>
      <c r="E43">
        <v>0</v>
      </c>
      <c r="F43">
        <v>1</v>
      </c>
      <c r="G43" s="62"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x14ac:dyDescent="0.75">
      <c r="A44" s="64">
        <v>33</v>
      </c>
      <c r="B44" s="2" t="s">
        <v>748</v>
      </c>
      <c r="C44" s="67" t="s">
        <v>507</v>
      </c>
      <c r="D44" s="2" t="s">
        <v>508</v>
      </c>
      <c r="E44">
        <v>0</v>
      </c>
      <c r="F44">
        <v>1</v>
      </c>
      <c r="G44" s="62" t="s">
        <v>1</v>
      </c>
      <c r="J44" s="12" t="str">
        <f t="shared" si="0"/>
        <v>* siteOfSurgeryOnMetastasisLung 0..1 string ##34#Site of surgery on metastasis lung##34# ##334#Describes if site of surgery on metastasis  is lung##334#</v>
      </c>
      <c r="L44" s="12" t="str">
        <f t="shared" si="1"/>
        <v/>
      </c>
    </row>
    <row r="45" spans="1:12" ht="44.25" x14ac:dyDescent="0.75">
      <c r="A45" s="64">
        <v>34</v>
      </c>
      <c r="B45" s="2" t="s">
        <v>749</v>
      </c>
      <c r="C45" s="67" t="s">
        <v>509</v>
      </c>
      <c r="D45" s="2" t="s">
        <v>510</v>
      </c>
      <c r="E45">
        <v>0</v>
      </c>
      <c r="F45">
        <v>1</v>
      </c>
      <c r="G45" s="62" t="s">
        <v>1</v>
      </c>
      <c r="J45" s="12" t="str">
        <f t="shared" si="0"/>
        <v>* siteOfSurgeryOnMetastasisBone 0..1 string ##34#Site of surgery on metastasis bone##34# ##334#Describes if site of surgery on metastasis  is bone##334#</v>
      </c>
      <c r="L45" s="12" t="str">
        <f t="shared" si="1"/>
        <v/>
      </c>
    </row>
    <row r="46" spans="1:12" ht="44.25" x14ac:dyDescent="0.75">
      <c r="A46" s="64">
        <v>35</v>
      </c>
      <c r="B46" s="2" t="s">
        <v>750</v>
      </c>
      <c r="C46" s="67" t="s">
        <v>511</v>
      </c>
      <c r="D46" s="2" t="s">
        <v>512</v>
      </c>
      <c r="E46">
        <v>0</v>
      </c>
      <c r="F46">
        <v>1</v>
      </c>
      <c r="G46" s="62" t="s">
        <v>1</v>
      </c>
      <c r="J46" s="12" t="str">
        <f t="shared" si="0"/>
        <v>* siteOfSurgeryOnMetastasisLiver 0..1 string ##34#Site of surgery on metastasis liver##34# ##334#Describes if site of surgery on metastasis  is liver##334#</v>
      </c>
      <c r="L46" s="12" t="str">
        <f t="shared" si="1"/>
        <v/>
      </c>
    </row>
    <row r="47" spans="1:12" ht="44.25" x14ac:dyDescent="0.75">
      <c r="A47" s="64">
        <v>36</v>
      </c>
      <c r="B47" s="2" t="s">
        <v>751</v>
      </c>
      <c r="C47" s="67" t="s">
        <v>513</v>
      </c>
      <c r="D47" s="2" t="s">
        <v>514</v>
      </c>
      <c r="E47">
        <v>0</v>
      </c>
      <c r="F47">
        <v>1</v>
      </c>
      <c r="G47" s="62" t="s">
        <v>1</v>
      </c>
      <c r="J47" s="12" t="str">
        <f t="shared" si="0"/>
        <v>* siteOfSurgeryOnMetastasisPleura 0..1 string ##34#Site of surgery on metastasis pleura##34# ##334#Describes if site of surgery on metastasis  is pleura##334#</v>
      </c>
      <c r="L47" s="12" t="str">
        <f t="shared" si="1"/>
        <v/>
      </c>
    </row>
    <row r="48" spans="1:12" ht="44.25" x14ac:dyDescent="0.75">
      <c r="A48" s="64">
        <v>37</v>
      </c>
      <c r="B48" s="2" t="s">
        <v>752</v>
      </c>
      <c r="C48" s="67" t="s">
        <v>515</v>
      </c>
      <c r="D48" s="2" t="s">
        <v>516</v>
      </c>
      <c r="E48">
        <v>0</v>
      </c>
      <c r="F48">
        <v>1</v>
      </c>
      <c r="G48" s="62" t="s">
        <v>1</v>
      </c>
      <c r="J48" s="12" t="str">
        <f t="shared" si="0"/>
        <v>* siteOfSurgeryOnMetastasisPeritoneum 0..1 string ##34#Site of surgery on metastasis peritoneum##34# ##334#Describes if site of surgery on metastasis  is peritoneum##334#</v>
      </c>
      <c r="L48" s="12" t="str">
        <f t="shared" si="1"/>
        <v/>
      </c>
    </row>
    <row r="49" spans="1:12" ht="44.25" x14ac:dyDescent="0.75">
      <c r="A49" s="64">
        <v>38</v>
      </c>
      <c r="B49" s="2" t="s">
        <v>753</v>
      </c>
      <c r="C49" s="67" t="s">
        <v>517</v>
      </c>
      <c r="D49" s="2" t="s">
        <v>518</v>
      </c>
      <c r="E49">
        <v>0</v>
      </c>
      <c r="F49">
        <v>1</v>
      </c>
      <c r="G49" s="62" t="s">
        <v>1</v>
      </c>
      <c r="J49" s="12" t="str">
        <f t="shared" si="0"/>
        <v>* siteOfSurgeryOnMetastasisBrain 0..1 string ##34#Site of surgery on metastasis brain##34# ##334#Describes if site of surgery on metastasis  is brain##334#</v>
      </c>
      <c r="L49" s="12" t="str">
        <f t="shared" si="1"/>
        <v/>
      </c>
    </row>
    <row r="50" spans="1:12" ht="44.25" x14ac:dyDescent="0.75">
      <c r="A50" s="64">
        <v>39</v>
      </c>
      <c r="B50" s="2" t="s">
        <v>754</v>
      </c>
      <c r="C50" s="67" t="s">
        <v>519</v>
      </c>
      <c r="D50" s="2" t="s">
        <v>520</v>
      </c>
      <c r="E50">
        <v>0</v>
      </c>
      <c r="F50">
        <v>1</v>
      </c>
      <c r="G50" s="62" t="s">
        <v>1</v>
      </c>
      <c r="J50" s="12" t="str">
        <f t="shared" si="0"/>
        <v>* siteOfSurgeryOnMetastasisOtherViscera 0..1 string ##34#Site of surgery on metastasis other viscera##34# ##334#Describes if site of surgery on metastasis  is other viscera##334#</v>
      </c>
      <c r="L50" s="12" t="str">
        <f t="shared" si="1"/>
        <v/>
      </c>
    </row>
    <row r="51" spans="1:12" ht="44.25" x14ac:dyDescent="0.75">
      <c r="A51" s="64">
        <v>40</v>
      </c>
      <c r="B51" s="2" t="s">
        <v>755</v>
      </c>
      <c r="C51" s="67" t="s">
        <v>521</v>
      </c>
      <c r="D51" s="2" t="s">
        <v>522</v>
      </c>
      <c r="E51">
        <v>0</v>
      </c>
      <c r="F51">
        <v>1</v>
      </c>
      <c r="G51" s="62" t="s">
        <v>1</v>
      </c>
      <c r="J51" s="12" t="str">
        <f t="shared" si="0"/>
        <v>* siteOfSurgeryOnMetastasisUnknown 0..1 string ##34#Site of surgery on metastasis unknown##34# ##334#Describes if site of surgery on metastasis  is unknown##334#</v>
      </c>
      <c r="L51" s="12" t="str">
        <f t="shared" si="1"/>
        <v/>
      </c>
    </row>
    <row r="52" spans="1:12" ht="44.25" x14ac:dyDescent="0.75">
      <c r="A52" s="64">
        <v>41</v>
      </c>
      <c r="B52" s="70" t="s">
        <v>756</v>
      </c>
      <c r="C52" s="2" t="s">
        <v>523</v>
      </c>
      <c r="D52" s="2" t="s">
        <v>524</v>
      </c>
      <c r="E52">
        <v>0</v>
      </c>
      <c r="F52">
        <v>1</v>
      </c>
      <c r="G52" s="62" t="s">
        <v>45</v>
      </c>
      <c r="H52" s="2" t="s">
        <v>525</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x14ac:dyDescent="0.75">
      <c r="A53" s="64">
        <v>42</v>
      </c>
      <c r="B53" s="70" t="s">
        <v>757</v>
      </c>
      <c r="C53" s="2" t="s">
        <v>526</v>
      </c>
      <c r="D53" s="2" t="s">
        <v>527</v>
      </c>
      <c r="E53">
        <v>0</v>
      </c>
      <c r="F53">
        <v>1</v>
      </c>
      <c r="G53" t="s">
        <v>1</v>
      </c>
      <c r="H53" s="2" t="s">
        <v>528</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x14ac:dyDescent="0.75">
      <c r="A54" s="64">
        <v>43</v>
      </c>
      <c r="B54" s="70" t="s">
        <v>758</v>
      </c>
      <c r="C54" s="2" t="s">
        <v>529</v>
      </c>
      <c r="D54" s="2" t="s">
        <v>527</v>
      </c>
      <c r="E54">
        <v>0</v>
      </c>
      <c r="F54">
        <v>1</v>
      </c>
      <c r="G54" t="s">
        <v>1</v>
      </c>
      <c r="H54" s="2" t="s">
        <v>530</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x14ac:dyDescent="0.75">
      <c r="A55" s="64">
        <v>44</v>
      </c>
      <c r="B55" s="70" t="s">
        <v>759</v>
      </c>
      <c r="C55" s="2" t="s">
        <v>531</v>
      </c>
      <c r="D55" s="2" t="s">
        <v>532</v>
      </c>
      <c r="E55">
        <v>0</v>
      </c>
      <c r="F55">
        <v>1</v>
      </c>
      <c r="G55" t="s">
        <v>1</v>
      </c>
      <c r="H55" s="2" t="s">
        <v>533</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x14ac:dyDescent="0.75">
      <c r="A56" s="64">
        <v>45</v>
      </c>
      <c r="B56" s="70" t="s">
        <v>760</v>
      </c>
      <c r="C56" s="2" t="s">
        <v>534</v>
      </c>
      <c r="D56" s="2" t="s">
        <v>535</v>
      </c>
      <c r="E56">
        <v>0</v>
      </c>
      <c r="F56">
        <v>1</v>
      </c>
      <c r="G56" s="62" t="s">
        <v>45</v>
      </c>
      <c r="H56" s="2" t="s">
        <v>525</v>
      </c>
      <c r="J56" s="12" t="str">
        <f t="shared" si="0"/>
        <v>* dateOfUnplannedSurgery 0..1 date ##34#Date of unplanned surgery##34# ##334#Date of the unplanned surgery##334#</v>
      </c>
      <c r="L56" s="12" t="str">
        <f t="shared" si="1"/>
        <v>* dateOfUnplannedSurgery ^comment = ##334#A date##334#</v>
      </c>
    </row>
    <row r="57" spans="1:12" ht="177" x14ac:dyDescent="0.75">
      <c r="A57" s="64">
        <v>46</v>
      </c>
      <c r="B57" s="70" t="s">
        <v>761</v>
      </c>
      <c r="C57" s="2" t="s">
        <v>536</v>
      </c>
      <c r="D57" s="2" t="s">
        <v>342</v>
      </c>
      <c r="E57">
        <v>0</v>
      </c>
      <c r="F57">
        <v>1</v>
      </c>
      <c r="G57" t="s">
        <v>1</v>
      </c>
      <c r="H57" s="2" t="s">
        <v>537</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x14ac:dyDescent="0.75">
      <c r="A58" s="64">
        <v>47</v>
      </c>
      <c r="B58" s="70" t="s">
        <v>762</v>
      </c>
      <c r="C58" s="2" t="s">
        <v>538</v>
      </c>
      <c r="D58" s="2" t="s">
        <v>539</v>
      </c>
      <c r="E58">
        <v>0</v>
      </c>
      <c r="F58">
        <v>1</v>
      </c>
      <c r="G58" t="s">
        <v>1</v>
      </c>
      <c r="H58" s="2" t="s">
        <v>540</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x14ac:dyDescent="0.75">
      <c r="A59" s="64">
        <v>48</v>
      </c>
      <c r="B59" s="70" t="s">
        <v>763</v>
      </c>
      <c r="C59" s="2" t="s">
        <v>541</v>
      </c>
      <c r="D59" s="67" t="s">
        <v>541</v>
      </c>
      <c r="E59">
        <v>0</v>
      </c>
      <c r="F59">
        <v>1</v>
      </c>
      <c r="G59" t="s">
        <v>2</v>
      </c>
      <c r="J59" s="12" t="str">
        <f t="shared" si="0"/>
        <v>* systemicTreament 0..1 BackboneElement ##34#Systemic Treament##34# ##334#Systemic Treament##334#</v>
      </c>
      <c r="L59" s="12" t="str">
        <f t="shared" si="1"/>
        <v/>
      </c>
    </row>
    <row r="60" spans="1:12" ht="59" x14ac:dyDescent="0.75">
      <c r="A60" s="64">
        <v>49</v>
      </c>
      <c r="B60" s="70" t="s">
        <v>764</v>
      </c>
      <c r="C60" s="2" t="s">
        <v>542</v>
      </c>
      <c r="D60" s="2" t="s">
        <v>543</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x14ac:dyDescent="0.75">
      <c r="A61" s="64">
        <v>50</v>
      </c>
      <c r="B61" s="70" t="s">
        <v>765</v>
      </c>
      <c r="C61" s="2" t="s">
        <v>544</v>
      </c>
      <c r="D61" s="2" t="s">
        <v>545</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x14ac:dyDescent="0.75">
      <c r="A62" s="64">
        <v>51</v>
      </c>
      <c r="B62" s="70" t="s">
        <v>766</v>
      </c>
      <c r="C62" s="2" t="s">
        <v>546</v>
      </c>
      <c r="D62" s="2" t="s">
        <v>547</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x14ac:dyDescent="0.75">
      <c r="A63" s="64">
        <v>52</v>
      </c>
      <c r="B63" s="70" t="s">
        <v>767</v>
      </c>
      <c r="C63" s="2" t="s">
        <v>548</v>
      </c>
      <c r="D63" s="2" t="s">
        <v>549</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x14ac:dyDescent="0.75">
      <c r="A64" s="64">
        <v>53</v>
      </c>
      <c r="B64" s="70" t="s">
        <v>768</v>
      </c>
      <c r="C64" s="2" t="s">
        <v>550</v>
      </c>
      <c r="D64" s="2" t="s">
        <v>551</v>
      </c>
      <c r="E64">
        <v>0</v>
      </c>
      <c r="F64">
        <v>1</v>
      </c>
      <c r="G64" s="67" t="s">
        <v>45</v>
      </c>
      <c r="J64" s="12" t="str">
        <f t="shared" si="0"/>
        <v>* startDateSystemicTreatment 0..1 date ##34#Start date systemic treatment##34# ##334#Specifies when systemic treatment begins##334#</v>
      </c>
      <c r="L64" s="12" t="str">
        <f t="shared" si="1"/>
        <v/>
      </c>
    </row>
    <row r="65" spans="1:12" ht="44.25" x14ac:dyDescent="0.75">
      <c r="A65" s="64">
        <v>54</v>
      </c>
      <c r="B65" s="70" t="s">
        <v>769</v>
      </c>
      <c r="C65" s="2" t="s">
        <v>552</v>
      </c>
      <c r="D65" s="2" t="s">
        <v>553</v>
      </c>
      <c r="E65">
        <v>0</v>
      </c>
      <c r="F65">
        <v>1</v>
      </c>
      <c r="G65" s="67" t="s">
        <v>45</v>
      </c>
      <c r="J65" s="12" t="str">
        <f t="shared" si="0"/>
        <v>* startDateSystemicTreatmentDayUnknown 0..1 date ##34#Start date systemic treatment  day unknown##34# ##334#Describes if the day of start systemic treatment is unknwon##334#</v>
      </c>
      <c r="L65" s="12" t="str">
        <f t="shared" si="1"/>
        <v/>
      </c>
    </row>
    <row r="66" spans="1:12" ht="29.5" x14ac:dyDescent="0.75">
      <c r="A66" s="64">
        <v>55</v>
      </c>
      <c r="B66" s="70" t="s">
        <v>770</v>
      </c>
      <c r="C66" s="2" t="s">
        <v>554</v>
      </c>
      <c r="D66" s="2" t="s">
        <v>555</v>
      </c>
      <c r="E66">
        <v>0</v>
      </c>
      <c r="F66">
        <v>1</v>
      </c>
      <c r="G66" s="67" t="s">
        <v>45</v>
      </c>
      <c r="J66" s="12" t="str">
        <f t="shared" si="0"/>
        <v>* endDateSystemicTreatment 0..1 date ##34#End date systemic treatment##34# ##334#Specifies when systemic treatment ends##334#</v>
      </c>
      <c r="L66" s="12" t="str">
        <f t="shared" si="1"/>
        <v/>
      </c>
    </row>
    <row r="67" spans="1:12" ht="44.25" x14ac:dyDescent="0.75">
      <c r="A67" s="64">
        <v>56</v>
      </c>
      <c r="B67" s="70" t="s">
        <v>771</v>
      </c>
      <c r="C67" s="2" t="s">
        <v>556</v>
      </c>
      <c r="D67" s="2" t="s">
        <v>557</v>
      </c>
      <c r="E67">
        <v>0</v>
      </c>
      <c r="F67">
        <v>1</v>
      </c>
      <c r="G67" s="67" t="s">
        <v>45</v>
      </c>
      <c r="J67" s="12" t="str">
        <f t="shared" si="0"/>
        <v>* endDateSystemicTreatmentDayUnknown 0..1 date ##34#End date systemic treatment  day unknown##34# ##334#Describes if the day of end of systemic treatment is unknwon##334#</v>
      </c>
      <c r="L67" s="12" t="str">
        <f t="shared" si="1"/>
        <v/>
      </c>
    </row>
    <row r="68" spans="1:12" ht="88.5" x14ac:dyDescent="0.75">
      <c r="A68" s="64">
        <v>57</v>
      </c>
      <c r="B68" s="70" t="s">
        <v>772</v>
      </c>
      <c r="C68" s="2" t="s">
        <v>558</v>
      </c>
      <c r="D68" s="2" t="s">
        <v>559</v>
      </c>
      <c r="E68">
        <v>0</v>
      </c>
      <c r="F68">
        <v>1</v>
      </c>
      <c r="G68" t="s">
        <v>167</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x14ac:dyDescent="0.75">
      <c r="A69" s="64">
        <v>58</v>
      </c>
      <c r="B69" s="70" t="s">
        <v>773</v>
      </c>
      <c r="C69" s="2" t="s">
        <v>560</v>
      </c>
      <c r="D69" s="2" t="s">
        <v>561</v>
      </c>
      <c r="E69">
        <v>0</v>
      </c>
      <c r="F69">
        <v>1</v>
      </c>
      <c r="G69" s="62"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x14ac:dyDescent="0.75">
      <c r="A70" s="64">
        <v>59</v>
      </c>
      <c r="B70" s="70" t="s">
        <v>774</v>
      </c>
      <c r="C70" s="2" t="s">
        <v>562</v>
      </c>
      <c r="D70" s="2" t="s">
        <v>563</v>
      </c>
      <c r="E70">
        <v>0</v>
      </c>
      <c r="F70">
        <v>1</v>
      </c>
      <c r="G70" s="67" t="s">
        <v>1</v>
      </c>
      <c r="J70" s="12" t="str">
        <f t="shared" si="0"/>
        <v>* drugs1 0..1 string ##34#Drugs 1##34# ##334#autosuggested functionality for realtime searching within biomedical ontologies##334#</v>
      </c>
      <c r="L70" s="12" t="str">
        <f t="shared" si="1"/>
        <v/>
      </c>
    </row>
    <row r="71" spans="1:12" ht="29.5" x14ac:dyDescent="0.75">
      <c r="A71" s="64">
        <v>60</v>
      </c>
      <c r="B71" s="70" t="s">
        <v>775</v>
      </c>
      <c r="C71" s="2" t="s">
        <v>564</v>
      </c>
      <c r="D71" s="2" t="s">
        <v>563</v>
      </c>
      <c r="E71">
        <v>0</v>
      </c>
      <c r="F71">
        <v>1</v>
      </c>
      <c r="G71" s="67" t="s">
        <v>1</v>
      </c>
      <c r="J71" s="12" t="str">
        <f t="shared" si="0"/>
        <v>* drugs2 0..1 string ##34#Drugs 2##34# ##334#autosuggested functionality for realtime searching within biomedical ontologies##334#</v>
      </c>
      <c r="L71" s="12" t="str">
        <f t="shared" si="1"/>
        <v/>
      </c>
    </row>
    <row r="72" spans="1:12" ht="29.5" x14ac:dyDescent="0.75">
      <c r="A72" s="64">
        <v>61</v>
      </c>
      <c r="B72" s="70" t="s">
        <v>776</v>
      </c>
      <c r="C72" s="2" t="s">
        <v>565</v>
      </c>
      <c r="D72" s="2" t="s">
        <v>563</v>
      </c>
      <c r="E72">
        <v>0</v>
      </c>
      <c r="F72">
        <v>1</v>
      </c>
      <c r="G72" s="67" t="s">
        <v>1</v>
      </c>
      <c r="J72" s="12" t="str">
        <f t="shared" ref="J72:J135" si="2">CONCATENATE("* ",B72, " ",E72,"..",F72," ",G72," ##34#",C72,"##34# ##334#",D72,"##334#")</f>
        <v>* drugs3 0..1 string ##34#Drugs 3##34# ##334#autosuggested functionality for realtime searching within biomedical ontologies##334#</v>
      </c>
      <c r="L72" s="12" t="str">
        <f t="shared" si="1"/>
        <v/>
      </c>
    </row>
    <row r="73" spans="1:12" ht="44.25" x14ac:dyDescent="0.75">
      <c r="A73" s="64">
        <v>62</v>
      </c>
      <c r="B73" s="70" t="s">
        <v>777</v>
      </c>
      <c r="C73" s="2" t="s">
        <v>566</v>
      </c>
      <c r="D73" s="2" t="s">
        <v>567</v>
      </c>
      <c r="E73">
        <v>0</v>
      </c>
      <c r="F73">
        <v>1</v>
      </c>
      <c r="G73" s="67"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x14ac:dyDescent="0.75">
      <c r="A74" s="64">
        <v>63</v>
      </c>
      <c r="B74" s="70" t="s">
        <v>174</v>
      </c>
      <c r="C74" s="2" t="s">
        <v>165</v>
      </c>
      <c r="D74" s="2" t="s">
        <v>568</v>
      </c>
      <c r="E74">
        <v>0</v>
      </c>
      <c r="F74">
        <v>1</v>
      </c>
      <c r="G74" t="s">
        <v>1</v>
      </c>
      <c r="J74" s="12" t="str">
        <f t="shared" si="2"/>
        <v>* primerType 0..1 string ##34#Primer type##34# ##334#Describes the primer used for EBV DNA plasma testing duringin NPC type II and Type III WHO##334#</v>
      </c>
      <c r="L74" s="12" t="str">
        <f t="shared" si="3"/>
        <v/>
      </c>
    </row>
    <row r="75" spans="1:12" ht="29.5" x14ac:dyDescent="0.75">
      <c r="A75" s="64">
        <v>64</v>
      </c>
      <c r="B75" s="70" t="s">
        <v>175</v>
      </c>
      <c r="C75" s="2" t="s">
        <v>86</v>
      </c>
      <c r="D75" s="2" t="s">
        <v>569</v>
      </c>
      <c r="E75">
        <v>0</v>
      </c>
      <c r="F75">
        <v>1</v>
      </c>
      <c r="G75" t="s">
        <v>167</v>
      </c>
      <c r="J75" s="12" t="str">
        <f t="shared" si="2"/>
        <v>* copyNumber 0..1 integer ##34#Copy Number##34# ##334#Copy number of EBVDNA in NPC##334#</v>
      </c>
      <c r="L75" s="12" t="str">
        <f t="shared" si="3"/>
        <v/>
      </c>
    </row>
    <row r="76" spans="1:12" ht="44.25" x14ac:dyDescent="0.75">
      <c r="A76" s="64">
        <v>65</v>
      </c>
      <c r="B76" s="70" t="s">
        <v>778</v>
      </c>
      <c r="C76" s="2" t="s">
        <v>570</v>
      </c>
      <c r="D76" s="2" t="s">
        <v>571</v>
      </c>
      <c r="E76">
        <v>0</v>
      </c>
      <c r="F76">
        <v>1</v>
      </c>
      <c r="G76" s="67"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x14ac:dyDescent="0.75">
      <c r="A77" s="64">
        <v>66</v>
      </c>
      <c r="B77" s="68" t="s">
        <v>869</v>
      </c>
      <c r="C77" s="2" t="s">
        <v>165</v>
      </c>
      <c r="D77" s="2" t="s">
        <v>572</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x14ac:dyDescent="0.75">
      <c r="A78" s="64">
        <v>67</v>
      </c>
      <c r="B78" s="70" t="s">
        <v>175</v>
      </c>
      <c r="C78" s="2" t="s">
        <v>86</v>
      </c>
      <c r="D78" s="2" t="s">
        <v>569</v>
      </c>
      <c r="E78">
        <v>0</v>
      </c>
      <c r="F78">
        <v>1</v>
      </c>
      <c r="G78" t="s">
        <v>167</v>
      </c>
      <c r="J78" s="12" t="str">
        <f t="shared" si="2"/>
        <v>* copyNumber 0..1 integer ##34#Copy Number##34# ##334#Copy number of EBVDNA in NPC##334#</v>
      </c>
      <c r="L78" s="12" t="str">
        <f t="shared" si="3"/>
        <v/>
      </c>
    </row>
    <row r="79" spans="1:12" ht="44.25" x14ac:dyDescent="0.75">
      <c r="A79" s="64">
        <v>68</v>
      </c>
      <c r="B79" s="70" t="s">
        <v>779</v>
      </c>
      <c r="C79" s="2" t="s">
        <v>573</v>
      </c>
      <c r="D79" s="2" t="s">
        <v>574</v>
      </c>
      <c r="E79">
        <v>0</v>
      </c>
      <c r="F79">
        <v>1</v>
      </c>
      <c r="G79" t="s">
        <v>1</v>
      </c>
      <c r="J79" s="12" t="str">
        <f t="shared" si="2"/>
        <v>* reasonForEndOfTreatment 0..1 string ##34#Reason for end of treatment##34# ##334#Clarifies the reasons why the treatment ended or was interrupted##334#</v>
      </c>
      <c r="L79" s="12" t="str">
        <f t="shared" si="3"/>
        <v/>
      </c>
    </row>
    <row r="80" spans="1:12" ht="29.5" x14ac:dyDescent="0.75">
      <c r="A80" s="64">
        <v>69</v>
      </c>
      <c r="B80" s="70" t="s">
        <v>780</v>
      </c>
      <c r="C80" s="2" t="s">
        <v>575</v>
      </c>
      <c r="D80" s="2" t="s">
        <v>576</v>
      </c>
      <c r="E80">
        <v>0</v>
      </c>
      <c r="F80">
        <v>1</v>
      </c>
      <c r="G80" t="s">
        <v>1</v>
      </c>
      <c r="J80" s="12" t="str">
        <f t="shared" si="2"/>
        <v>* regimenChanged 0..1 string ##34#Regimen changed##34# ##334#Clarifies if the regimen drug changed after a toxicity or a patient intolerance##334#</v>
      </c>
      <c r="L80" s="12" t="str">
        <f t="shared" si="3"/>
        <v/>
      </c>
    </row>
    <row r="81" spans="1:12" ht="73.75" x14ac:dyDescent="0.75">
      <c r="A81" s="64">
        <v>70</v>
      </c>
      <c r="B81" s="68" t="s">
        <v>860</v>
      </c>
      <c r="C81" s="2" t="s">
        <v>577</v>
      </c>
      <c r="D81" s="2" t="s">
        <v>578</v>
      </c>
      <c r="E81">
        <v>0</v>
      </c>
      <c r="F81">
        <v>1</v>
      </c>
      <c r="G81" s="62"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x14ac:dyDescent="0.75">
      <c r="A82" s="64">
        <v>71</v>
      </c>
      <c r="B82" s="68" t="s">
        <v>861</v>
      </c>
      <c r="C82" s="2" t="s">
        <v>579</v>
      </c>
      <c r="D82" s="2" t="s">
        <v>580</v>
      </c>
      <c r="E82">
        <v>0</v>
      </c>
      <c r="F82">
        <v>1</v>
      </c>
      <c r="G82" s="67" t="s">
        <v>1</v>
      </c>
      <c r="J82" s="12" t="str">
        <f t="shared" si="2"/>
        <v>* regimenChanged-otherDrug1 0..1 string ##34#Other Drug1##34# ##334#Specifies the drug if not present in the regimen list up to 3 selection##334#</v>
      </c>
      <c r="L82" s="12" t="str">
        <f t="shared" si="3"/>
        <v/>
      </c>
    </row>
    <row r="83" spans="1:12" ht="29.5" x14ac:dyDescent="0.75">
      <c r="A83" s="64">
        <v>72</v>
      </c>
      <c r="B83" s="68" t="s">
        <v>862</v>
      </c>
      <c r="C83" s="2" t="s">
        <v>581</v>
      </c>
      <c r="D83" s="67" t="s">
        <v>581</v>
      </c>
      <c r="E83">
        <v>0</v>
      </c>
      <c r="F83">
        <v>1</v>
      </c>
      <c r="G83" t="s">
        <v>2</v>
      </c>
      <c r="J83" s="12" t="str">
        <f t="shared" si="2"/>
        <v>* regimenChanged-otherDrug2 0..1 BackboneElement ##34#Other Drug2##34# ##334#Other Drug2##334#</v>
      </c>
      <c r="L83" s="12" t="str">
        <f t="shared" si="3"/>
        <v/>
      </c>
    </row>
    <row r="84" spans="1:12" ht="29.5" x14ac:dyDescent="0.75">
      <c r="A84" s="64">
        <v>73</v>
      </c>
      <c r="B84" s="68" t="s">
        <v>863</v>
      </c>
      <c r="C84" s="2" t="s">
        <v>582</v>
      </c>
      <c r="D84" s="67" t="s">
        <v>582</v>
      </c>
      <c r="E84">
        <v>0</v>
      </c>
      <c r="F84">
        <v>1</v>
      </c>
      <c r="G84" t="s">
        <v>2</v>
      </c>
      <c r="J84" s="12" t="str">
        <f t="shared" si="2"/>
        <v>* regimenChanged-otherDrug3 0..1 BackboneElement ##34#Other Drug3##34# ##334#Other Drug3##334#</v>
      </c>
      <c r="L84" s="12" t="str">
        <f t="shared" si="3"/>
        <v/>
      </c>
    </row>
    <row r="85" spans="1:12" ht="44.25" x14ac:dyDescent="0.75">
      <c r="A85" s="64">
        <v>74</v>
      </c>
      <c r="B85" s="70" t="s">
        <v>781</v>
      </c>
      <c r="C85" s="2" t="s">
        <v>583</v>
      </c>
      <c r="D85" s="2" t="s">
        <v>584</v>
      </c>
      <c r="E85">
        <v>0</v>
      </c>
      <c r="F85">
        <v>1</v>
      </c>
      <c r="G85" s="62" t="s">
        <v>45</v>
      </c>
      <c r="J85" s="12" t="str">
        <f t="shared" si="2"/>
        <v>* startDateRegimenChanged 0..1 date ##34#Start date regimen changed##34# ##334#specifies when the new systemic treatment begins if a combination please specify the start of the first drug##334#</v>
      </c>
      <c r="L85" s="12" t="str">
        <f t="shared" si="3"/>
        <v/>
      </c>
    </row>
    <row r="86" spans="1:12" ht="44.25" x14ac:dyDescent="0.75">
      <c r="A86" s="64">
        <v>75</v>
      </c>
      <c r="B86" s="70" t="s">
        <v>782</v>
      </c>
      <c r="C86" s="2" t="s">
        <v>585</v>
      </c>
      <c r="D86" s="2" t="s">
        <v>586</v>
      </c>
      <c r="E86">
        <v>0</v>
      </c>
      <c r="F86">
        <v>1</v>
      </c>
      <c r="G86" s="62" t="s">
        <v>45</v>
      </c>
      <c r="J86" s="12" t="str">
        <f t="shared" si="2"/>
        <v>* startDateRegimenChangedDayUnknown 0..1 date ##34#Start date regimen changed  day unknown##34# ##334#Describes if the day of the begining of the  new systemic treatment  is unknwon##334#</v>
      </c>
      <c r="L86" s="12" t="str">
        <f t="shared" si="3"/>
        <v/>
      </c>
    </row>
    <row r="87" spans="1:12" ht="44.25" x14ac:dyDescent="0.75">
      <c r="A87" s="64">
        <v>76</v>
      </c>
      <c r="B87" s="70" t="s">
        <v>783</v>
      </c>
      <c r="C87" s="2" t="s">
        <v>587</v>
      </c>
      <c r="D87" s="2" t="s">
        <v>588</v>
      </c>
      <c r="E87">
        <v>0</v>
      </c>
      <c r="F87">
        <v>1</v>
      </c>
      <c r="G87" s="62" t="s">
        <v>45</v>
      </c>
      <c r="J87" s="12" t="str">
        <f t="shared" si="2"/>
        <v>* endDateRegimenChanged 0..1 date ##34#End date regimen changed##34# ##334#specifies when the new  systemic treatment endsif a combination please specify the end of the last drug##334#</v>
      </c>
      <c r="L87" s="12" t="str">
        <f t="shared" si="3"/>
        <v/>
      </c>
    </row>
    <row r="88" spans="1:12" ht="44.25" x14ac:dyDescent="0.75">
      <c r="A88" s="64">
        <v>77</v>
      </c>
      <c r="B88" s="70" t="s">
        <v>784</v>
      </c>
      <c r="C88" s="2" t="s">
        <v>589</v>
      </c>
      <c r="D88" s="2" t="s">
        <v>590</v>
      </c>
      <c r="E88">
        <v>0</v>
      </c>
      <c r="F88">
        <v>1</v>
      </c>
      <c r="G88" s="62" t="s">
        <v>45</v>
      </c>
      <c r="J88" s="12" t="str">
        <f t="shared" si="2"/>
        <v>* endDateRegimenChangedDayUnknown 0..1 date ##34#End  date regimen changed  day unknown##34# ##334#Describes if the day of the end of the systemic treatment is unknwon##334#</v>
      </c>
      <c r="L88" s="12" t="str">
        <f t="shared" si="3"/>
        <v/>
      </c>
    </row>
    <row r="89" spans="1:12" ht="44.25" x14ac:dyDescent="0.75">
      <c r="A89" s="64">
        <v>78</v>
      </c>
      <c r="B89" s="68" t="s">
        <v>864</v>
      </c>
      <c r="C89" s="2" t="s">
        <v>573</v>
      </c>
      <c r="D89" s="2" t="s">
        <v>574</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x14ac:dyDescent="0.75">
      <c r="A90" s="64">
        <v>79</v>
      </c>
      <c r="B90" s="70" t="s">
        <v>785</v>
      </c>
      <c r="C90" s="2" t="s">
        <v>591</v>
      </c>
      <c r="D90" s="2" t="s">
        <v>592</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x14ac:dyDescent="0.75">
      <c r="A91" s="64">
        <v>80</v>
      </c>
      <c r="B91" s="70" t="s">
        <v>786</v>
      </c>
      <c r="C91" s="2" t="s">
        <v>593</v>
      </c>
      <c r="D91" s="2" t="s">
        <v>594</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x14ac:dyDescent="0.75">
      <c r="A92" s="64">
        <v>81</v>
      </c>
      <c r="B92" s="70" t="s">
        <v>787</v>
      </c>
      <c r="C92" s="2" t="s">
        <v>595</v>
      </c>
      <c r="D92" s="2" t="s">
        <v>596</v>
      </c>
      <c r="E92">
        <v>0</v>
      </c>
      <c r="F92">
        <v>1</v>
      </c>
      <c r="G92" t="s">
        <v>1</v>
      </c>
      <c r="J92" s="12" t="str">
        <f t="shared" si="2"/>
        <v>* systemicTreatment2 0..1 string ##34#Systemic treatment 2##34# ##334#Specifies if another systemic treatment was performed##334#</v>
      </c>
      <c r="L92" s="12" t="str">
        <f t="shared" si="3"/>
        <v/>
      </c>
    </row>
    <row r="93" spans="1:12" x14ac:dyDescent="0.75">
      <c r="A93" s="64">
        <v>82</v>
      </c>
      <c r="B93" s="70" t="s">
        <v>788</v>
      </c>
      <c r="C93" s="2" t="s">
        <v>597</v>
      </c>
      <c r="D93" s="2"/>
      <c r="E93">
        <v>0</v>
      </c>
      <c r="F93">
        <v>1</v>
      </c>
      <c r="G93" t="s">
        <v>2</v>
      </c>
      <c r="J93" s="12" t="str">
        <f t="shared" si="2"/>
        <v>* radiotherapy 0..1 BackboneElement ##34#Radiotherapy##34# ##334###334#</v>
      </c>
      <c r="L93" s="12" t="str">
        <f t="shared" si="3"/>
        <v/>
      </c>
    </row>
    <row r="94" spans="1:12" ht="59" x14ac:dyDescent="0.75">
      <c r="A94" s="64">
        <v>83</v>
      </c>
      <c r="B94" s="70" t="s">
        <v>789</v>
      </c>
      <c r="C94" s="2" t="s">
        <v>598</v>
      </c>
      <c r="D94" s="2" t="s">
        <v>599</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x14ac:dyDescent="0.75">
      <c r="A95" s="64">
        <v>84</v>
      </c>
      <c r="B95" s="70" t="s">
        <v>766</v>
      </c>
      <c r="C95" s="2" t="s">
        <v>546</v>
      </c>
      <c r="D95" s="2" t="s">
        <v>600</v>
      </c>
      <c r="E95">
        <v>0</v>
      </c>
      <c r="F95">
        <v>1</v>
      </c>
      <c r="G95" t="s">
        <v>1</v>
      </c>
      <c r="J95" s="12" t="str">
        <f t="shared" si="2"/>
        <v>* intent 0..1 string ##34#Intent##34# ##334#Radiotherapy intent refers to whether the intention of treatment is to cure the patient or to treat symptoms and palliate##334#</v>
      </c>
      <c r="L95" s="12" t="str">
        <f t="shared" si="3"/>
        <v/>
      </c>
    </row>
    <row r="96" spans="1:12" ht="44.25" x14ac:dyDescent="0.75">
      <c r="A96" s="64">
        <v>85</v>
      </c>
      <c r="B96" s="68" t="s">
        <v>870</v>
      </c>
      <c r="C96" s="2" t="s">
        <v>548</v>
      </c>
      <c r="D96" s="2" t="s">
        <v>601</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x14ac:dyDescent="0.75">
      <c r="A97" s="64">
        <v>86</v>
      </c>
      <c r="B97" s="70" t="s">
        <v>790</v>
      </c>
      <c r="C97" s="2" t="s">
        <v>602</v>
      </c>
      <c r="D97" s="2" t="s">
        <v>603</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x14ac:dyDescent="0.75">
      <c r="A98" s="64">
        <v>87</v>
      </c>
      <c r="B98" s="70" t="s">
        <v>791</v>
      </c>
      <c r="C98" s="2" t="s">
        <v>604</v>
      </c>
      <c r="D98" s="2" t="s">
        <v>605</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x14ac:dyDescent="0.75">
      <c r="A99" s="64">
        <v>88</v>
      </c>
      <c r="B99" s="68" t="s">
        <v>865</v>
      </c>
      <c r="C99" s="2" t="s">
        <v>606</v>
      </c>
      <c r="D99" s="2"/>
      <c r="E99">
        <v>0</v>
      </c>
      <c r="F99">
        <v>1</v>
      </c>
      <c r="G99" t="s">
        <v>2</v>
      </c>
      <c r="J99" s="12" t="str">
        <f t="shared" si="2"/>
        <v>* beamQuality-otherSpecify 0..1 BackboneElement ##34#Other specify ##34# ##334###334#</v>
      </c>
      <c r="L99" s="12" t="str">
        <f t="shared" si="3"/>
        <v/>
      </c>
    </row>
    <row r="100" spans="1:12" ht="29.5" x14ac:dyDescent="0.75">
      <c r="A100" s="64">
        <v>89</v>
      </c>
      <c r="B100" s="70" t="s">
        <v>793</v>
      </c>
      <c r="C100" s="2" t="s">
        <v>607</v>
      </c>
      <c r="D100" s="2" t="s">
        <v>608</v>
      </c>
      <c r="E100">
        <v>0</v>
      </c>
      <c r="F100">
        <v>1</v>
      </c>
      <c r="G100" t="s">
        <v>1</v>
      </c>
      <c r="J100" s="12" t="str">
        <f t="shared" si="2"/>
        <v>* treatmentTechnique 0..1 string ##34#Treatment technique##34# ##334#Refers to the type of radiotherapy treatment delivered##334#</v>
      </c>
      <c r="L100" s="12" t="str">
        <f t="shared" si="3"/>
        <v/>
      </c>
    </row>
    <row r="101" spans="1:12" ht="29.5" x14ac:dyDescent="0.75">
      <c r="A101" s="64">
        <v>90</v>
      </c>
      <c r="B101" s="75" t="s">
        <v>866</v>
      </c>
      <c r="C101" s="2" t="s">
        <v>609</v>
      </c>
      <c r="D101" s="2"/>
      <c r="E101">
        <v>0</v>
      </c>
      <c r="F101">
        <v>1</v>
      </c>
      <c r="G101" t="s">
        <v>2</v>
      </c>
      <c r="J101" s="12" t="str">
        <f t="shared" si="2"/>
        <v>* treatmentTechnique-otherSpecify 0..1 BackboneElement ##34#Other specify##34# ##334###334#</v>
      </c>
      <c r="L101" s="12" t="str">
        <f t="shared" si="3"/>
        <v/>
      </c>
    </row>
    <row r="102" spans="1:12" ht="44.25" x14ac:dyDescent="0.75">
      <c r="A102" s="64">
        <v>91</v>
      </c>
      <c r="B102" s="70" t="s">
        <v>794</v>
      </c>
      <c r="C102" s="2" t="s">
        <v>610</v>
      </c>
      <c r="D102" s="2" t="s">
        <v>611</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x14ac:dyDescent="0.75">
      <c r="A103" s="64">
        <v>92</v>
      </c>
      <c r="B103" s="70" t="s">
        <v>795</v>
      </c>
      <c r="C103" s="2" t="s">
        <v>612</v>
      </c>
      <c r="D103" s="2" t="s">
        <v>613</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x14ac:dyDescent="0.75">
      <c r="A104" s="64">
        <v>93</v>
      </c>
      <c r="B104" s="70" t="s">
        <v>796</v>
      </c>
      <c r="C104" s="2" t="s">
        <v>614</v>
      </c>
      <c r="D104" s="2" t="s">
        <v>615</v>
      </c>
      <c r="E104">
        <v>0</v>
      </c>
      <c r="F104">
        <v>1</v>
      </c>
      <c r="G104" s="62" t="s">
        <v>616</v>
      </c>
      <c r="J104" s="12" t="str">
        <f t="shared" si="2"/>
        <v>* totalDoseTdGy 0..1 Quantity ##34#Total Dose TD Gy##34# ##334#Refers to the total dose delivered to the patient in Gy##334#</v>
      </c>
      <c r="L104" s="12" t="str">
        <f t="shared" si="3"/>
        <v/>
      </c>
    </row>
    <row r="105" spans="1:12" ht="29.5" x14ac:dyDescent="0.75">
      <c r="A105" s="64">
        <v>94</v>
      </c>
      <c r="B105" s="70" t="s">
        <v>797</v>
      </c>
      <c r="C105" s="2" t="s">
        <v>617</v>
      </c>
      <c r="D105" s="2" t="s">
        <v>618</v>
      </c>
      <c r="E105">
        <v>0</v>
      </c>
      <c r="F105">
        <v>1</v>
      </c>
      <c r="G105" s="62" t="s">
        <v>616</v>
      </c>
      <c r="J105" s="12" t="str">
        <f t="shared" si="2"/>
        <v>* fractionSizeFs 0..1 Quantity ##34#Fraction Size FS##34# ##334#Refers to the Dose per fraction delivered to the patient##334#</v>
      </c>
      <c r="L105" s="12" t="str">
        <f t="shared" si="3"/>
        <v/>
      </c>
    </row>
    <row r="106" spans="1:12" ht="29.5" x14ac:dyDescent="0.75">
      <c r="A106" s="64">
        <v>95</v>
      </c>
      <c r="B106" s="70" t="s">
        <v>798</v>
      </c>
      <c r="C106" s="2" t="s">
        <v>619</v>
      </c>
      <c r="D106" s="2" t="s">
        <v>620</v>
      </c>
      <c r="E106">
        <v>0</v>
      </c>
      <c r="F106">
        <v>1</v>
      </c>
      <c r="G106" s="62" t="s">
        <v>167</v>
      </c>
      <c r="J106" s="12" t="str">
        <f t="shared" si="2"/>
        <v>* numberOfFractions 0..1 integer ##34#Number of fractions##34# ##334#Refers to the total number of fractions delivered to the patient##334#</v>
      </c>
      <c r="L106" s="12" t="str">
        <f t="shared" si="3"/>
        <v/>
      </c>
    </row>
    <row r="107" spans="1:12" ht="29.5" x14ac:dyDescent="0.75">
      <c r="A107" s="64">
        <v>96</v>
      </c>
      <c r="B107" s="70" t="s">
        <v>799</v>
      </c>
      <c r="C107" s="2" t="s">
        <v>621</v>
      </c>
      <c r="D107" s="2" t="s">
        <v>622</v>
      </c>
      <c r="E107">
        <v>0</v>
      </c>
      <c r="F107">
        <v>1</v>
      </c>
      <c r="G107" s="62" t="s">
        <v>616</v>
      </c>
      <c r="J107" s="12" t="str">
        <f t="shared" si="2"/>
        <v>* totalHighDoseGy 0..1 Quantity ##34#Total High Dose Gy##34# ##334#Refers to the highest dose delivered to the patient##334#</v>
      </c>
      <c r="L107" s="12" t="str">
        <f t="shared" si="3"/>
        <v/>
      </c>
    </row>
    <row r="108" spans="1:12" ht="59" x14ac:dyDescent="0.75">
      <c r="A108" s="64">
        <v>97</v>
      </c>
      <c r="B108" s="70" t="s">
        <v>800</v>
      </c>
      <c r="C108" s="2" t="s">
        <v>623</v>
      </c>
      <c r="D108" s="2" t="s">
        <v>624</v>
      </c>
      <c r="E108">
        <v>0</v>
      </c>
      <c r="F108">
        <v>1</v>
      </c>
      <c r="G108" s="62" t="s">
        <v>616</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x14ac:dyDescent="0.75">
      <c r="A109" s="64">
        <v>98</v>
      </c>
      <c r="B109" s="70" t="s">
        <v>801</v>
      </c>
      <c r="C109" s="2" t="s">
        <v>625</v>
      </c>
      <c r="D109" s="2" t="s">
        <v>626</v>
      </c>
      <c r="E109">
        <v>0</v>
      </c>
      <c r="F109">
        <v>1</v>
      </c>
      <c r="G109" s="62" t="s">
        <v>616</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x14ac:dyDescent="0.75">
      <c r="A110" s="64">
        <v>99</v>
      </c>
      <c r="B110" s="70" t="s">
        <v>802</v>
      </c>
      <c r="C110" s="2" t="s">
        <v>627</v>
      </c>
      <c r="D110" s="2" t="s">
        <v>628</v>
      </c>
      <c r="E110">
        <v>0</v>
      </c>
      <c r="F110">
        <v>1</v>
      </c>
      <c r="G110" s="62" t="s">
        <v>616</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x14ac:dyDescent="0.75">
      <c r="A111" s="64">
        <v>100</v>
      </c>
      <c r="B111" s="70" t="s">
        <v>803</v>
      </c>
      <c r="C111" s="2" t="s">
        <v>629</v>
      </c>
      <c r="D111" s="2" t="s">
        <v>630</v>
      </c>
      <c r="E111">
        <v>0</v>
      </c>
      <c r="F111">
        <v>1</v>
      </c>
      <c r="G111" s="62" t="s">
        <v>616</v>
      </c>
      <c r="J111" s="12" t="str">
        <f t="shared" si="2"/>
        <v>* totalLowDoseGy 0..1 Quantity ##34#Total Low Dose Gy##34# ##334#The lowest dose prescribed to the patients tumor##334#</v>
      </c>
      <c r="L111" s="12" t="str">
        <f t="shared" si="3"/>
        <v/>
      </c>
    </row>
    <row r="112" spans="1:12" ht="59" x14ac:dyDescent="0.75">
      <c r="A112" s="64">
        <v>101</v>
      </c>
      <c r="B112" s="70" t="s">
        <v>804</v>
      </c>
      <c r="C112" s="2" t="s">
        <v>631</v>
      </c>
      <c r="D112" s="2" t="s">
        <v>632</v>
      </c>
      <c r="E112">
        <v>0</v>
      </c>
      <c r="F112">
        <v>1</v>
      </c>
      <c r="G112" s="62" t="s">
        <v>616</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x14ac:dyDescent="0.75">
      <c r="A113" s="64">
        <v>102</v>
      </c>
      <c r="B113" s="70" t="s">
        <v>805</v>
      </c>
      <c r="C113" s="2" t="s">
        <v>633</v>
      </c>
      <c r="D113" s="2" t="s">
        <v>634</v>
      </c>
      <c r="E113">
        <v>0</v>
      </c>
      <c r="F113">
        <v>1</v>
      </c>
      <c r="G113" s="62" t="s">
        <v>2</v>
      </c>
      <c r="J113" s="12" t="str">
        <f t="shared" si="2"/>
        <v>* fractionationPattern 0..1 BackboneElement ##34#Fractionation Pattern##34# ##334#Refers to the pattern of how the radiation was delivered##334#</v>
      </c>
      <c r="L113" s="12" t="str">
        <f t="shared" si="3"/>
        <v/>
      </c>
    </row>
    <row r="114" spans="1:12" ht="73.75" x14ac:dyDescent="0.75">
      <c r="A114" s="64">
        <v>103</v>
      </c>
      <c r="B114" s="70" t="s">
        <v>806</v>
      </c>
      <c r="C114" s="2" t="s">
        <v>635</v>
      </c>
      <c r="D114" s="2" t="s">
        <v>636</v>
      </c>
      <c r="E114">
        <v>0</v>
      </c>
      <c r="F114">
        <v>1</v>
      </c>
      <c r="G114" s="62"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x14ac:dyDescent="0.75">
      <c r="A115" s="64">
        <v>104</v>
      </c>
      <c r="B115" s="70" t="s">
        <v>807</v>
      </c>
      <c r="C115" s="2" t="s">
        <v>637</v>
      </c>
      <c r="D115" s="2" t="s">
        <v>638</v>
      </c>
      <c r="E115">
        <v>0</v>
      </c>
      <c r="F115">
        <v>1</v>
      </c>
      <c r="G115" s="62"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x14ac:dyDescent="0.75">
      <c r="A116" s="64">
        <v>105</v>
      </c>
      <c r="B116" s="70" t="s">
        <v>808</v>
      </c>
      <c r="C116" s="2" t="s">
        <v>639</v>
      </c>
      <c r="D116" s="2" t="s">
        <v>640</v>
      </c>
      <c r="E116">
        <v>0</v>
      </c>
      <c r="F116">
        <v>1</v>
      </c>
      <c r="G116" s="62"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x14ac:dyDescent="0.75">
      <c r="A117" s="64">
        <v>106</v>
      </c>
      <c r="B117" s="70" t="s">
        <v>809</v>
      </c>
      <c r="C117" s="2" t="s">
        <v>641</v>
      </c>
      <c r="D117" s="2" t="s">
        <v>642</v>
      </c>
      <c r="E117">
        <v>0</v>
      </c>
      <c r="F117">
        <v>1</v>
      </c>
      <c r="G117" s="62"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x14ac:dyDescent="0.75">
      <c r="A118" s="64">
        <v>107</v>
      </c>
      <c r="B118" s="70" t="s">
        <v>810</v>
      </c>
      <c r="C118" s="2" t="s">
        <v>643</v>
      </c>
      <c r="D118" s="2" t="s">
        <v>644</v>
      </c>
      <c r="E118">
        <v>0</v>
      </c>
      <c r="F118">
        <v>1</v>
      </c>
      <c r="G118" s="62" t="s">
        <v>1</v>
      </c>
      <c r="J118" s="12" t="str">
        <f t="shared" si="2"/>
        <v>* otherSpecify2 0..1 string ##34#Other specify 2##34# ##334#Specifies if the second beam quality is other##334#</v>
      </c>
      <c r="L118" s="12" t="str">
        <f t="shared" si="3"/>
        <v/>
      </c>
    </row>
    <row r="119" spans="1:12" ht="44.25" x14ac:dyDescent="0.75">
      <c r="A119" s="64">
        <v>108</v>
      </c>
      <c r="B119" s="70" t="s">
        <v>811</v>
      </c>
      <c r="C119" s="2" t="s">
        <v>645</v>
      </c>
      <c r="D119" s="2" t="s">
        <v>646</v>
      </c>
      <c r="E119">
        <v>0</v>
      </c>
      <c r="F119">
        <v>1</v>
      </c>
      <c r="G119" s="62" t="s">
        <v>1</v>
      </c>
      <c r="J119" s="12" t="str">
        <f t="shared" si="2"/>
        <v>* treatmentTechnique2 0..1 string ##34#Treatment technique2##34# ##334#Refers to the type of radiotherapy treatment delivered as second beam##334#</v>
      </c>
      <c r="L119" s="12" t="str">
        <f t="shared" si="3"/>
        <v/>
      </c>
    </row>
    <row r="120" spans="1:12" ht="88.5" x14ac:dyDescent="0.75">
      <c r="A120" s="64">
        <v>109</v>
      </c>
      <c r="B120" s="70" t="s">
        <v>812</v>
      </c>
      <c r="C120" s="2" t="s">
        <v>647</v>
      </c>
      <c r="D120" s="2" t="s">
        <v>648</v>
      </c>
      <c r="E120">
        <v>0</v>
      </c>
      <c r="F120">
        <v>1</v>
      </c>
      <c r="G120" s="62"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x14ac:dyDescent="0.75">
      <c r="A121" s="64">
        <v>110</v>
      </c>
      <c r="B121" s="70" t="s">
        <v>813</v>
      </c>
      <c r="C121" s="2" t="s">
        <v>649</v>
      </c>
      <c r="D121" s="2" t="s">
        <v>650</v>
      </c>
      <c r="E121">
        <v>0</v>
      </c>
      <c r="F121">
        <v>1</v>
      </c>
      <c r="G121" s="62" t="s">
        <v>45</v>
      </c>
      <c r="J121" s="12" t="str">
        <f t="shared" si="2"/>
        <v>* startDate 0..1 date ##34#Start date##34# ##334#Date when  the first radiation treatment was delivered##334#</v>
      </c>
      <c r="L121" s="12" t="str">
        <f t="shared" si="3"/>
        <v/>
      </c>
    </row>
    <row r="122" spans="1:12" ht="44.25" x14ac:dyDescent="0.75">
      <c r="A122" s="64">
        <v>111</v>
      </c>
      <c r="B122" s="70" t="s">
        <v>814</v>
      </c>
      <c r="C122" s="2" t="s">
        <v>651</v>
      </c>
      <c r="D122" s="2" t="s">
        <v>652</v>
      </c>
      <c r="E122">
        <v>0</v>
      </c>
      <c r="F122">
        <v>1</v>
      </c>
      <c r="G122" s="62" t="s">
        <v>45</v>
      </c>
      <c r="J122" s="12" t="str">
        <f t="shared" si="2"/>
        <v>* startDateRadiotherapyDayUnknown 0..1 date ##34#Start date radiotherapy day unknown##34# ##334#Describes if the day of start radiotherapy  is unknwon##334#</v>
      </c>
      <c r="L122" s="12" t="str">
        <f t="shared" si="3"/>
        <v/>
      </c>
    </row>
    <row r="123" spans="1:12" ht="29.5" x14ac:dyDescent="0.75">
      <c r="A123" s="64">
        <v>112</v>
      </c>
      <c r="B123" s="70" t="s">
        <v>815</v>
      </c>
      <c r="C123" s="2" t="s">
        <v>653</v>
      </c>
      <c r="D123" s="2" t="s">
        <v>654</v>
      </c>
      <c r="E123">
        <v>0</v>
      </c>
      <c r="F123">
        <v>1</v>
      </c>
      <c r="G123" s="62" t="s">
        <v>45</v>
      </c>
      <c r="J123" s="12" t="str">
        <f t="shared" si="2"/>
        <v>* endDate 0..1 date ##34#End  date##34# ##334#Date when the last radiation treatment ended##334#</v>
      </c>
      <c r="L123" s="12" t="str">
        <f t="shared" si="3"/>
        <v/>
      </c>
    </row>
    <row r="124" spans="1:12" ht="44.25" x14ac:dyDescent="0.75">
      <c r="A124" s="64">
        <v>113</v>
      </c>
      <c r="B124" s="70" t="s">
        <v>816</v>
      </c>
      <c r="C124" s="2" t="s">
        <v>655</v>
      </c>
      <c r="D124" s="2" t="s">
        <v>656</v>
      </c>
      <c r="E124">
        <v>0</v>
      </c>
      <c r="F124">
        <v>1</v>
      </c>
      <c r="G124" s="62" t="s">
        <v>45</v>
      </c>
      <c r="J124" s="12" t="str">
        <f t="shared" si="2"/>
        <v>* endDateRadiotherapyDayUnknown 0..1 date ##34#End date radiotherapy day unknown##34# ##334#Describes if the day of end of radiotherapy  is unknwon##334#</v>
      </c>
      <c r="L124" s="12" t="str">
        <f t="shared" si="3"/>
        <v/>
      </c>
    </row>
    <row r="125" spans="1:12" ht="73.75" x14ac:dyDescent="0.75">
      <c r="A125" s="64">
        <v>114</v>
      </c>
      <c r="B125" s="70" t="s">
        <v>817</v>
      </c>
      <c r="C125" s="2" t="s">
        <v>657</v>
      </c>
      <c r="D125" s="2" t="s">
        <v>658</v>
      </c>
      <c r="E125">
        <v>0</v>
      </c>
      <c r="F125">
        <v>1</v>
      </c>
      <c r="G125" s="62"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x14ac:dyDescent="0.75">
      <c r="A126" s="64">
        <v>115</v>
      </c>
      <c r="B126" s="70" t="s">
        <v>818</v>
      </c>
      <c r="C126" s="2" t="s">
        <v>659</v>
      </c>
      <c r="D126" s="2" t="s">
        <v>660</v>
      </c>
      <c r="E126">
        <v>0</v>
      </c>
      <c r="F126">
        <v>1</v>
      </c>
      <c r="G126" s="62" t="s">
        <v>616</v>
      </c>
      <c r="J126" s="12" t="str">
        <f t="shared" si="2"/>
        <v>* treatmentDaysMissed 0..1 Quantity ##34#Treatment days missed##34# ##334#Refers to the number of days missed during treatment##334#</v>
      </c>
      <c r="L126" s="12" t="str">
        <f t="shared" si="3"/>
        <v/>
      </c>
    </row>
    <row r="127" spans="1:12" ht="44.25" x14ac:dyDescent="0.75">
      <c r="A127" s="64">
        <v>116</v>
      </c>
      <c r="B127" s="70" t="s">
        <v>819</v>
      </c>
      <c r="C127" s="2" t="s">
        <v>661</v>
      </c>
      <c r="D127" s="2" t="s">
        <v>662</v>
      </c>
      <c r="E127">
        <v>0</v>
      </c>
      <c r="F127">
        <v>1</v>
      </c>
      <c r="G127" s="62" t="s">
        <v>616</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x14ac:dyDescent="0.75">
      <c r="A128" s="64">
        <v>117</v>
      </c>
      <c r="B128" s="70" t="s">
        <v>820</v>
      </c>
      <c r="C128" s="2" t="s">
        <v>663</v>
      </c>
      <c r="D128" s="2" t="s">
        <v>664</v>
      </c>
      <c r="E128">
        <v>0</v>
      </c>
      <c r="F128">
        <v>1</v>
      </c>
      <c r="G128" s="62" t="s">
        <v>616</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x14ac:dyDescent="0.75">
      <c r="A129" s="64">
        <v>118</v>
      </c>
      <c r="B129" s="70" t="s">
        <v>821</v>
      </c>
      <c r="C129" s="2" t="s">
        <v>665</v>
      </c>
      <c r="D129" s="2" t="s">
        <v>666</v>
      </c>
      <c r="E129">
        <v>0</v>
      </c>
      <c r="F129">
        <v>1</v>
      </c>
      <c r="G129" s="62"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x14ac:dyDescent="0.75">
      <c r="A130" s="64">
        <v>119</v>
      </c>
      <c r="B130" s="70" t="s">
        <v>822</v>
      </c>
      <c r="C130" s="2" t="s">
        <v>667</v>
      </c>
      <c r="D130" s="67" t="s">
        <v>667</v>
      </c>
      <c r="E130">
        <v>0</v>
      </c>
      <c r="F130">
        <v>1</v>
      </c>
      <c r="G130" t="s">
        <v>2</v>
      </c>
      <c r="J130" s="12" t="str">
        <f t="shared" si="2"/>
        <v>* primary 0..1 BackboneElement ##34#Primary ##34# ##334#Primary ##334#</v>
      </c>
      <c r="L130" s="12" t="str">
        <f t="shared" si="3"/>
        <v/>
      </c>
    </row>
    <row r="131" spans="1:12" x14ac:dyDescent="0.75">
      <c r="A131" s="64">
        <v>120</v>
      </c>
      <c r="B131" s="70" t="s">
        <v>823</v>
      </c>
      <c r="C131" s="2" t="s">
        <v>668</v>
      </c>
      <c r="D131" s="67" t="s">
        <v>668</v>
      </c>
      <c r="E131">
        <v>0</v>
      </c>
      <c r="F131">
        <v>1</v>
      </c>
      <c r="G131" t="s">
        <v>2</v>
      </c>
      <c r="J131" s="12" t="str">
        <f t="shared" si="2"/>
        <v>* neck 0..1 BackboneElement ##34#Neck ##34# ##334#Neck ##334#</v>
      </c>
      <c r="L131" s="12" t="str">
        <f t="shared" si="3"/>
        <v/>
      </c>
    </row>
    <row r="132" spans="1:12" ht="29.5" x14ac:dyDescent="0.75">
      <c r="A132" s="64">
        <v>121</v>
      </c>
      <c r="B132" s="70" t="s">
        <v>824</v>
      </c>
      <c r="C132" s="2" t="s">
        <v>669</v>
      </c>
      <c r="D132" s="67" t="s">
        <v>669</v>
      </c>
      <c r="E132">
        <v>0</v>
      </c>
      <c r="F132">
        <v>1</v>
      </c>
      <c r="G132" t="s">
        <v>2</v>
      </c>
      <c r="J132" s="12" t="str">
        <f t="shared" si="2"/>
        <v>* primaryAndIpsilateralNeck 0..1 BackboneElement ##34#Primary and Ipsilateral Neck##34# ##334#Primary and Ipsilateral Neck##334#</v>
      </c>
      <c r="L132" s="12" t="str">
        <f t="shared" si="3"/>
        <v/>
      </c>
    </row>
    <row r="133" spans="1:12" ht="29.5" x14ac:dyDescent="0.75">
      <c r="A133" s="64">
        <v>122</v>
      </c>
      <c r="B133" s="70" t="s">
        <v>825</v>
      </c>
      <c r="C133" s="2" t="s">
        <v>670</v>
      </c>
      <c r="D133" s="67" t="s">
        <v>670</v>
      </c>
      <c r="E133">
        <v>0</v>
      </c>
      <c r="F133">
        <v>1</v>
      </c>
      <c r="G133" t="s">
        <v>2</v>
      </c>
      <c r="J133" s="12" t="str">
        <f t="shared" si="2"/>
        <v>* primaryAndBilateralNeck 0..1 BackboneElement ##34#Primary and Bilateral Neck##34# ##334#Primary and Bilateral Neck##334#</v>
      </c>
      <c r="L133" s="12" t="str">
        <f t="shared" si="3"/>
        <v/>
      </c>
    </row>
    <row r="134" spans="1:12" ht="29.5" x14ac:dyDescent="0.75">
      <c r="A134" s="64">
        <v>123</v>
      </c>
      <c r="B134" s="70" t="s">
        <v>826</v>
      </c>
      <c r="C134" s="2" t="s">
        <v>671</v>
      </c>
      <c r="D134" s="67" t="s">
        <v>671</v>
      </c>
      <c r="E134">
        <v>0</v>
      </c>
      <c r="F134">
        <v>1</v>
      </c>
      <c r="G134" t="s">
        <v>2</v>
      </c>
      <c r="J134" s="12" t="str">
        <f t="shared" si="2"/>
        <v>* distantMetastasis 0..1 BackboneElement ##34#Distant Metastasis##34# ##334#Distant Metastasis##334#</v>
      </c>
      <c r="L134" s="12" t="str">
        <f t="shared" si="3"/>
        <v/>
      </c>
    </row>
    <row r="135" spans="1:12" ht="44.25" x14ac:dyDescent="0.75">
      <c r="A135" s="64">
        <v>124</v>
      </c>
      <c r="B135" s="70" t="s">
        <v>827</v>
      </c>
      <c r="C135" s="2" t="s">
        <v>672</v>
      </c>
      <c r="D135" s="2" t="s">
        <v>673</v>
      </c>
      <c r="E135">
        <v>0</v>
      </c>
      <c r="F135">
        <v>1</v>
      </c>
      <c r="G135" s="62"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x14ac:dyDescent="0.75">
      <c r="A136" s="64">
        <v>125</v>
      </c>
      <c r="B136" s="44" t="s">
        <v>828</v>
      </c>
      <c r="C136" s="2" t="s">
        <v>674</v>
      </c>
      <c r="D136" s="67" t="s">
        <v>674</v>
      </c>
      <c r="E136">
        <v>0</v>
      </c>
      <c r="F136">
        <v>1</v>
      </c>
      <c r="G136" t="s">
        <v>2</v>
      </c>
      <c r="J136" s="12" t="str">
        <f t="shared" ref="J136:J177" si="4">CONCATENATE("* ",B136, " ",E136,"..",F136," ",G136," ##34#",C136,"##34# ##334#",D136,"##334#")</f>
        <v>* lung
 0..1 BackboneElement ##34#Lung
##34# ##334#Lung
##334#</v>
      </c>
      <c r="L136" s="12" t="str">
        <f t="shared" si="3"/>
        <v/>
      </c>
    </row>
    <row r="137" spans="1:12" ht="59" x14ac:dyDescent="0.75">
      <c r="A137" s="64">
        <v>126</v>
      </c>
      <c r="B137" s="44" t="s">
        <v>829</v>
      </c>
      <c r="C137" s="2" t="s">
        <v>675</v>
      </c>
      <c r="D137" s="67" t="s">
        <v>675</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x14ac:dyDescent="0.75">
      <c r="A138" s="64">
        <v>127</v>
      </c>
      <c r="B138" s="44" t="s">
        <v>830</v>
      </c>
      <c r="C138" s="2" t="s">
        <v>676</v>
      </c>
      <c r="D138" s="67" t="s">
        <v>676</v>
      </c>
      <c r="E138">
        <v>0</v>
      </c>
      <c r="F138">
        <v>1</v>
      </c>
      <c r="G138" t="s">
        <v>2</v>
      </c>
      <c r="J138" s="12" t="str">
        <f t="shared" si="4"/>
        <v>* bone
 0..1 BackboneElement ##34#Bone
##34# ##334#Bone
##334#</v>
      </c>
      <c r="L138" s="12" t="str">
        <f t="shared" si="5"/>
        <v/>
      </c>
    </row>
    <row r="139" spans="1:12" ht="59" x14ac:dyDescent="0.75">
      <c r="A139" s="64">
        <v>128</v>
      </c>
      <c r="B139" s="44" t="s">
        <v>831</v>
      </c>
      <c r="C139" s="2" t="s">
        <v>677</v>
      </c>
      <c r="D139" s="67" t="s">
        <v>677</v>
      </c>
      <c r="E139">
        <v>0</v>
      </c>
      <c r="F139">
        <v>1</v>
      </c>
      <c r="G139" t="s">
        <v>2</v>
      </c>
      <c r="J139" s="12" t="str">
        <f t="shared" si="4"/>
        <v>* softTissue
 0..1 BackboneElement ##34#Soft Tissue
##34# ##334#Soft Tissue
##334#</v>
      </c>
      <c r="L139" s="12" t="str">
        <f t="shared" si="5"/>
        <v/>
      </c>
    </row>
    <row r="140" spans="1:12" ht="59" x14ac:dyDescent="0.75">
      <c r="A140" s="64">
        <v>129</v>
      </c>
      <c r="B140" s="44" t="s">
        <v>832</v>
      </c>
      <c r="C140" s="2" t="s">
        <v>678</v>
      </c>
      <c r="D140" s="67" t="s">
        <v>678</v>
      </c>
      <c r="E140">
        <v>0</v>
      </c>
      <c r="F140">
        <v>1</v>
      </c>
      <c r="G140" t="s">
        <v>2</v>
      </c>
      <c r="J140" s="12" t="str">
        <f t="shared" si="4"/>
        <v>* liver
 0..1 BackboneElement ##34#Liver
##34# ##334#Liver
##334#</v>
      </c>
      <c r="L140" s="12" t="str">
        <f t="shared" si="5"/>
        <v/>
      </c>
    </row>
    <row r="141" spans="1:12" ht="29.5" x14ac:dyDescent="0.75">
      <c r="A141" s="64">
        <v>130</v>
      </c>
      <c r="B141" s="70" t="s">
        <v>317</v>
      </c>
      <c r="C141" s="2" t="s">
        <v>210</v>
      </c>
      <c r="D141" s="67" t="s">
        <v>210</v>
      </c>
      <c r="E141">
        <v>0</v>
      </c>
      <c r="F141">
        <v>1</v>
      </c>
      <c r="G141" t="s">
        <v>2</v>
      </c>
      <c r="J141" s="12" t="str">
        <f t="shared" si="4"/>
        <v>* unknown 0..1 BackboneElement ##34#Unknown##34# ##334#Unknown##334#</v>
      </c>
      <c r="L141" s="12" t="str">
        <f t="shared" si="5"/>
        <v/>
      </c>
    </row>
    <row r="142" spans="1:12" x14ac:dyDescent="0.75">
      <c r="A142" s="64">
        <v>131</v>
      </c>
      <c r="B142" s="70" t="s">
        <v>833</v>
      </c>
      <c r="C142" s="2" t="s">
        <v>679</v>
      </c>
      <c r="D142" s="67" t="s">
        <v>679</v>
      </c>
      <c r="E142">
        <v>0</v>
      </c>
      <c r="F142">
        <v>1</v>
      </c>
      <c r="G142" t="s">
        <v>2</v>
      </c>
      <c r="J142" s="12" t="str">
        <f t="shared" si="4"/>
        <v>* other 0..1 BackboneElement ##34#Other ##34# ##334#Other ##334#</v>
      </c>
      <c r="L142" s="12" t="str">
        <f t="shared" si="5"/>
        <v/>
      </c>
    </row>
    <row r="143" spans="1:12" ht="29.5" x14ac:dyDescent="0.75">
      <c r="A143" s="64">
        <v>132</v>
      </c>
      <c r="B143" s="70" t="s">
        <v>792</v>
      </c>
      <c r="C143" s="2" t="s">
        <v>609</v>
      </c>
      <c r="D143" s="67" t="s">
        <v>609</v>
      </c>
      <c r="E143">
        <v>0</v>
      </c>
      <c r="F143">
        <v>1</v>
      </c>
      <c r="G143" t="s">
        <v>2</v>
      </c>
      <c r="J143" s="12" t="str">
        <f t="shared" si="4"/>
        <v>* otherSpecify 0..1 BackboneElement ##34#Other specify##34# ##334#Other specify##334#</v>
      </c>
      <c r="L143" s="12" t="str">
        <f t="shared" si="5"/>
        <v/>
      </c>
    </row>
    <row r="144" spans="1:12" ht="59" x14ac:dyDescent="0.75">
      <c r="A144" s="64">
        <v>133</v>
      </c>
      <c r="B144" s="70" t="s">
        <v>834</v>
      </c>
      <c r="C144" s="2" t="s">
        <v>680</v>
      </c>
      <c r="D144" s="2" t="s">
        <v>681</v>
      </c>
      <c r="E144">
        <v>0</v>
      </c>
      <c r="F144">
        <v>1</v>
      </c>
      <c r="G144" s="62"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x14ac:dyDescent="0.75">
      <c r="A145" s="64">
        <v>134</v>
      </c>
      <c r="B145" s="70" t="s">
        <v>835</v>
      </c>
      <c r="C145" s="2" t="s">
        <v>682</v>
      </c>
      <c r="D145" s="2" t="s">
        <v>683</v>
      </c>
      <c r="E145">
        <v>0</v>
      </c>
      <c r="F145">
        <v>1</v>
      </c>
      <c r="G145" s="62" t="s">
        <v>1</v>
      </c>
      <c r="J145" s="12" t="str">
        <f t="shared" si="4"/>
        <v>* neckLevelsIrradiatedLeft 0..1 string ##34#Neck Levels Irradiated Left##34# ##334#Same as above but for the left neck##334#</v>
      </c>
      <c r="L145" s="12" t="str">
        <f t="shared" si="5"/>
        <v/>
      </c>
    </row>
    <row r="146" spans="1:12" ht="44.25" x14ac:dyDescent="0.75">
      <c r="A146" s="64">
        <v>135</v>
      </c>
      <c r="B146" s="70" t="s">
        <v>836</v>
      </c>
      <c r="C146" s="2" t="s">
        <v>684</v>
      </c>
      <c r="D146" s="2" t="s">
        <v>685</v>
      </c>
      <c r="E146">
        <v>0</v>
      </c>
      <c r="F146">
        <v>1</v>
      </c>
      <c r="G146" s="62" t="s">
        <v>1</v>
      </c>
      <c r="J146" s="12" t="str">
        <f t="shared" si="4"/>
        <v>* ctvHighExpansion 0..1 string ##34#CTV High Expansion##34# ##334#Refers to the margin that was used from GTV to CTV for the highest prescription dose##334#</v>
      </c>
      <c r="L146" s="12" t="str">
        <f t="shared" si="5"/>
        <v/>
      </c>
    </row>
    <row r="147" spans="1:12" ht="29.5" x14ac:dyDescent="0.75">
      <c r="A147" s="64">
        <v>136</v>
      </c>
      <c r="B147" s="70" t="s">
        <v>837</v>
      </c>
      <c r="C147" s="2" t="s">
        <v>686</v>
      </c>
      <c r="D147" s="2" t="s">
        <v>687</v>
      </c>
      <c r="E147">
        <v>0</v>
      </c>
      <c r="F147">
        <v>1</v>
      </c>
      <c r="G147" s="62" t="s">
        <v>1</v>
      </c>
      <c r="J147" s="12" t="str">
        <f t="shared" si="4"/>
        <v>* ptvHighExpansion 0..1 string ##34#PTV High expansion##34# ##334#Refers to the margin that was used from CTV to PTV##334#</v>
      </c>
      <c r="L147" s="12" t="str">
        <f t="shared" si="5"/>
        <v/>
      </c>
    </row>
    <row r="148" spans="1:12" ht="29.5" x14ac:dyDescent="0.75">
      <c r="A148" s="64">
        <v>137</v>
      </c>
      <c r="B148" s="70" t="s">
        <v>838</v>
      </c>
      <c r="C148" s="2" t="s">
        <v>688</v>
      </c>
      <c r="D148" s="2" t="s">
        <v>689</v>
      </c>
      <c r="E148">
        <v>0</v>
      </c>
      <c r="F148">
        <v>1</v>
      </c>
      <c r="G148" s="62" t="s">
        <v>1</v>
      </c>
      <c r="J148" s="12" t="str">
        <f t="shared" si="4"/>
        <v>* v60OfSkin 0..1 string ##34#V60 of Skin##34# ##334#Refers to the volume of skin receiving at least 60 Gy##334#</v>
      </c>
      <c r="L148" s="12" t="str">
        <f t="shared" si="5"/>
        <v/>
      </c>
    </row>
    <row r="149" spans="1:12" ht="88.5" x14ac:dyDescent="0.75">
      <c r="A149" s="64">
        <v>138</v>
      </c>
      <c r="B149" s="70" t="s">
        <v>839</v>
      </c>
      <c r="C149" s="2" t="s">
        <v>690</v>
      </c>
      <c r="D149" s="2" t="s">
        <v>648</v>
      </c>
      <c r="E149">
        <v>0</v>
      </c>
      <c r="F149">
        <v>1</v>
      </c>
      <c r="G149" s="62"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x14ac:dyDescent="0.75">
      <c r="A150" s="64">
        <v>139</v>
      </c>
      <c r="B150" s="70" t="s">
        <v>840</v>
      </c>
      <c r="C150" s="2" t="s">
        <v>691</v>
      </c>
      <c r="D150" s="2" t="s">
        <v>692</v>
      </c>
      <c r="E150">
        <v>0</v>
      </c>
      <c r="F150">
        <v>1</v>
      </c>
      <c r="G150" s="62" t="s">
        <v>1</v>
      </c>
      <c r="J150" s="12" t="str">
        <f t="shared" si="4"/>
        <v>* hospitalizedDuringRt 0..1 string ##34#Hospitalized during RT##34# ##334#Did the patient has been hospitalized during RT##334#</v>
      </c>
      <c r="L150" s="12" t="str">
        <f t="shared" si="5"/>
        <v/>
      </c>
    </row>
    <row r="151" spans="1:12" ht="29.5" x14ac:dyDescent="0.75">
      <c r="A151" s="64">
        <v>140</v>
      </c>
      <c r="B151" s="70" t="s">
        <v>841</v>
      </c>
      <c r="C151" s="2" t="s">
        <v>693</v>
      </c>
      <c r="D151" s="2" t="s">
        <v>694</v>
      </c>
      <c r="E151">
        <v>0</v>
      </c>
      <c r="F151">
        <v>1</v>
      </c>
      <c r="G151" s="62" t="s">
        <v>1</v>
      </c>
      <c r="J151" s="12" t="str">
        <f t="shared" si="4"/>
        <v>* carotidBlowout 0..1 string ##34#Carotid Blowout ##34# ##334#Did the patient develop a carotid blow out during or after radiation##334#</v>
      </c>
      <c r="L151" s="12" t="str">
        <f t="shared" si="5"/>
        <v/>
      </c>
    </row>
    <row r="152" spans="1:12" ht="29.5" x14ac:dyDescent="0.75">
      <c r="A152" s="64">
        <v>141</v>
      </c>
      <c r="B152" s="70" t="s">
        <v>842</v>
      </c>
      <c r="C152" s="2" t="s">
        <v>695</v>
      </c>
      <c r="D152" s="2" t="s">
        <v>696</v>
      </c>
      <c r="E152">
        <v>0</v>
      </c>
      <c r="F152">
        <v>1</v>
      </c>
      <c r="G152" s="62" t="s">
        <v>1</v>
      </c>
      <c r="J152" s="12" t="str">
        <f t="shared" si="4"/>
        <v>* feedingTubeDuringRt 0..1 string ##34#Feeding Tube during RT##34# ##334#Was a feeding tube required after RT##334#</v>
      </c>
      <c r="L152" s="12" t="str">
        <f t="shared" si="5"/>
        <v/>
      </c>
    </row>
    <row r="153" spans="1:12" ht="44.25" x14ac:dyDescent="0.75">
      <c r="A153" s="64">
        <v>142</v>
      </c>
      <c r="B153" s="70" t="s">
        <v>843</v>
      </c>
      <c r="C153" s="2" t="s">
        <v>697</v>
      </c>
      <c r="D153" s="2" t="s">
        <v>698</v>
      </c>
      <c r="E153">
        <v>0</v>
      </c>
      <c r="F153">
        <v>1</v>
      </c>
      <c r="G153" s="62" t="s">
        <v>1</v>
      </c>
      <c r="J153" s="12" t="str">
        <f t="shared" si="4"/>
        <v>* feedingTubeReason 0..1 string ##34#Feeding Tube reason##34# ##334#Was the feeding tube placed only prophylactically or reactively due to significant weight loss during treatment##334#</v>
      </c>
      <c r="L153" s="12" t="str">
        <f t="shared" si="5"/>
        <v/>
      </c>
    </row>
    <row r="154" spans="1:12" ht="29.5" x14ac:dyDescent="0.75">
      <c r="A154" s="64">
        <v>143</v>
      </c>
      <c r="B154" s="70" t="s">
        <v>844</v>
      </c>
      <c r="C154" s="2" t="s">
        <v>699</v>
      </c>
      <c r="D154" s="2" t="s">
        <v>700</v>
      </c>
      <c r="E154">
        <v>0</v>
      </c>
      <c r="F154">
        <v>1</v>
      </c>
      <c r="G154" s="62" t="s">
        <v>1</v>
      </c>
      <c r="J154" s="12" t="str">
        <f t="shared" si="4"/>
        <v>* smokingDuringRt 0..1 string ##34#Smoking during RT##34# ##334#Did the patient smoke cigarettes during radiation##334#</v>
      </c>
      <c r="L154" s="12" t="str">
        <f t="shared" si="5"/>
        <v/>
      </c>
    </row>
    <row r="155" spans="1:12" ht="29.5" x14ac:dyDescent="0.75">
      <c r="A155" s="64">
        <v>144</v>
      </c>
      <c r="B155" s="70" t="s">
        <v>845</v>
      </c>
      <c r="C155" s="2" t="s">
        <v>701</v>
      </c>
      <c r="D155" s="2" t="s">
        <v>702</v>
      </c>
      <c r="E155">
        <v>0</v>
      </c>
      <c r="F155">
        <v>1</v>
      </c>
      <c r="G155" s="62" t="s">
        <v>1</v>
      </c>
      <c r="J155" s="12" t="str">
        <f t="shared" si="4"/>
        <v>* alcoholDuringRt 0..1 string ##34#Alcohol during RT##34# ##334#Did the patient drink alcohol during radiation##334#</v>
      </c>
      <c r="L155" s="12" t="str">
        <f t="shared" si="5"/>
        <v/>
      </c>
    </row>
    <row r="156" spans="1:12" ht="29.5" x14ac:dyDescent="0.75">
      <c r="A156" s="64">
        <v>145</v>
      </c>
      <c r="B156" s="70" t="s">
        <v>846</v>
      </c>
      <c r="C156" s="2" t="s">
        <v>703</v>
      </c>
      <c r="D156" s="67" t="s">
        <v>703</v>
      </c>
      <c r="E156">
        <v>0</v>
      </c>
      <c r="F156">
        <v>1</v>
      </c>
      <c r="G156" t="s">
        <v>2</v>
      </c>
      <c r="J156" s="12" t="str">
        <f t="shared" si="4"/>
        <v>* otherTypeOfTreatment 0..1 BackboneElement ##34#Other type of treatment##34# ##334#Other type of treatment##334#</v>
      </c>
      <c r="L156" s="12" t="str">
        <f t="shared" si="5"/>
        <v/>
      </c>
    </row>
    <row r="157" spans="1:12" ht="29.5" x14ac:dyDescent="0.75">
      <c r="A157" s="64">
        <v>146</v>
      </c>
      <c r="B157" s="70" t="s">
        <v>847</v>
      </c>
      <c r="C157" s="2" t="s">
        <v>704</v>
      </c>
      <c r="D157" s="67" t="s">
        <v>704</v>
      </c>
      <c r="E157">
        <v>0</v>
      </c>
      <c r="F157">
        <v>1</v>
      </c>
      <c r="G157" t="s">
        <v>2</v>
      </c>
      <c r="J157" s="12" t="str">
        <f t="shared" si="4"/>
        <v>* otherTreatmentPerformed 0..1 BackboneElement ##34#Other treatment performed##34# ##334#Other treatment performed##334#</v>
      </c>
      <c r="L157" s="12" t="str">
        <f t="shared" si="5"/>
        <v/>
      </c>
    </row>
    <row r="158" spans="1:12" ht="29.5" x14ac:dyDescent="0.75">
      <c r="A158" s="64">
        <v>147</v>
      </c>
      <c r="B158" s="70" t="s">
        <v>848</v>
      </c>
      <c r="C158" s="2" t="s">
        <v>705</v>
      </c>
      <c r="D158" s="67" t="s">
        <v>705</v>
      </c>
      <c r="E158">
        <v>0</v>
      </c>
      <c r="F158">
        <v>1</v>
      </c>
      <c r="G158" t="s">
        <v>2</v>
      </c>
      <c r="J158" s="12" t="str">
        <f t="shared" si="4"/>
        <v>* dateOfStart 0..1 BackboneElement ##34#Date of start other treatment ##34# ##334#Date of start other treatment ##334#</v>
      </c>
      <c r="L158" s="12" t="str">
        <f t="shared" si="5"/>
        <v/>
      </c>
    </row>
    <row r="159" spans="1:12" ht="44.25" x14ac:dyDescent="0.75">
      <c r="A159" s="64">
        <v>148</v>
      </c>
      <c r="B159" s="70" t="s">
        <v>849</v>
      </c>
      <c r="C159" s="2" t="s">
        <v>706</v>
      </c>
      <c r="D159" s="67" t="s">
        <v>706</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x14ac:dyDescent="0.75">
      <c r="A160" s="64">
        <v>149</v>
      </c>
      <c r="B160" s="70" t="s">
        <v>850</v>
      </c>
      <c r="C160" s="2" t="s">
        <v>707</v>
      </c>
      <c r="D160" s="67" t="s">
        <v>707</v>
      </c>
      <c r="E160">
        <v>0</v>
      </c>
      <c r="F160">
        <v>1</v>
      </c>
      <c r="G160" t="s">
        <v>2</v>
      </c>
      <c r="J160" s="12" t="str">
        <f t="shared" si="4"/>
        <v>* dateOfEnd 0..1 BackboneElement ##34#Date of end other treatment ##34# ##334#Date of end other treatment ##334#</v>
      </c>
      <c r="L160" s="12" t="str">
        <f t="shared" si="5"/>
        <v/>
      </c>
    </row>
    <row r="161" spans="1:12" ht="44.25" x14ac:dyDescent="0.75">
      <c r="A161" s="64">
        <v>150</v>
      </c>
      <c r="B161" s="70" t="s">
        <v>851</v>
      </c>
      <c r="C161" s="2" t="s">
        <v>708</v>
      </c>
      <c r="D161" s="67" t="s">
        <v>708</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x14ac:dyDescent="0.75">
      <c r="A162" s="64">
        <v>151</v>
      </c>
      <c r="B162" s="70" t="s">
        <v>852</v>
      </c>
      <c r="C162" s="2" t="s">
        <v>67</v>
      </c>
      <c r="D162" s="67" t="s">
        <v>67</v>
      </c>
      <c r="E162">
        <v>0</v>
      </c>
      <c r="F162">
        <v>1</v>
      </c>
      <c r="G162" t="s">
        <v>2</v>
      </c>
      <c r="J162" s="12" t="str">
        <f t="shared" si="4"/>
        <v>* type 0..1 BackboneElement ##34#Type##34# ##334#Type##334#</v>
      </c>
      <c r="L162" s="12" t="str">
        <f t="shared" si="5"/>
        <v/>
      </c>
    </row>
    <row r="163" spans="1:12" ht="29.5" x14ac:dyDescent="0.75">
      <c r="A163" s="64">
        <v>152</v>
      </c>
      <c r="B163" s="70" t="s">
        <v>853</v>
      </c>
      <c r="C163" s="2" t="s">
        <v>690</v>
      </c>
      <c r="D163" s="67" t="s">
        <v>690</v>
      </c>
      <c r="E163">
        <v>0</v>
      </c>
      <c r="F163">
        <v>1</v>
      </c>
      <c r="G163" t="s">
        <v>2</v>
      </c>
      <c r="J163" s="12" t="str">
        <f t="shared" si="4"/>
        <v>* treatmentCompleted 0..1 BackboneElement ##34#Treatment Completed as Planned ##34# ##334#Treatment Completed as Planned ##334#</v>
      </c>
      <c r="L163" s="12" t="str">
        <f t="shared" si="5"/>
        <v/>
      </c>
    </row>
    <row r="164" spans="1:12" ht="29.5" x14ac:dyDescent="0.75">
      <c r="A164" s="64">
        <v>153</v>
      </c>
      <c r="B164" s="70" t="s">
        <v>854</v>
      </c>
      <c r="C164" s="2" t="s">
        <v>709</v>
      </c>
      <c r="D164" s="67" t="s">
        <v>709</v>
      </c>
      <c r="E164">
        <v>0</v>
      </c>
      <c r="F164">
        <v>1</v>
      </c>
      <c r="G164" t="s">
        <v>2</v>
      </c>
      <c r="J164" s="12" t="str">
        <f t="shared" si="4"/>
        <v>* overallTreatmentResponse 0..1 BackboneElement ##34#Overall treatment response##34# ##334#Overall treatment response##334#</v>
      </c>
      <c r="L164" s="12" t="str">
        <f t="shared" si="5"/>
        <v/>
      </c>
    </row>
    <row r="165" spans="1:12" ht="59" x14ac:dyDescent="0.75">
      <c r="A165" s="64">
        <v>154</v>
      </c>
      <c r="B165" s="68" t="s">
        <v>871</v>
      </c>
      <c r="C165" s="2" t="s">
        <v>591</v>
      </c>
      <c r="D165" s="67" t="s">
        <v>591</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x14ac:dyDescent="0.75">
      <c r="A166" s="64">
        <v>155</v>
      </c>
      <c r="B166" s="70" t="s">
        <v>855</v>
      </c>
      <c r="C166" s="2" t="s">
        <v>593</v>
      </c>
      <c r="D166" s="67" t="s">
        <v>593</v>
      </c>
      <c r="E166">
        <v>0</v>
      </c>
      <c r="F166">
        <v>1</v>
      </c>
      <c r="G166" t="s">
        <v>2</v>
      </c>
      <c r="J166" s="12" t="str">
        <f t="shared" si="4"/>
        <v>* treatmentResponseDefineddone 0..1 BackboneElement ##34#Treatment response defineddone##34# ##334#Treatment response defineddone##334#</v>
      </c>
      <c r="L166" s="12" t="str">
        <f t="shared" si="5"/>
        <v/>
      </c>
    </row>
    <row r="167" spans="1:12" ht="44.25" x14ac:dyDescent="0.75">
      <c r="A167" s="64">
        <v>156</v>
      </c>
      <c r="B167" s="70" t="s">
        <v>856</v>
      </c>
      <c r="C167" s="2" t="s">
        <v>710</v>
      </c>
      <c r="D167" s="67" t="s">
        <v>710</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x14ac:dyDescent="0.75">
      <c r="A168" s="64">
        <v>157</v>
      </c>
      <c r="B168" s="70" t="s">
        <v>857</v>
      </c>
      <c r="C168" s="2" t="s">
        <v>711</v>
      </c>
      <c r="D168" s="67" t="s">
        <v>711</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x14ac:dyDescent="0.75">
      <c r="A169" s="64">
        <v>158</v>
      </c>
      <c r="B169" s="70" t="s">
        <v>858</v>
      </c>
      <c r="C169" s="2" t="s">
        <v>712</v>
      </c>
      <c r="D169" s="67" t="s">
        <v>712</v>
      </c>
      <c r="E169">
        <v>0</v>
      </c>
      <c r="F169">
        <v>1</v>
      </c>
      <c r="G169" t="s">
        <v>2</v>
      </c>
      <c r="J169" s="12" t="str">
        <f t="shared" si="4"/>
        <v>* clinicalTrialCode 0..1 BackboneElement ##34#Clinical trial code##34# ##334#Clinical trial code##334#</v>
      </c>
      <c r="L169" s="12" t="str">
        <f t="shared" si="5"/>
        <v/>
      </c>
    </row>
    <row r="170" spans="1:12" ht="29.5" x14ac:dyDescent="0.75">
      <c r="A170" s="64">
        <v>159</v>
      </c>
      <c r="B170" s="76" t="s">
        <v>176</v>
      </c>
      <c r="C170" s="2" t="s">
        <v>166</v>
      </c>
      <c r="D170" s="67" t="s">
        <v>166</v>
      </c>
      <c r="E170">
        <v>0</v>
      </c>
      <c r="F170">
        <v>1</v>
      </c>
      <c r="G170" t="s">
        <v>2</v>
      </c>
      <c r="J170" s="12" t="str">
        <f t="shared" si="4"/>
        <v>* instrumentStatus 0..1 BackboneElement ##34#Instrument status##34# ##334#Instrument status##334#</v>
      </c>
      <c r="L170" s="12" t="str">
        <f t="shared" si="5"/>
        <v/>
      </c>
    </row>
    <row r="171" spans="1:12" x14ac:dyDescent="0.75">
      <c r="J171" s="12" t="str">
        <f t="shared" si="4"/>
        <v>*  ..  ##34###34# ##334###334#</v>
      </c>
      <c r="L171" s="12" t="str">
        <f t="shared" si="5"/>
        <v>*  ..  ##34###34# ##334###334#</v>
      </c>
    </row>
    <row r="172" spans="1:12" x14ac:dyDescent="0.75">
      <c r="J172" s="12" t="str">
        <f t="shared" si="4"/>
        <v>*  ..  ##34###34# ##334###334#</v>
      </c>
      <c r="L172" s="12" t="str">
        <f t="shared" si="5"/>
        <v>*  ..  ##34###34# ##334###334#</v>
      </c>
    </row>
    <row r="173" spans="1:12" x14ac:dyDescent="0.75">
      <c r="J173" s="12" t="str">
        <f t="shared" si="4"/>
        <v>*  ..  ##34###34# ##334###334#</v>
      </c>
      <c r="L173" s="12" t="str">
        <f t="shared" si="5"/>
        <v>*  ..  ##34###34# ##334###334#</v>
      </c>
    </row>
    <row r="174" spans="1:12" x14ac:dyDescent="0.75">
      <c r="J174" s="12" t="str">
        <f t="shared" si="4"/>
        <v>*  ..  ##34###34# ##334###334#</v>
      </c>
      <c r="L174" s="12" t="str">
        <f t="shared" si="5"/>
        <v>*  ..  ##34###34# ##334###334#</v>
      </c>
    </row>
    <row r="175" spans="1:12" x14ac:dyDescent="0.75">
      <c r="J175" s="12" t="str">
        <f t="shared" si="4"/>
        <v>*  ..  ##34###34# ##334###334#</v>
      </c>
      <c r="L175" s="12" t="str">
        <f t="shared" si="5"/>
        <v>*  ..  ##34###34# ##334###334#</v>
      </c>
    </row>
    <row r="176" spans="1:12" x14ac:dyDescent="0.75">
      <c r="J176" s="12" t="str">
        <f t="shared" si="4"/>
        <v>*  ..  ##34###34# ##334###334#</v>
      </c>
      <c r="L176" s="12" t="str">
        <f t="shared" si="5"/>
        <v>*  ..  ##34###34# ##334###334#</v>
      </c>
    </row>
    <row r="177" spans="10:12" x14ac:dyDescent="0.75">
      <c r="J177" s="12" t="str">
        <f t="shared" si="4"/>
        <v>*  ..  ##34###34# ##334###334#</v>
      </c>
      <c r="L177" s="12" t="str">
        <f t="shared" si="5"/>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867</v>
      </c>
      <c r="E4" s="20" t="str">
        <f>CONCATENATE("Mapping: ",C4)</f>
        <v>Mapping: I4RCTreatment2Fhir</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868</v>
      </c>
      <c r="E6" s="21" t="str">
        <f>CONCATENATE("Title: ##34#",C6,"##34#")</f>
        <v>Title: ##34#Idea4RC Treatment model to FHIR R4 Map##34#</v>
      </c>
      <c r="H6" s="7"/>
      <c r="I6" s="7"/>
      <c r="J6" s="7"/>
      <c r="K6" s="7"/>
      <c r="L6" s="7"/>
      <c r="M6" s="7"/>
      <c r="N6" s="7"/>
      <c r="O6" s="7"/>
    </row>
    <row r="7" spans="1:15" ht="15.5" thickBot="1" x14ac:dyDescent="0.9">
      <c r="B7" s="10" t="s">
        <v>19</v>
      </c>
      <c r="C7" s="8" t="str">
        <f>B9</f>
        <v>Treatment</v>
      </c>
      <c r="E7" s="21" t="str">
        <f>CONCATENATE("Source: ",C7)</f>
        <v>Source: Treatment</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Treatment!B5</f>
        <v>Treatment</v>
      </c>
      <c r="C9" s="6" t="s">
        <v>168</v>
      </c>
      <c r="E9" s="28" t="str">
        <f>CONCATENATE("* -&gt; ##34#",C9,"##34#")</f>
        <v>* -&gt; ##34#TBD##34#</v>
      </c>
      <c r="H9" s="7"/>
      <c r="I9" s="7"/>
      <c r="J9" s="7"/>
      <c r="K9" s="7"/>
      <c r="L9" s="7"/>
      <c r="M9" s="7"/>
      <c r="N9" s="7"/>
      <c r="O9" s="7"/>
    </row>
    <row r="10" spans="1:15" x14ac:dyDescent="0.75">
      <c r="A10" s="11"/>
      <c r="B10" s="11" t="str">
        <f>Treatment!B8</f>
        <v>surgery</v>
      </c>
      <c r="C10" s="11" t="s">
        <v>168</v>
      </c>
      <c r="E10" s="12" t="str">
        <f t="shared" ref="E10:E73" si="0">IF(B10=0,"*  -&gt; ##34###34#",CONCATENATE("* ",B10," -&gt; ##34#",C10,"##34#"))</f>
        <v>* surgery -&gt; ##34#TBD##34#</v>
      </c>
      <c r="H10" s="7"/>
      <c r="I10" s="7"/>
      <c r="J10" s="7"/>
      <c r="K10" s="7"/>
      <c r="L10" s="7"/>
      <c r="M10" s="7"/>
      <c r="N10" s="7"/>
      <c r="O10" s="7"/>
    </row>
    <row r="11" spans="1:15" x14ac:dyDescent="0.75">
      <c r="A11" s="11"/>
      <c r="B11" s="11" t="str">
        <f>Treatment!B9</f>
        <v>surgeryPerformed</v>
      </c>
      <c r="C11" s="11" t="s">
        <v>168</v>
      </c>
      <c r="E11" s="12" t="str">
        <f t="shared" si="0"/>
        <v>* surgeryPerformed -&gt; ##34#TBD##34#</v>
      </c>
      <c r="H11" s="7"/>
      <c r="I11" s="7"/>
      <c r="J11" s="7"/>
      <c r="K11" s="7"/>
      <c r="L11" s="7"/>
      <c r="M11" s="7"/>
      <c r="N11" s="7"/>
      <c r="O11" s="7"/>
    </row>
    <row r="12" spans="1:15" x14ac:dyDescent="0.75">
      <c r="A12" s="11"/>
      <c r="B12" s="11" t="str">
        <f>Treatment!B10</f>
        <v>dateOfTumourSurgery</v>
      </c>
      <c r="C12" s="11" t="s">
        <v>168</v>
      </c>
      <c r="E12" s="12" t="str">
        <f t="shared" si="0"/>
        <v>* dateOfTumourSurgery -&gt; ##34#TBD##34#</v>
      </c>
      <c r="H12" s="7"/>
      <c r="I12" s="7"/>
      <c r="J12" s="7"/>
      <c r="K12" s="7"/>
      <c r="L12" s="7"/>
      <c r="M12" s="7"/>
      <c r="N12" s="7"/>
      <c r="O12" s="7"/>
    </row>
    <row r="13" spans="1:15" x14ac:dyDescent="0.75">
      <c r="A13" s="11"/>
      <c r="B13" s="11" t="str">
        <f>Treatment!B11</f>
        <v>surgeryIntention</v>
      </c>
      <c r="C13" s="11" t="s">
        <v>168</v>
      </c>
      <c r="E13" s="12" t="str">
        <f t="shared" si="0"/>
        <v>* surgeryIntention -&gt; ##34#TBD##34#</v>
      </c>
      <c r="H13" s="7"/>
      <c r="I13" s="7"/>
      <c r="J13" s="7"/>
      <c r="K13" s="7"/>
      <c r="L13" s="7"/>
      <c r="M13" s="7"/>
      <c r="N13" s="7"/>
      <c r="O13" s="7"/>
    </row>
    <row r="14" spans="1:15" x14ac:dyDescent="0.75">
      <c r="A14" s="11"/>
      <c r="B14" s="11" t="str">
        <f>Treatment!B12</f>
        <v>tumorSurgeryApproach</v>
      </c>
      <c r="C14" s="11" t="s">
        <v>168</v>
      </c>
      <c r="E14" s="12" t="str">
        <f t="shared" si="0"/>
        <v>* tumorSurgeryApproach -&gt; ##34#TBD##34#</v>
      </c>
      <c r="H14" s="7"/>
      <c r="I14" s="7"/>
      <c r="J14" s="7"/>
      <c r="K14" s="7"/>
      <c r="L14" s="7"/>
      <c r="M14" s="7"/>
      <c r="N14" s="7"/>
      <c r="O14" s="7"/>
    </row>
    <row r="15" spans="1:15" x14ac:dyDescent="0.75">
      <c r="A15" s="11"/>
      <c r="B15" s="11" t="str">
        <f>Treatment!B13</f>
        <v>tumorSurgeryDevice</v>
      </c>
      <c r="C15" s="11" t="s">
        <v>168</v>
      </c>
      <c r="E15" s="12" t="str">
        <f t="shared" si="0"/>
        <v>* tumorSurgeryDevice -&gt; ##34#TBD##34#</v>
      </c>
      <c r="H15" s="7"/>
      <c r="I15" s="7"/>
      <c r="J15" s="7"/>
      <c r="K15" s="7"/>
      <c r="L15" s="7"/>
      <c r="M15" s="7"/>
      <c r="N15" s="7"/>
      <c r="O15" s="7"/>
    </row>
    <row r="16" spans="1:15" x14ac:dyDescent="0.75">
      <c r="A16" s="11"/>
      <c r="B16" s="11" t="str">
        <f>Treatment!B14</f>
        <v>surgicalProcedure</v>
      </c>
      <c r="C16" s="11" t="s">
        <v>168</v>
      </c>
      <c r="E16" s="12" t="str">
        <f t="shared" si="0"/>
        <v>* surgicalProcedure -&gt; ##34#TBD##34#</v>
      </c>
      <c r="H16" s="7"/>
      <c r="I16" s="7"/>
      <c r="J16" s="7"/>
      <c r="K16" s="7"/>
      <c r="L16" s="7"/>
      <c r="M16" s="7"/>
      <c r="N16" s="7"/>
      <c r="O16" s="7"/>
    </row>
    <row r="17" spans="1:5" x14ac:dyDescent="0.75">
      <c r="A17" s="11"/>
      <c r="B17" s="11" t="str">
        <f>Treatment!B15</f>
        <v>surgicalProcedure.surgicalProcedureNasopharynx</v>
      </c>
      <c r="C17" s="11" t="s">
        <v>168</v>
      </c>
      <c r="E17" s="12" t="str">
        <f t="shared" si="0"/>
        <v>* surgicalProcedure.surgicalProcedureNasopharynx -&gt; ##34#TBD##34#</v>
      </c>
    </row>
    <row r="18" spans="1:5" x14ac:dyDescent="0.75">
      <c r="A18" s="11"/>
      <c r="B18" s="11" t="str">
        <f>Treatment!B16</f>
        <v>surgicalProcedure.surgicalProcedureNasalCavityAndParanasalSinus</v>
      </c>
      <c r="C18" s="11" t="s">
        <v>168</v>
      </c>
      <c r="E18" s="12" t="str">
        <f t="shared" si="0"/>
        <v>* surgicalProcedure.surgicalProcedureNasalCavityAndParanasalSinus -&gt; ##34#TBD##34#</v>
      </c>
    </row>
    <row r="19" spans="1:5" x14ac:dyDescent="0.75">
      <c r="A19" s="11"/>
      <c r="B19" s="11" t="str">
        <f>Treatment!B17</f>
        <v>surgicalProcedure.surgicalProcedureSalivaryGland</v>
      </c>
      <c r="C19" s="11" t="s">
        <v>168</v>
      </c>
      <c r="E19" s="12" t="str">
        <f t="shared" si="0"/>
        <v>* surgicalProcedure.surgicalProcedureSalivaryGland -&gt; ##34#TBD##34#</v>
      </c>
    </row>
    <row r="20" spans="1:5" x14ac:dyDescent="0.75">
      <c r="A20" s="11"/>
      <c r="B20" s="11" t="str">
        <f>Treatment!B18</f>
        <v>surgicalProcedure.surgicalProcedureEar</v>
      </c>
      <c r="C20" s="11" t="s">
        <v>168</v>
      </c>
      <c r="E20" s="12" t="str">
        <f t="shared" si="0"/>
        <v>* surgicalProcedure.surgicalProcedureEar -&gt; ##34#TBD##34#</v>
      </c>
    </row>
    <row r="21" spans="1:5" x14ac:dyDescent="0.75">
      <c r="B21" s="11" t="str">
        <f>Treatment!B19</f>
        <v>surgicalProcedure.surgicalProcedureLip</v>
      </c>
      <c r="C21" s="11" t="s">
        <v>168</v>
      </c>
      <c r="E21" s="12" t="str">
        <f t="shared" si="0"/>
        <v>* surgicalProcedure.surgicalProcedureLip -&gt; ##34#TBD##34#</v>
      </c>
    </row>
    <row r="22" spans="1:5" x14ac:dyDescent="0.75">
      <c r="B22" s="11" t="str">
        <f>Treatment!B20</f>
        <v>surgicalProcedure.surgicalProcedureOralCavity</v>
      </c>
      <c r="C22" s="11" t="s">
        <v>168</v>
      </c>
      <c r="E22" s="12" t="str">
        <f t="shared" si="0"/>
        <v>* surgicalProcedure.surgicalProcedureOralCavity -&gt; ##34#TBD##34#</v>
      </c>
    </row>
    <row r="23" spans="1:5" x14ac:dyDescent="0.75">
      <c r="B23" s="11" t="str">
        <f>Treatment!B21</f>
        <v>surgicalProcedure.surgicalProcedureMandibulectomy</v>
      </c>
      <c r="C23" s="11" t="s">
        <v>168</v>
      </c>
      <c r="E23" s="12" t="str">
        <f t="shared" si="0"/>
        <v>* surgicalProcedure.surgicalProcedureMandibulectomy -&gt; ##34#TBD##34#</v>
      </c>
    </row>
    <row r="24" spans="1:5" x14ac:dyDescent="0.75">
      <c r="B24" s="11" t="str">
        <f>Treatment!B22</f>
        <v>surgicalProcedure.surgicalProcedureOropharynx</v>
      </c>
      <c r="C24" s="11" t="s">
        <v>168</v>
      </c>
      <c r="E24" s="12" t="str">
        <f t="shared" si="0"/>
        <v>* surgicalProcedure.surgicalProcedureOropharynx -&gt; ##34#TBD##34#</v>
      </c>
    </row>
    <row r="25" spans="1:5" x14ac:dyDescent="0.75">
      <c r="B25" s="11" t="str">
        <f>Treatment!B23</f>
        <v>surgicalProcedure.surgicalProcedureHypopharynx</v>
      </c>
      <c r="C25" s="11" t="s">
        <v>168</v>
      </c>
      <c r="E25" s="12" t="str">
        <f t="shared" si="0"/>
        <v>* surgicalProcedure.surgicalProcedureHypopharynx -&gt; ##34#TBD##34#</v>
      </c>
    </row>
    <row r="26" spans="1:5" x14ac:dyDescent="0.75">
      <c r="B26" s="11" t="str">
        <f>Treatment!B24</f>
        <v>surgicalProcedure.surgicalProcedureLarynx</v>
      </c>
      <c r="C26" s="11" t="s">
        <v>168</v>
      </c>
      <c r="E26" s="12" t="str">
        <f t="shared" si="0"/>
        <v>* surgicalProcedure.surgicalProcedureLarynx -&gt; ##34#TBD##34#</v>
      </c>
    </row>
    <row r="27" spans="1:5" x14ac:dyDescent="0.75">
      <c r="B27" s="11" t="str">
        <f>Treatment!B25</f>
        <v>reconstruction</v>
      </c>
      <c r="C27" s="11" t="s">
        <v>168</v>
      </c>
      <c r="E27" s="12" t="str">
        <f t="shared" si="0"/>
        <v>* reconstruction -&gt; ##34#TBD##34#</v>
      </c>
    </row>
    <row r="28" spans="1:5" x14ac:dyDescent="0.75">
      <c r="B28" s="11" t="str">
        <f>Treatment!B26</f>
        <v>reconstruction.flag</v>
      </c>
      <c r="C28" s="11" t="s">
        <v>168</v>
      </c>
      <c r="E28" s="12" t="str">
        <f t="shared" si="0"/>
        <v>* reconstruction.flag -&gt; ##34#TBD##34#</v>
      </c>
    </row>
    <row r="29" spans="1:5" x14ac:dyDescent="0.75">
      <c r="B29" s="11" t="str">
        <f>Treatment!B27</f>
        <v>reconstruction.reconstructionType</v>
      </c>
      <c r="C29" s="11" t="s">
        <v>168</v>
      </c>
      <c r="E29" s="12" t="str">
        <f t="shared" si="0"/>
        <v>* reconstruction.reconstructionType -&gt; ##34#TBD##34#</v>
      </c>
    </row>
    <row r="30" spans="1:5" x14ac:dyDescent="0.75">
      <c r="B30" s="11" t="str">
        <f>Treatment!B28</f>
        <v>reconstruction.firstFlapUsedForReconstruction</v>
      </c>
      <c r="C30" s="11" t="s">
        <v>168</v>
      </c>
      <c r="E30" s="12" t="str">
        <f t="shared" si="0"/>
        <v>* reconstruction.firstFlapUsedForReconstruction -&gt; ##34#TBD##34#</v>
      </c>
    </row>
    <row r="31" spans="1:5" x14ac:dyDescent="0.75">
      <c r="B31" s="11" t="str">
        <f>Treatment!B29</f>
        <v>reconstruction.secondFlapUsedForReconstruction</v>
      </c>
      <c r="C31" s="11" t="s">
        <v>168</v>
      </c>
      <c r="E31" s="12" t="str">
        <f t="shared" si="0"/>
        <v>* reconstruction.secondFlapUsedForReconstruction -&gt; ##34#TBD##34#</v>
      </c>
    </row>
    <row r="32" spans="1:5" x14ac:dyDescent="0.75">
      <c r="B32" s="11" t="str">
        <f>Treatment!B30</f>
        <v>neckSurgery</v>
      </c>
      <c r="C32" s="11" t="s">
        <v>168</v>
      </c>
      <c r="E32" s="12" t="str">
        <f t="shared" si="0"/>
        <v>* neckSurgery -&gt; ##34#TBD##34#</v>
      </c>
    </row>
    <row r="33" spans="2:5" x14ac:dyDescent="0.75">
      <c r="B33" s="11" t="str">
        <f>Treatment!B31</f>
        <v>dateOfNeckSurgeryIfDifferentFromDateOfTumorSiteSurgery</v>
      </c>
      <c r="C33" s="11" t="s">
        <v>168</v>
      </c>
      <c r="E33" s="12" t="str">
        <f t="shared" si="0"/>
        <v>* dateOfNeckSurgeryIfDifferentFromDateOfTumorSiteSurgery -&gt; ##34#TBD##34#</v>
      </c>
    </row>
    <row r="34" spans="2:5" x14ac:dyDescent="0.75">
      <c r="B34" s="11" t="str">
        <f>Treatment!B32</f>
        <v>dateOfNeckSurgeryDayUnknown</v>
      </c>
      <c r="C34" s="11" t="s">
        <v>168</v>
      </c>
      <c r="E34" s="12" t="str">
        <f t="shared" si="0"/>
        <v>* dateOfNeckSurgeryDayUnknown -&gt; ##34#TBD##34#</v>
      </c>
    </row>
    <row r="35" spans="2:5" x14ac:dyDescent="0.75">
      <c r="B35" s="11" t="str">
        <f>Treatment!B33</f>
        <v>nodePicking</v>
      </c>
      <c r="C35" s="11" t="s">
        <v>168</v>
      </c>
      <c r="E35" s="12" t="str">
        <f t="shared" si="0"/>
        <v>* nodePicking -&gt; ##34#TBD##34#</v>
      </c>
    </row>
    <row r="36" spans="2:5" x14ac:dyDescent="0.75">
      <c r="B36" s="11" t="str">
        <f>Treatment!B34</f>
        <v>neckDissection</v>
      </c>
      <c r="C36" s="11" t="s">
        <v>168</v>
      </c>
      <c r="E36" s="12" t="str">
        <f t="shared" si="0"/>
        <v>* neckDissection -&gt; ##34#TBD##34#</v>
      </c>
    </row>
    <row r="37" spans="2:5" x14ac:dyDescent="0.75">
      <c r="B37" s="11" t="str">
        <f>Treatment!B35</f>
        <v>lateralityOfTheDissection</v>
      </c>
      <c r="C37" s="11" t="s">
        <v>168</v>
      </c>
      <c r="E37" s="12" t="str">
        <f t="shared" si="0"/>
        <v>* lateralityOfTheDissection -&gt; ##34#TBD##34#</v>
      </c>
    </row>
    <row r="38" spans="2:5" x14ac:dyDescent="0.75">
      <c r="B38" s="11" t="str">
        <f>Treatment!B36</f>
        <v>surgicalProcedureRightNeck</v>
      </c>
      <c r="C38" s="11" t="s">
        <v>168</v>
      </c>
      <c r="E38" s="12" t="str">
        <f t="shared" si="0"/>
        <v>* surgicalProcedureRightNeck -&gt; ##34#TBD##34#</v>
      </c>
    </row>
    <row r="39" spans="2:5" x14ac:dyDescent="0.75">
      <c r="B39" s="11" t="str">
        <f>Treatment!B37</f>
        <v>surgicalProcedureRightNeckLevelsDissected</v>
      </c>
      <c r="C39" s="11" t="s">
        <v>168</v>
      </c>
      <c r="E39" s="12" t="str">
        <f t="shared" si="0"/>
        <v>* surgicalProcedureRightNeckLevelsDissected -&gt; ##34#TBD##34#</v>
      </c>
    </row>
    <row r="40" spans="2:5" x14ac:dyDescent="0.75">
      <c r="B40" s="11" t="str">
        <f>Treatment!B38</f>
        <v>surgicalProcedureLeftNeck</v>
      </c>
      <c r="C40" s="11" t="s">
        <v>168</v>
      </c>
      <c r="E40" s="12" t="str">
        <f t="shared" si="0"/>
        <v>* surgicalProcedureLeftNeck -&gt; ##34#TBD##34#</v>
      </c>
    </row>
    <row r="41" spans="2:5" x14ac:dyDescent="0.75">
      <c r="B41" s="11" t="str">
        <f>Treatment!B39</f>
        <v>surgicalProcedureLeftNeckLevelsDissected</v>
      </c>
      <c r="C41" s="11" t="s">
        <v>168</v>
      </c>
      <c r="E41" s="12" t="str">
        <f t="shared" si="0"/>
        <v>* surgicalProcedureLeftNeckLevelsDissected -&gt; ##34#TBD##34#</v>
      </c>
    </row>
    <row r="42" spans="2:5" x14ac:dyDescent="0.75">
      <c r="B42" s="11" t="str">
        <f>Treatment!B40</f>
        <v>surgeryOnM</v>
      </c>
      <c r="C42" s="11" t="s">
        <v>168</v>
      </c>
      <c r="E42" s="12" t="str">
        <f t="shared" si="0"/>
        <v>* surgeryOnM -&gt; ##34#TBD##34#</v>
      </c>
    </row>
    <row r="43" spans="2:5" x14ac:dyDescent="0.75">
      <c r="B43" s="11" t="str">
        <f>Treatment!B41</f>
        <v>siteOfSurgeryOnMetastasis</v>
      </c>
      <c r="C43" s="11" t="s">
        <v>168</v>
      </c>
      <c r="E43" s="12" t="str">
        <f t="shared" si="0"/>
        <v>* siteOfSurgeryOnMetastasis -&gt; ##34#TBD##34#</v>
      </c>
    </row>
    <row r="44" spans="2:5" x14ac:dyDescent="0.75">
      <c r="B44" s="11" t="str">
        <f>Treatment!B42</f>
        <v>siteOfSurgeryOnMetastasisSoftTissue</v>
      </c>
      <c r="C44" s="11" t="s">
        <v>168</v>
      </c>
      <c r="E44" s="12" t="str">
        <f t="shared" si="0"/>
        <v>* siteOfSurgeryOnMetastasisSoftTissue -&gt; ##34#TBD##34#</v>
      </c>
    </row>
    <row r="45" spans="2:5" x14ac:dyDescent="0.75">
      <c r="B45" s="11" t="str">
        <f>Treatment!B43</f>
        <v>siteOfSurgeryOnMetastasisDistantLymphNodes</v>
      </c>
      <c r="C45" s="11" t="s">
        <v>168</v>
      </c>
      <c r="E45" s="12" t="str">
        <f t="shared" si="0"/>
        <v>* siteOfSurgeryOnMetastasisDistantLymphNodes -&gt; ##34#TBD##34#</v>
      </c>
    </row>
    <row r="46" spans="2:5" x14ac:dyDescent="0.75">
      <c r="B46" s="11" t="str">
        <f>Treatment!B44</f>
        <v>siteOfSurgeryOnMetastasisLung</v>
      </c>
      <c r="C46" s="11" t="s">
        <v>168</v>
      </c>
      <c r="E46" s="12" t="str">
        <f t="shared" si="0"/>
        <v>* siteOfSurgeryOnMetastasisLung -&gt; ##34#TBD##34#</v>
      </c>
    </row>
    <row r="47" spans="2:5" x14ac:dyDescent="0.75">
      <c r="B47" s="11" t="str">
        <f>Treatment!B45</f>
        <v>siteOfSurgeryOnMetastasisBone</v>
      </c>
      <c r="C47" s="11" t="s">
        <v>168</v>
      </c>
      <c r="E47" s="12" t="str">
        <f t="shared" si="0"/>
        <v>* siteOfSurgeryOnMetastasisBone -&gt; ##34#TBD##34#</v>
      </c>
    </row>
    <row r="48" spans="2:5" x14ac:dyDescent="0.75">
      <c r="B48" s="11" t="str">
        <f>Treatment!B46</f>
        <v>siteOfSurgeryOnMetastasisLiver</v>
      </c>
      <c r="C48" s="11" t="s">
        <v>168</v>
      </c>
      <c r="E48" s="12" t="str">
        <f t="shared" si="0"/>
        <v>* siteOfSurgeryOnMetastasisLiver -&gt; ##34#TBD##34#</v>
      </c>
    </row>
    <row r="49" spans="2:5" x14ac:dyDescent="0.75">
      <c r="B49" s="11" t="str">
        <f>Treatment!B47</f>
        <v>siteOfSurgeryOnMetastasisPleura</v>
      </c>
      <c r="C49" s="11" t="s">
        <v>168</v>
      </c>
      <c r="E49" s="12" t="str">
        <f t="shared" si="0"/>
        <v>* siteOfSurgeryOnMetastasisPleura -&gt; ##34#TBD##34#</v>
      </c>
    </row>
    <row r="50" spans="2:5" x14ac:dyDescent="0.75">
      <c r="B50" s="11" t="str">
        <f>Treatment!B48</f>
        <v>siteOfSurgeryOnMetastasisPeritoneum</v>
      </c>
      <c r="C50" s="11" t="s">
        <v>168</v>
      </c>
      <c r="E50" s="12" t="str">
        <f t="shared" si="0"/>
        <v>* siteOfSurgeryOnMetastasisPeritoneum -&gt; ##34#TBD##34#</v>
      </c>
    </row>
    <row r="51" spans="2:5" x14ac:dyDescent="0.75">
      <c r="B51" s="11" t="str">
        <f>Treatment!B49</f>
        <v>siteOfSurgeryOnMetastasisBrain</v>
      </c>
      <c r="C51" s="11" t="s">
        <v>168</v>
      </c>
      <c r="E51" s="12" t="str">
        <f t="shared" si="0"/>
        <v>* siteOfSurgeryOnMetastasisBrain -&gt; ##34#TBD##34#</v>
      </c>
    </row>
    <row r="52" spans="2:5" x14ac:dyDescent="0.75">
      <c r="B52" s="11" t="str">
        <f>Treatment!B50</f>
        <v>siteOfSurgeryOnMetastasisOtherViscera</v>
      </c>
      <c r="C52" s="11" t="s">
        <v>168</v>
      </c>
      <c r="E52" s="12" t="str">
        <f t="shared" si="0"/>
        <v>* siteOfSurgeryOnMetastasisOtherViscera -&gt; ##34#TBD##34#</v>
      </c>
    </row>
    <row r="53" spans="2:5" x14ac:dyDescent="0.75">
      <c r="B53" s="11" t="str">
        <f>Treatment!B51</f>
        <v>siteOfSurgeryOnMetastasisUnknown</v>
      </c>
      <c r="C53" s="11" t="s">
        <v>168</v>
      </c>
      <c r="E53" s="12" t="str">
        <f t="shared" si="0"/>
        <v>* siteOfSurgeryOnMetastasisUnknown -&gt; ##34#TBD##34#</v>
      </c>
    </row>
    <row r="54" spans="2:5" x14ac:dyDescent="0.75">
      <c r="B54" s="11" t="str">
        <f>Treatment!B52</f>
        <v>dateOfSurgeryOnMIfDifferentFromDateOfTumorSiteSurgery</v>
      </c>
      <c r="C54" s="11" t="s">
        <v>168</v>
      </c>
      <c r="E54" s="12" t="str">
        <f t="shared" si="0"/>
        <v>* dateOfSurgeryOnMIfDifferentFromDateOfTumorSiteSurgery -&gt; ##34#TBD##34#</v>
      </c>
    </row>
    <row r="55" spans="2:5" x14ac:dyDescent="0.75">
      <c r="B55" s="11" t="str">
        <f>Treatment!B53</f>
        <v>surgicalComplicationsClavienDindoClassificationPleaseSelectTheWorstOne</v>
      </c>
      <c r="C55" s="11" t="s">
        <v>168</v>
      </c>
      <c r="E55" s="12" t="str">
        <f t="shared" si="0"/>
        <v>* surgicalComplicationsClavienDindoClassificationPleaseSelectTheWorstOne -&gt; ##34#TBD##34#</v>
      </c>
    </row>
    <row r="56" spans="2:5" x14ac:dyDescent="0.75">
      <c r="B56" s="11" t="str">
        <f>Treatment!B54</f>
        <v>surgicalComplicationsClavienDindoClassification2ComplicationsPleaseSelectThe2WorstOne</v>
      </c>
      <c r="C56" s="11" t="s">
        <v>168</v>
      </c>
      <c r="E56" s="12" t="str">
        <f t="shared" si="0"/>
        <v>* surgicalComplicationsClavienDindoClassification2ComplicationsPleaseSelectThe2WorstOne -&gt; ##34#TBD##34#</v>
      </c>
    </row>
    <row r="57" spans="2:5" x14ac:dyDescent="0.75">
      <c r="B57" s="11" t="str">
        <f>Treatment!B55</f>
        <v>unplannedSurgery</v>
      </c>
      <c r="C57" s="11" t="s">
        <v>168</v>
      </c>
      <c r="E57" s="12" t="str">
        <f t="shared" si="0"/>
        <v>* unplannedSurgery -&gt; ##34#TBD##34#</v>
      </c>
    </row>
    <row r="58" spans="2:5" x14ac:dyDescent="0.75">
      <c r="B58" s="11" t="str">
        <f>Treatment!B56</f>
        <v>dateOfUnplannedSurgery</v>
      </c>
      <c r="C58" s="11" t="s">
        <v>168</v>
      </c>
      <c r="E58" s="12" t="str">
        <f t="shared" si="0"/>
        <v>* dateOfUnplannedSurgery -&gt; ##34#TBD##34#</v>
      </c>
    </row>
    <row r="59" spans="2:5" x14ac:dyDescent="0.75">
      <c r="B59" s="11" t="str">
        <f>Treatment!B57</f>
        <v>marginsAfterUnplannedSurgery</v>
      </c>
      <c r="C59" s="11" t="s">
        <v>168</v>
      </c>
      <c r="E59" s="12" t="str">
        <f t="shared" si="0"/>
        <v>* marginsAfterUnplannedSurgery -&gt; ##34#TBD##34#</v>
      </c>
    </row>
    <row r="60" spans="2:5" x14ac:dyDescent="0.75">
      <c r="B60" s="11" t="str">
        <f>Treatment!B58</f>
        <v>unplannedNeckSurgery</v>
      </c>
      <c r="C60" s="11" t="s">
        <v>168</v>
      </c>
      <c r="E60" s="12" t="str">
        <f t="shared" si="0"/>
        <v>* unplannedNeckSurgery -&gt; ##34#TBD##34#</v>
      </c>
    </row>
    <row r="61" spans="2:5" x14ac:dyDescent="0.75">
      <c r="B61" s="11" t="str">
        <f>Treatment!B59</f>
        <v>systemicTreament</v>
      </c>
      <c r="C61" s="11" t="s">
        <v>168</v>
      </c>
      <c r="E61" s="12" t="str">
        <f t="shared" si="0"/>
        <v>* systemicTreament -&gt; ##34#TBD##34#</v>
      </c>
    </row>
    <row r="62" spans="2:5" x14ac:dyDescent="0.75">
      <c r="B62" s="11" t="str">
        <f>Treatment!B60</f>
        <v>systemicTreatmentPerformed</v>
      </c>
      <c r="C62" s="11" t="s">
        <v>168</v>
      </c>
      <c r="E62" s="12" t="str">
        <f t="shared" si="0"/>
        <v>* systemicTreatmentPerformed -&gt; ##34#TBD##34#</v>
      </c>
    </row>
    <row r="63" spans="2:5" x14ac:dyDescent="0.75">
      <c r="B63" s="11" t="str">
        <f>Treatment!B61</f>
        <v>chooseTheSingleTreatment</v>
      </c>
      <c r="C63" s="11" t="s">
        <v>168</v>
      </c>
      <c r="E63" s="12" t="str">
        <f t="shared" si="0"/>
        <v>* chooseTheSingleTreatment -&gt; ##34#TBD##34#</v>
      </c>
    </row>
    <row r="64" spans="2:5" x14ac:dyDescent="0.75">
      <c r="B64" s="11" t="str">
        <f>Treatment!B62</f>
        <v>intent</v>
      </c>
      <c r="C64" s="11" t="s">
        <v>168</v>
      </c>
      <c r="E64" s="12" t="str">
        <f t="shared" si="0"/>
        <v>* intent -&gt; ##34#TBD##34#</v>
      </c>
    </row>
    <row r="65" spans="2:5" x14ac:dyDescent="0.75">
      <c r="B65" s="11" t="str">
        <f>Treatment!B63</f>
        <v>setting</v>
      </c>
      <c r="C65" s="11" t="s">
        <v>168</v>
      </c>
      <c r="E65" s="12" t="str">
        <f t="shared" si="0"/>
        <v>* setting -&gt; ##34#TBD##34#</v>
      </c>
    </row>
    <row r="66" spans="2:5" x14ac:dyDescent="0.75">
      <c r="B66" s="11" t="str">
        <f>Treatment!B64</f>
        <v>startDateSystemicTreatment</v>
      </c>
      <c r="C66" s="11" t="s">
        <v>168</v>
      </c>
      <c r="E66" s="12" t="str">
        <f t="shared" si="0"/>
        <v>* startDateSystemicTreatment -&gt; ##34#TBD##34#</v>
      </c>
    </row>
    <row r="67" spans="2:5" x14ac:dyDescent="0.75">
      <c r="B67" s="11" t="str">
        <f>Treatment!B65</f>
        <v>startDateSystemicTreatmentDayUnknown</v>
      </c>
      <c r="C67" s="11" t="s">
        <v>168</v>
      </c>
      <c r="E67" s="12" t="str">
        <f t="shared" si="0"/>
        <v>* startDateSystemicTreatmentDayUnknown -&gt; ##34#TBD##34#</v>
      </c>
    </row>
    <row r="68" spans="2:5" x14ac:dyDescent="0.75">
      <c r="B68" s="11" t="str">
        <f>Treatment!B66</f>
        <v>endDateSystemicTreatment</v>
      </c>
      <c r="C68" s="11" t="s">
        <v>168</v>
      </c>
      <c r="E68" s="12" t="str">
        <f t="shared" si="0"/>
        <v>* endDateSystemicTreatment -&gt; ##34#TBD##34#</v>
      </c>
    </row>
    <row r="69" spans="2:5" x14ac:dyDescent="0.75">
      <c r="B69" s="11" t="str">
        <f>Treatment!B67</f>
        <v>endDateSystemicTreatmentDayUnknown</v>
      </c>
      <c r="C69" s="11" t="s">
        <v>168</v>
      </c>
      <c r="E69" s="12" t="str">
        <f t="shared" si="0"/>
        <v>* endDateSystemicTreatmentDayUnknown -&gt; ##34#TBD##34#</v>
      </c>
    </row>
    <row r="70" spans="2:5" x14ac:dyDescent="0.75">
      <c r="B70" s="11" t="str">
        <f>Treatment!B68</f>
        <v>numberOfCyclesAdministrations</v>
      </c>
      <c r="C70" s="11" t="s">
        <v>168</v>
      </c>
      <c r="E70" s="12" t="str">
        <f t="shared" si="0"/>
        <v>* numberOfCyclesAdministrations -&gt; ##34#TBD##34#</v>
      </c>
    </row>
    <row r="71" spans="2:5" x14ac:dyDescent="0.75">
      <c r="B71" s="11" t="str">
        <f>Treatment!B69</f>
        <v>regimen</v>
      </c>
      <c r="C71" s="11" t="s">
        <v>168</v>
      </c>
      <c r="E71" s="12" t="str">
        <f t="shared" si="0"/>
        <v>* regimen -&gt; ##34#TBD##34#</v>
      </c>
    </row>
    <row r="72" spans="2:5" x14ac:dyDescent="0.75">
      <c r="B72" s="11" t="str">
        <f>Treatment!B70</f>
        <v>drugs1</v>
      </c>
      <c r="C72" s="11" t="s">
        <v>168</v>
      </c>
      <c r="E72" s="12" t="str">
        <f t="shared" si="0"/>
        <v>* drugs1 -&gt; ##34#TBD##34#</v>
      </c>
    </row>
    <row r="73" spans="2:5" x14ac:dyDescent="0.75">
      <c r="B73" s="11" t="str">
        <f>Treatment!B71</f>
        <v>drugs2</v>
      </c>
      <c r="C73" s="11" t="s">
        <v>168</v>
      </c>
      <c r="E73" s="12" t="str">
        <f t="shared" si="0"/>
        <v>* drugs2 -&gt; ##34#TBD##34#</v>
      </c>
    </row>
    <row r="74" spans="2:5" x14ac:dyDescent="0.75">
      <c r="B74" s="11" t="str">
        <f>Treatment!B72</f>
        <v>drugs3</v>
      </c>
      <c r="C74" s="11" t="s">
        <v>168</v>
      </c>
      <c r="E74" s="12" t="str">
        <f t="shared" ref="E74:E137" si="1">IF(B74=0,"*  -&gt; ##34###34#",CONCATENATE("* ",B74," -&gt; ##34#",C74,"##34#"))</f>
        <v>* drugs3 -&gt; ##34#TBD##34#</v>
      </c>
    </row>
    <row r="75" spans="2:5" x14ac:dyDescent="0.75">
      <c r="B75" s="11" t="str">
        <f>Treatment!B73</f>
        <v>plasmaticEbvDnaDuringSystemicTreatment</v>
      </c>
      <c r="C75" s="11" t="s">
        <v>168</v>
      </c>
      <c r="E75" s="12" t="str">
        <f t="shared" si="1"/>
        <v>* plasmaticEbvDnaDuringSystemicTreatment -&gt; ##34#TBD##34#</v>
      </c>
    </row>
    <row r="76" spans="2:5" x14ac:dyDescent="0.75">
      <c r="B76" s="11" t="str">
        <f>Treatment!B74</f>
        <v>primerType</v>
      </c>
      <c r="C76" s="11" t="s">
        <v>168</v>
      </c>
      <c r="E76" s="12" t="str">
        <f t="shared" si="1"/>
        <v>* primerType -&gt; ##34#TBD##34#</v>
      </c>
    </row>
    <row r="77" spans="2:5" x14ac:dyDescent="0.75">
      <c r="B77" s="11" t="str">
        <f>Treatment!B75</f>
        <v>copyNumber</v>
      </c>
      <c r="C77" s="11" t="s">
        <v>168</v>
      </c>
      <c r="E77" s="12" t="str">
        <f t="shared" si="1"/>
        <v>* copyNumber -&gt; ##34#TBD##34#</v>
      </c>
    </row>
    <row r="78" spans="2:5" x14ac:dyDescent="0.75">
      <c r="B78" s="11" t="str">
        <f>Treatment!B76</f>
        <v>plasmaticEbvDnaAfterSystemicTreatment</v>
      </c>
      <c r="C78" s="11" t="s">
        <v>168</v>
      </c>
      <c r="E78" s="12" t="str">
        <f t="shared" si="1"/>
        <v>* plasmaticEbvDnaAfterSystemicTreatment -&gt; ##34#TBD##34#</v>
      </c>
    </row>
    <row r="79" spans="2:5" x14ac:dyDescent="0.75">
      <c r="B79" s="11" t="str">
        <f>Treatment!B77</f>
        <v>afterTreatment-primerType</v>
      </c>
      <c r="C79" s="11" t="s">
        <v>168</v>
      </c>
      <c r="E79" s="12" t="str">
        <f t="shared" si="1"/>
        <v>* afterTreatment-primerType -&gt; ##34#TBD##34#</v>
      </c>
    </row>
    <row r="80" spans="2:5" x14ac:dyDescent="0.75">
      <c r="B80" s="11" t="str">
        <f>Treatment!B78</f>
        <v>copyNumber</v>
      </c>
      <c r="C80" s="11" t="s">
        <v>168</v>
      </c>
      <c r="E80" s="12" t="str">
        <f t="shared" si="1"/>
        <v>* copyNumber -&gt; ##34#TBD##34#</v>
      </c>
    </row>
    <row r="81" spans="2:5" x14ac:dyDescent="0.75">
      <c r="B81" s="11" t="str">
        <f>Treatment!B79</f>
        <v>reasonForEndOfTreatment</v>
      </c>
      <c r="C81" s="11" t="s">
        <v>168</v>
      </c>
      <c r="E81" s="12" t="str">
        <f t="shared" si="1"/>
        <v>* reasonForEndOfTreatment -&gt; ##34#TBD##34#</v>
      </c>
    </row>
    <row r="82" spans="2:5" x14ac:dyDescent="0.75">
      <c r="B82" s="11" t="str">
        <f>Treatment!B80</f>
        <v>regimenChanged</v>
      </c>
      <c r="C82" s="11" t="s">
        <v>168</v>
      </c>
      <c r="E82" s="12" t="str">
        <f t="shared" si="1"/>
        <v>* regimenChanged -&gt; ##34#TBD##34#</v>
      </c>
    </row>
    <row r="83" spans="2:5" x14ac:dyDescent="0.75">
      <c r="B83" s="11" t="str">
        <f>Treatment!B81</f>
        <v>regimenChanged-regimen</v>
      </c>
      <c r="C83" s="11" t="s">
        <v>168</v>
      </c>
      <c r="E83" s="12" t="str">
        <f t="shared" si="1"/>
        <v>* regimenChanged-regimen -&gt; ##34#TBD##34#</v>
      </c>
    </row>
    <row r="84" spans="2:5" x14ac:dyDescent="0.75">
      <c r="B84" s="11" t="str">
        <f>Treatment!B82</f>
        <v>regimenChanged-otherDrug1</v>
      </c>
      <c r="C84" s="11" t="s">
        <v>168</v>
      </c>
      <c r="E84" s="12" t="str">
        <f t="shared" si="1"/>
        <v>* regimenChanged-otherDrug1 -&gt; ##34#TBD##34#</v>
      </c>
    </row>
    <row r="85" spans="2:5" x14ac:dyDescent="0.75">
      <c r="B85" s="11" t="str">
        <f>Treatment!B83</f>
        <v>regimenChanged-otherDrug2</v>
      </c>
      <c r="C85" s="11" t="s">
        <v>168</v>
      </c>
      <c r="E85" s="12" t="str">
        <f t="shared" si="1"/>
        <v>* regimenChanged-otherDrug2 -&gt; ##34#TBD##34#</v>
      </c>
    </row>
    <row r="86" spans="2:5" x14ac:dyDescent="0.75">
      <c r="B86" s="11" t="str">
        <f>Treatment!B84</f>
        <v>regimenChanged-otherDrug3</v>
      </c>
      <c r="C86" s="11" t="s">
        <v>168</v>
      </c>
      <c r="E86" s="12" t="str">
        <f t="shared" si="1"/>
        <v>* regimenChanged-otherDrug3 -&gt; ##34#TBD##34#</v>
      </c>
    </row>
    <row r="87" spans="2:5" x14ac:dyDescent="0.75">
      <c r="B87" s="11" t="str">
        <f>Treatment!B85</f>
        <v>startDateRegimenChanged</v>
      </c>
      <c r="C87" s="11" t="s">
        <v>168</v>
      </c>
      <c r="E87" s="12" t="str">
        <f t="shared" si="1"/>
        <v>* startDateRegimenChanged -&gt; ##34#TBD##34#</v>
      </c>
    </row>
    <row r="88" spans="2:5" x14ac:dyDescent="0.75">
      <c r="B88" s="11" t="str">
        <f>Treatment!B86</f>
        <v>startDateRegimenChangedDayUnknown</v>
      </c>
      <c r="C88" s="11" t="s">
        <v>168</v>
      </c>
      <c r="E88" s="12" t="str">
        <f t="shared" si="1"/>
        <v>* startDateRegimenChangedDayUnknown -&gt; ##34#TBD##34#</v>
      </c>
    </row>
    <row r="89" spans="2:5" x14ac:dyDescent="0.75">
      <c r="B89" s="11" t="str">
        <f>Treatment!B87</f>
        <v>endDateRegimenChanged</v>
      </c>
      <c r="C89" s="11" t="s">
        <v>168</v>
      </c>
      <c r="E89" s="12" t="str">
        <f t="shared" si="1"/>
        <v>* endDateRegimenChanged -&gt; ##34#TBD##34#</v>
      </c>
    </row>
    <row r="90" spans="2:5" x14ac:dyDescent="0.75">
      <c r="B90" s="11" t="str">
        <f>Treatment!B88</f>
        <v>endDateRegimenChangedDayUnknown</v>
      </c>
      <c r="C90" s="11" t="s">
        <v>168</v>
      </c>
      <c r="E90" s="12" t="str">
        <f t="shared" si="1"/>
        <v>* endDateRegimenChangedDayUnknown -&gt; ##34#TBD##34#</v>
      </c>
    </row>
    <row r="91" spans="2:5" x14ac:dyDescent="0.75">
      <c r="B91" s="11" t="str">
        <f>Treatment!B89</f>
        <v>regimenChanged-reasonForEndOfTreatment</v>
      </c>
      <c r="C91" s="11" t="s">
        <v>168</v>
      </c>
      <c r="E91" s="12" t="str">
        <f t="shared" si="1"/>
        <v>* regimenChanged-reasonForEndOfTreatment -&gt; ##34#TBD##34#</v>
      </c>
    </row>
    <row r="92" spans="2:5" x14ac:dyDescent="0.75">
      <c r="B92" s="11" t="str">
        <f>Treatment!B90</f>
        <v>treatmentResponseBasedOnImagingAloneNoRecistOrOtherCriteria</v>
      </c>
      <c r="C92" s="11" t="s">
        <v>168</v>
      </c>
      <c r="E92" s="12" t="str">
        <f t="shared" si="1"/>
        <v>* treatmentResponseBasedOnImagingAloneNoRecistOrOtherCriteria -&gt; ##34#TBD##34#</v>
      </c>
    </row>
    <row r="93" spans="2:5" x14ac:dyDescent="0.75">
      <c r="B93" s="11" t="str">
        <f>Treatment!B91</f>
        <v>treatmentResponseDefinedDone</v>
      </c>
      <c r="C93" s="11" t="s">
        <v>168</v>
      </c>
      <c r="E93" s="12" t="str">
        <f t="shared" si="1"/>
        <v>* treatmentResponseDefinedDone -&gt; ##34#TBD##34#</v>
      </c>
    </row>
    <row r="94" spans="2:5" x14ac:dyDescent="0.75">
      <c r="B94" s="11" t="str">
        <f>Treatment!B92</f>
        <v>systemicTreatment2</v>
      </c>
      <c r="C94" s="11" t="s">
        <v>168</v>
      </c>
      <c r="E94" s="12" t="str">
        <f t="shared" si="1"/>
        <v>* systemicTreatment2 -&gt; ##34#TBD##34#</v>
      </c>
    </row>
    <row r="95" spans="2:5" x14ac:dyDescent="0.75">
      <c r="B95" s="11" t="str">
        <f>Treatment!B93</f>
        <v>radiotherapy</v>
      </c>
      <c r="C95" s="11" t="s">
        <v>168</v>
      </c>
      <c r="E95" s="12" t="str">
        <f t="shared" si="1"/>
        <v>* radiotherapy -&gt; ##34#TBD##34#</v>
      </c>
    </row>
    <row r="96" spans="2:5" x14ac:dyDescent="0.75">
      <c r="B96" s="11" t="str">
        <f>Treatment!B94</f>
        <v>radiotherapywhere</v>
      </c>
      <c r="C96" s="11" t="s">
        <v>168</v>
      </c>
      <c r="E96" s="12" t="str">
        <f t="shared" si="1"/>
        <v>* radiotherapywhere -&gt; ##34#TBD##34#</v>
      </c>
    </row>
    <row r="97" spans="2:5" x14ac:dyDescent="0.75">
      <c r="B97" s="11" t="str">
        <f>Treatment!B95</f>
        <v>intent</v>
      </c>
      <c r="C97" s="11" t="s">
        <v>168</v>
      </c>
      <c r="E97" s="12" t="str">
        <f t="shared" si="1"/>
        <v>* intent -&gt; ##34#TBD##34#</v>
      </c>
    </row>
    <row r="98" spans="2:5" x14ac:dyDescent="0.75">
      <c r="B98" s="11" t="str">
        <f>Treatment!B96</f>
        <v>setting-2</v>
      </c>
      <c r="C98" s="11" t="s">
        <v>168</v>
      </c>
      <c r="E98" s="12" t="str">
        <f t="shared" si="1"/>
        <v>* setting-2 -&gt; ##34#TBD##34#</v>
      </c>
    </row>
    <row r="99" spans="2:5" x14ac:dyDescent="0.75">
      <c r="B99" s="11" t="str">
        <f>Treatment!B97</f>
        <v>postoperativeRadiotherapyIndications</v>
      </c>
      <c r="C99" s="11" t="s">
        <v>168</v>
      </c>
      <c r="E99" s="12" t="str">
        <f t="shared" si="1"/>
        <v>* postoperativeRadiotherapyIndications -&gt; ##34#TBD##34#</v>
      </c>
    </row>
    <row r="100" spans="2:5" x14ac:dyDescent="0.75">
      <c r="B100" s="11" t="str">
        <f>Treatment!B98</f>
        <v>beamQuality</v>
      </c>
      <c r="C100" s="11" t="s">
        <v>168</v>
      </c>
      <c r="E100" s="12" t="str">
        <f t="shared" si="1"/>
        <v>* beamQuality -&gt; ##34#TBD##34#</v>
      </c>
    </row>
    <row r="101" spans="2:5" x14ac:dyDescent="0.75">
      <c r="B101" s="11" t="str">
        <f>Treatment!B99</f>
        <v>beamQuality-otherSpecify</v>
      </c>
      <c r="C101" s="11" t="s">
        <v>168</v>
      </c>
      <c r="E101" s="12" t="str">
        <f t="shared" si="1"/>
        <v>* beamQuality-otherSpecify -&gt; ##34#TBD##34#</v>
      </c>
    </row>
    <row r="102" spans="2:5" x14ac:dyDescent="0.75">
      <c r="B102" s="11" t="str">
        <f>Treatment!B100</f>
        <v>treatmentTechnique</v>
      </c>
      <c r="C102" s="11" t="s">
        <v>168</v>
      </c>
      <c r="E102" s="12" t="str">
        <f t="shared" si="1"/>
        <v>* treatmentTechnique -&gt; ##34#TBD##34#</v>
      </c>
    </row>
    <row r="103" spans="2:5" x14ac:dyDescent="0.75">
      <c r="B103" s="11" t="str">
        <f>Treatment!B101</f>
        <v>treatmentTechnique-otherSpecify</v>
      </c>
      <c r="C103" s="11" t="s">
        <v>168</v>
      </c>
      <c r="E103" s="12" t="str">
        <f t="shared" si="1"/>
        <v>* treatmentTechnique-otherSpecify -&gt; ##34#TBD##34#</v>
      </c>
    </row>
    <row r="104" spans="2:5" x14ac:dyDescent="0.75">
      <c r="B104" s="11" t="str">
        <f>Treatment!B102</f>
        <v>boostType</v>
      </c>
      <c r="C104" s="11" t="s">
        <v>168</v>
      </c>
      <c r="E104" s="12" t="str">
        <f t="shared" si="1"/>
        <v>* boostType -&gt; ##34#TBD##34#</v>
      </c>
    </row>
    <row r="105" spans="2:5" x14ac:dyDescent="0.75">
      <c r="B105" s="11" t="str">
        <f>Treatment!B103</f>
        <v>treatmentPlan</v>
      </c>
      <c r="C105" s="11" t="s">
        <v>168</v>
      </c>
      <c r="E105" s="12" t="str">
        <f t="shared" si="1"/>
        <v>* treatmentPlan -&gt; ##34#TBD##34#</v>
      </c>
    </row>
    <row r="106" spans="2:5" x14ac:dyDescent="0.75">
      <c r="B106" s="11" t="str">
        <f>Treatment!B104</f>
        <v>totalDoseTdGy</v>
      </c>
      <c r="C106" s="11" t="s">
        <v>168</v>
      </c>
      <c r="E106" s="12" t="str">
        <f t="shared" si="1"/>
        <v>* totalDoseTdGy -&gt; ##34#TBD##34#</v>
      </c>
    </row>
    <row r="107" spans="2:5" x14ac:dyDescent="0.75">
      <c r="B107" s="11" t="str">
        <f>Treatment!B105</f>
        <v>fractionSizeFs</v>
      </c>
      <c r="C107" s="11" t="s">
        <v>168</v>
      </c>
      <c r="E107" s="12" t="str">
        <f t="shared" si="1"/>
        <v>* fractionSizeFs -&gt; ##34#TBD##34#</v>
      </c>
    </row>
    <row r="108" spans="2:5" x14ac:dyDescent="0.75">
      <c r="B108" s="11" t="str">
        <f>Treatment!B106</f>
        <v>numberOfFractions</v>
      </c>
      <c r="C108" s="11" t="s">
        <v>168</v>
      </c>
      <c r="E108" s="12" t="str">
        <f t="shared" si="1"/>
        <v>* numberOfFractions -&gt; ##34#TBD##34#</v>
      </c>
    </row>
    <row r="109" spans="2:5" x14ac:dyDescent="0.75">
      <c r="B109" s="11" t="str">
        <f>Treatment!B107</f>
        <v>totalHighDoseGy</v>
      </c>
      <c r="C109" s="11" t="s">
        <v>168</v>
      </c>
      <c r="E109" s="12" t="str">
        <f t="shared" si="1"/>
        <v>* totalHighDoseGy -&gt; ##34#TBD##34#</v>
      </c>
    </row>
    <row r="110" spans="2:5" x14ac:dyDescent="0.75">
      <c r="B110" s="11" t="str">
        <f>Treatment!B108</f>
        <v>totalHighDoseFraction</v>
      </c>
      <c r="C110" s="11" t="s">
        <v>168</v>
      </c>
      <c r="E110" s="12" t="str">
        <f t="shared" si="1"/>
        <v>* totalHighDoseFraction -&gt; ##34#TBD##34#</v>
      </c>
    </row>
    <row r="111" spans="2:5" x14ac:dyDescent="0.75">
      <c r="B111" s="11" t="str">
        <f>Treatment!B109</f>
        <v>totalIntermediateDoseGy</v>
      </c>
      <c r="C111" s="11" t="s">
        <v>168</v>
      </c>
      <c r="E111" s="12" t="str">
        <f t="shared" si="1"/>
        <v>* totalIntermediateDoseGy -&gt; ##34#TBD##34#</v>
      </c>
    </row>
    <row r="112" spans="2:5" x14ac:dyDescent="0.75">
      <c r="B112" s="11" t="str">
        <f>Treatment!B110</f>
        <v>totalIntermediateDoseFraction</v>
      </c>
      <c r="C112" s="11" t="s">
        <v>168</v>
      </c>
      <c r="E112" s="12" t="str">
        <f t="shared" si="1"/>
        <v>* totalIntermediateDoseFraction -&gt; ##34#TBD##34#</v>
      </c>
    </row>
    <row r="113" spans="2:5" x14ac:dyDescent="0.75">
      <c r="B113" s="11" t="str">
        <f>Treatment!B111</f>
        <v>totalLowDoseGy</v>
      </c>
      <c r="C113" s="11" t="s">
        <v>168</v>
      </c>
      <c r="E113" s="12" t="str">
        <f t="shared" si="1"/>
        <v>* totalLowDoseGy -&gt; ##34#TBD##34#</v>
      </c>
    </row>
    <row r="114" spans="2:5" x14ac:dyDescent="0.75">
      <c r="B114" s="11" t="str">
        <f>Treatment!B112</f>
        <v>totalLowDoseFraction</v>
      </c>
      <c r="C114" s="11" t="s">
        <v>168</v>
      </c>
      <c r="E114" s="12" t="str">
        <f t="shared" si="1"/>
        <v>* totalLowDoseFraction -&gt; ##34#TBD##34#</v>
      </c>
    </row>
    <row r="115" spans="2:5" x14ac:dyDescent="0.75">
      <c r="B115" s="11" t="str">
        <f>Treatment!B113</f>
        <v>fractionationPattern</v>
      </c>
      <c r="C115" s="11" t="s">
        <v>168</v>
      </c>
      <c r="E115" s="12" t="str">
        <f t="shared" si="1"/>
        <v>* fractionationPattern -&gt; ##34#TBD##34#</v>
      </c>
    </row>
    <row r="116" spans="2:5" x14ac:dyDescent="0.75">
      <c r="B116" s="11" t="str">
        <f>Treatment!B114</f>
        <v>alteredFractionationScheme</v>
      </c>
      <c r="C116" s="11" t="s">
        <v>168</v>
      </c>
      <c r="E116" s="12" t="str">
        <f t="shared" si="1"/>
        <v>* alteredFractionationScheme -&gt; ##34#TBD##34#</v>
      </c>
    </row>
    <row r="117" spans="2:5" x14ac:dyDescent="0.75">
      <c r="B117" s="11" t="str">
        <f>Treatment!B115</f>
        <v>adaptiveRt</v>
      </c>
      <c r="C117" s="11" t="s">
        <v>168</v>
      </c>
      <c r="E117" s="12" t="str">
        <f t="shared" si="1"/>
        <v>* adaptiveRt -&gt; ##34#TBD##34#</v>
      </c>
    </row>
    <row r="118" spans="2:5" x14ac:dyDescent="0.75">
      <c r="B118" s="11" t="str">
        <f>Treatment!B116</f>
        <v>igrtImageGuideRadiotherapy</v>
      </c>
      <c r="C118" s="11" t="s">
        <v>168</v>
      </c>
      <c r="E118" s="12" t="str">
        <f t="shared" si="1"/>
        <v>* igrtImageGuideRadiotherapy -&gt; ##34#TBD##34#</v>
      </c>
    </row>
    <row r="119" spans="2:5" x14ac:dyDescent="0.75">
      <c r="B119" s="11" t="str">
        <f>Treatment!B117</f>
        <v>secondBeamQuality</v>
      </c>
      <c r="C119" s="11" t="s">
        <v>168</v>
      </c>
      <c r="E119" s="12" t="str">
        <f t="shared" si="1"/>
        <v>* secondBeamQuality -&gt; ##34#TBD##34#</v>
      </c>
    </row>
    <row r="120" spans="2:5" x14ac:dyDescent="0.75">
      <c r="B120" s="11" t="str">
        <f>Treatment!B118</f>
        <v>otherSpecify2</v>
      </c>
      <c r="C120" s="11" t="s">
        <v>168</v>
      </c>
      <c r="E120" s="12" t="str">
        <f t="shared" si="1"/>
        <v>* otherSpecify2 -&gt; ##34#TBD##34#</v>
      </c>
    </row>
    <row r="121" spans="2:5" x14ac:dyDescent="0.75">
      <c r="B121" s="11" t="str">
        <f>Treatment!B119</f>
        <v>treatmentTechnique2</v>
      </c>
      <c r="C121" s="11" t="s">
        <v>168</v>
      </c>
      <c r="E121" s="12" t="str">
        <f t="shared" si="1"/>
        <v>* treatmentTechnique2 -&gt; ##34#TBD##34#</v>
      </c>
    </row>
    <row r="122" spans="2:5" x14ac:dyDescent="0.75">
      <c r="B122" s="11" t="str">
        <f>Treatment!B120</f>
        <v>treatmentTechnique2OtherSpecify</v>
      </c>
      <c r="C122" s="11" t="s">
        <v>168</v>
      </c>
      <c r="E122" s="12" t="str">
        <f t="shared" si="1"/>
        <v>* treatmentTechnique2OtherSpecify -&gt; ##34#TBD##34#</v>
      </c>
    </row>
    <row r="123" spans="2:5" x14ac:dyDescent="0.75">
      <c r="B123" s="11" t="str">
        <f>Treatment!B121</f>
        <v>startDate</v>
      </c>
      <c r="C123" s="11" t="s">
        <v>168</v>
      </c>
      <c r="E123" s="12" t="str">
        <f t="shared" si="1"/>
        <v>* startDate -&gt; ##34#TBD##34#</v>
      </c>
    </row>
    <row r="124" spans="2:5" x14ac:dyDescent="0.75">
      <c r="B124" s="11" t="str">
        <f>Treatment!B122</f>
        <v>startDateRadiotherapyDayUnknown</v>
      </c>
      <c r="C124" s="11" t="s">
        <v>168</v>
      </c>
      <c r="E124" s="12" t="str">
        <f t="shared" si="1"/>
        <v>* startDateRadiotherapyDayUnknown -&gt; ##34#TBD##34#</v>
      </c>
    </row>
    <row r="125" spans="2:5" x14ac:dyDescent="0.75">
      <c r="B125" s="11" t="str">
        <f>Treatment!B123</f>
        <v>endDate</v>
      </c>
      <c r="C125" s="11" t="s">
        <v>168</v>
      </c>
      <c r="E125" s="12" t="str">
        <f t="shared" si="1"/>
        <v>* endDate -&gt; ##34#TBD##34#</v>
      </c>
    </row>
    <row r="126" spans="2:5" x14ac:dyDescent="0.75">
      <c r="B126" s="11" t="str">
        <f>Treatment!B124</f>
        <v>endDateRadiotherapyDayUnknown</v>
      </c>
      <c r="C126" s="11" t="s">
        <v>168</v>
      </c>
      <c r="E126" s="12" t="str">
        <f t="shared" si="1"/>
        <v>* endDateRadiotherapyDayUnknown -&gt; ##34#TBD##34#</v>
      </c>
    </row>
    <row r="127" spans="2:5" x14ac:dyDescent="0.75">
      <c r="B127" s="11" t="str">
        <f>Treatment!B125</f>
        <v>treatmentInterruption2DaysNotIncludingIntendedBreaks</v>
      </c>
      <c r="C127" s="11" t="s">
        <v>168</v>
      </c>
      <c r="E127" s="12" t="str">
        <f t="shared" si="1"/>
        <v>* treatmentInterruption2DaysNotIncludingIntendedBreaks -&gt; ##34#TBD##34#</v>
      </c>
    </row>
    <row r="128" spans="2:5" x14ac:dyDescent="0.75">
      <c r="B128" s="11" t="str">
        <f>Treatment!B126</f>
        <v>treatmentDaysMissed</v>
      </c>
      <c r="C128" s="11" t="s">
        <v>168</v>
      </c>
      <c r="E128" s="12" t="str">
        <f t="shared" si="1"/>
        <v>* treatmentDaysMissed -&gt; ##34#TBD##34#</v>
      </c>
    </row>
    <row r="129" spans="2:5" x14ac:dyDescent="0.75">
      <c r="B129" s="11" t="str">
        <f>Treatment!B127</f>
        <v>overallTreatmentTimeOtt</v>
      </c>
      <c r="C129" s="11" t="s">
        <v>168</v>
      </c>
      <c r="E129" s="12" t="str">
        <f t="shared" si="1"/>
        <v>* overallTreatmentTimeOtt -&gt; ##34#TBD##34#</v>
      </c>
    </row>
    <row r="130" spans="2:5" x14ac:dyDescent="0.75">
      <c r="B130" s="11" t="str">
        <f>Treatment!B128</f>
        <v>overallTreatmentTimeOttManualInDays</v>
      </c>
      <c r="C130" s="11" t="s">
        <v>168</v>
      </c>
      <c r="E130" s="12" t="str">
        <f t="shared" si="1"/>
        <v>* overallTreatmentTimeOttManualInDays -&gt; ##34#TBD##34#</v>
      </c>
    </row>
    <row r="131" spans="2:5" x14ac:dyDescent="0.75">
      <c r="B131" s="11" t="str">
        <f>Treatment!B129</f>
        <v>treatmentSites</v>
      </c>
      <c r="C131" s="11" t="s">
        <v>168</v>
      </c>
      <c r="E131" s="12" t="str">
        <f t="shared" si="1"/>
        <v>* treatmentSites -&gt; ##34#TBD##34#</v>
      </c>
    </row>
    <row r="132" spans="2:5" x14ac:dyDescent="0.75">
      <c r="B132" s="11" t="str">
        <f>Treatment!B130</f>
        <v>primary</v>
      </c>
      <c r="C132" s="11" t="s">
        <v>168</v>
      </c>
      <c r="E132" s="12" t="str">
        <f t="shared" si="1"/>
        <v>* primary -&gt; ##34#TBD##34#</v>
      </c>
    </row>
    <row r="133" spans="2:5" x14ac:dyDescent="0.75">
      <c r="B133" s="11" t="str">
        <f>Treatment!B131</f>
        <v>neck</v>
      </c>
      <c r="C133" s="11" t="s">
        <v>168</v>
      </c>
      <c r="E133" s="12" t="str">
        <f t="shared" si="1"/>
        <v>* neck -&gt; ##34#TBD##34#</v>
      </c>
    </row>
    <row r="134" spans="2:5" x14ac:dyDescent="0.75">
      <c r="B134" s="11" t="str">
        <f>Treatment!B132</f>
        <v>primaryAndIpsilateralNeck</v>
      </c>
      <c r="C134" s="11" t="s">
        <v>168</v>
      </c>
      <c r="E134" s="12" t="str">
        <f t="shared" si="1"/>
        <v>* primaryAndIpsilateralNeck -&gt; ##34#TBD##34#</v>
      </c>
    </row>
    <row r="135" spans="2:5" x14ac:dyDescent="0.75">
      <c r="B135" s="11" t="str">
        <f>Treatment!B133</f>
        <v>primaryAndBilateralNeck</v>
      </c>
      <c r="C135" s="11" t="s">
        <v>168</v>
      </c>
      <c r="E135" s="12" t="str">
        <f t="shared" si="1"/>
        <v>* primaryAndBilateralNeck -&gt; ##34#TBD##34#</v>
      </c>
    </row>
    <row r="136" spans="2:5" x14ac:dyDescent="0.75">
      <c r="B136" s="11" t="str">
        <f>Treatment!B134</f>
        <v>distantMetastasis</v>
      </c>
      <c r="C136" s="11" t="s">
        <v>168</v>
      </c>
      <c r="E136" s="12" t="str">
        <f t="shared" si="1"/>
        <v>* distantMetastasis -&gt; ##34#TBD##34#</v>
      </c>
    </row>
    <row r="137" spans="2:5" x14ac:dyDescent="0.75">
      <c r="B137" s="11" t="str">
        <f>Treatment!B135</f>
        <v>metastaticTreatmentSites</v>
      </c>
      <c r="C137" s="11" t="s">
        <v>168</v>
      </c>
      <c r="E137" s="12" t="str">
        <f t="shared" si="1"/>
        <v>* metastaticTreatmentSites -&gt; ##34#TBD##34#</v>
      </c>
    </row>
    <row r="138" spans="2:5" ht="29.5" x14ac:dyDescent="0.75">
      <c r="B138" s="11" t="str">
        <f>Treatment!B136</f>
        <v xml:space="preserve">lung
</v>
      </c>
      <c r="C138" s="11" t="s">
        <v>168</v>
      </c>
      <c r="E138" s="12" t="str">
        <f t="shared" ref="E138:E177" si="2">IF(B138=0,"*  -&gt; ##34###34#",CONCATENATE("* ",B138," -&gt; ##34#",C138,"##34#"))</f>
        <v>* lung
 -&gt; ##34#TBD##34#</v>
      </c>
    </row>
    <row r="139" spans="2:5" ht="29.5" x14ac:dyDescent="0.75">
      <c r="B139" s="11" t="str">
        <f>Treatment!B137</f>
        <v xml:space="preserve">mediastinum
</v>
      </c>
      <c r="C139" s="11" t="s">
        <v>168</v>
      </c>
      <c r="E139" s="12" t="str">
        <f t="shared" si="2"/>
        <v>* mediastinum
 -&gt; ##34#TBD##34#</v>
      </c>
    </row>
    <row r="140" spans="2:5" ht="29.5" x14ac:dyDescent="0.75">
      <c r="B140" s="11" t="str">
        <f>Treatment!B138</f>
        <v xml:space="preserve">bone
</v>
      </c>
      <c r="C140" s="11" t="s">
        <v>168</v>
      </c>
      <c r="E140" s="12" t="str">
        <f t="shared" si="2"/>
        <v>* bone
 -&gt; ##34#TBD##34#</v>
      </c>
    </row>
    <row r="141" spans="2:5" ht="29.5" x14ac:dyDescent="0.75">
      <c r="B141" s="11" t="str">
        <f>Treatment!B139</f>
        <v xml:space="preserve">softTissue
</v>
      </c>
      <c r="C141" s="11" t="s">
        <v>168</v>
      </c>
      <c r="E141" s="12" t="str">
        <f t="shared" si="2"/>
        <v>* softTissue
 -&gt; ##34#TBD##34#</v>
      </c>
    </row>
    <row r="142" spans="2:5" ht="29.5" x14ac:dyDescent="0.75">
      <c r="B142" s="11" t="str">
        <f>Treatment!B140</f>
        <v xml:space="preserve">liver
</v>
      </c>
      <c r="C142" s="11" t="s">
        <v>168</v>
      </c>
      <c r="E142" s="12" t="str">
        <f t="shared" si="2"/>
        <v>* liver
 -&gt; ##34#TBD##34#</v>
      </c>
    </row>
    <row r="143" spans="2:5" x14ac:dyDescent="0.75">
      <c r="B143" s="11" t="str">
        <f>Treatment!B141</f>
        <v>unknown</v>
      </c>
      <c r="C143" s="11" t="s">
        <v>168</v>
      </c>
      <c r="E143" s="12" t="str">
        <f t="shared" si="2"/>
        <v>* unknown -&gt; ##34#TBD##34#</v>
      </c>
    </row>
    <row r="144" spans="2:5" x14ac:dyDescent="0.75">
      <c r="B144" s="11" t="str">
        <f>Treatment!B142</f>
        <v>other</v>
      </c>
      <c r="C144" s="11" t="s">
        <v>168</v>
      </c>
      <c r="E144" s="12" t="str">
        <f t="shared" si="2"/>
        <v>* other -&gt; ##34#TBD##34#</v>
      </c>
    </row>
    <row r="145" spans="2:5" x14ac:dyDescent="0.75">
      <c r="B145" s="11" t="str">
        <f>Treatment!B143</f>
        <v>otherSpecify</v>
      </c>
      <c r="C145" s="11" t="s">
        <v>168</v>
      </c>
      <c r="E145" s="12" t="str">
        <f t="shared" si="2"/>
        <v>* otherSpecify -&gt; ##34#TBD##34#</v>
      </c>
    </row>
    <row r="146" spans="2:5" x14ac:dyDescent="0.75">
      <c r="B146" s="11" t="str">
        <f>Treatment!B144</f>
        <v>neckLevelsIrradiatedRight</v>
      </c>
      <c r="C146" s="11" t="s">
        <v>168</v>
      </c>
      <c r="E146" s="12" t="str">
        <f t="shared" si="2"/>
        <v>* neckLevelsIrradiatedRight -&gt; ##34#TBD##34#</v>
      </c>
    </row>
    <row r="147" spans="2:5" x14ac:dyDescent="0.75">
      <c r="B147" s="11" t="str">
        <f>Treatment!B145</f>
        <v>neckLevelsIrradiatedLeft</v>
      </c>
      <c r="C147" s="11" t="s">
        <v>168</v>
      </c>
      <c r="E147" s="12" t="str">
        <f t="shared" si="2"/>
        <v>* neckLevelsIrradiatedLeft -&gt; ##34#TBD##34#</v>
      </c>
    </row>
    <row r="148" spans="2:5" x14ac:dyDescent="0.75">
      <c r="B148" s="11" t="str">
        <f>Treatment!B146</f>
        <v>ctvHighExpansion</v>
      </c>
      <c r="C148" s="11" t="s">
        <v>168</v>
      </c>
      <c r="E148" s="12" t="str">
        <f t="shared" si="2"/>
        <v>* ctvHighExpansion -&gt; ##34#TBD##34#</v>
      </c>
    </row>
    <row r="149" spans="2:5" x14ac:dyDescent="0.75">
      <c r="B149" s="11" t="str">
        <f>Treatment!B147</f>
        <v>ptvHighExpansion</v>
      </c>
      <c r="C149" s="11" t="s">
        <v>168</v>
      </c>
      <c r="E149" s="12" t="str">
        <f t="shared" si="2"/>
        <v>* ptvHighExpansion -&gt; ##34#TBD##34#</v>
      </c>
    </row>
    <row r="150" spans="2:5" x14ac:dyDescent="0.75">
      <c r="B150" s="11" t="str">
        <f>Treatment!B148</f>
        <v>v60OfSkin</v>
      </c>
      <c r="C150" s="11" t="s">
        <v>168</v>
      </c>
      <c r="E150" s="12" t="str">
        <f t="shared" si="2"/>
        <v>* v60OfSkin -&gt; ##34#TBD##34#</v>
      </c>
    </row>
    <row r="151" spans="2:5" x14ac:dyDescent="0.75">
      <c r="B151" s="11" t="str">
        <f>Treatment!B149</f>
        <v>treatmentCompletedAsPlanned</v>
      </c>
      <c r="C151" s="11" t="s">
        <v>168</v>
      </c>
      <c r="E151" s="12" t="str">
        <f t="shared" si="2"/>
        <v>* treatmentCompletedAsPlanned -&gt; ##34#TBD##34#</v>
      </c>
    </row>
    <row r="152" spans="2:5" x14ac:dyDescent="0.75">
      <c r="B152" s="11" t="str">
        <f>Treatment!B150</f>
        <v>hospitalizedDuringRt</v>
      </c>
      <c r="C152" s="11" t="s">
        <v>168</v>
      </c>
      <c r="E152" s="12" t="str">
        <f t="shared" si="2"/>
        <v>* hospitalizedDuringRt -&gt; ##34#TBD##34#</v>
      </c>
    </row>
    <row r="153" spans="2:5" x14ac:dyDescent="0.75">
      <c r="B153" s="11" t="str">
        <f>Treatment!B151</f>
        <v>carotidBlowout</v>
      </c>
      <c r="C153" s="11" t="s">
        <v>168</v>
      </c>
      <c r="E153" s="12" t="str">
        <f t="shared" si="2"/>
        <v>* carotidBlowout -&gt; ##34#TBD##34#</v>
      </c>
    </row>
    <row r="154" spans="2:5" x14ac:dyDescent="0.75">
      <c r="B154" s="11" t="str">
        <f>Treatment!B152</f>
        <v>feedingTubeDuringRt</v>
      </c>
      <c r="C154" s="11" t="s">
        <v>168</v>
      </c>
      <c r="E154" s="12" t="str">
        <f t="shared" si="2"/>
        <v>* feedingTubeDuringRt -&gt; ##34#TBD##34#</v>
      </c>
    </row>
    <row r="155" spans="2:5" x14ac:dyDescent="0.75">
      <c r="B155" s="11" t="str">
        <f>Treatment!B153</f>
        <v>feedingTubeReason</v>
      </c>
      <c r="C155" s="11" t="s">
        <v>168</v>
      </c>
      <c r="E155" s="12" t="str">
        <f t="shared" si="2"/>
        <v>* feedingTubeReason -&gt; ##34#TBD##34#</v>
      </c>
    </row>
    <row r="156" spans="2:5" x14ac:dyDescent="0.75">
      <c r="B156" s="11" t="str">
        <f>Treatment!B154</f>
        <v>smokingDuringRt</v>
      </c>
      <c r="C156" s="11" t="s">
        <v>168</v>
      </c>
      <c r="E156" s="12" t="str">
        <f t="shared" si="2"/>
        <v>* smokingDuringRt -&gt; ##34#TBD##34#</v>
      </c>
    </row>
    <row r="157" spans="2:5" x14ac:dyDescent="0.75">
      <c r="B157" s="11" t="str">
        <f>Treatment!B155</f>
        <v>alcoholDuringRt</v>
      </c>
      <c r="C157" s="11" t="s">
        <v>168</v>
      </c>
      <c r="E157" s="12" t="str">
        <f t="shared" si="2"/>
        <v>* alcoholDuringRt -&gt; ##34#TBD##34#</v>
      </c>
    </row>
    <row r="158" spans="2:5" x14ac:dyDescent="0.75">
      <c r="B158" s="11" t="str">
        <f>Treatment!B156</f>
        <v>otherTypeOfTreatment</v>
      </c>
      <c r="C158" s="11" t="s">
        <v>168</v>
      </c>
      <c r="E158" s="12" t="str">
        <f t="shared" si="2"/>
        <v>* otherTypeOfTreatment -&gt; ##34#TBD##34#</v>
      </c>
    </row>
    <row r="159" spans="2:5" x14ac:dyDescent="0.75">
      <c r="B159" s="11" t="str">
        <f>Treatment!B157</f>
        <v>otherTreatmentPerformed</v>
      </c>
      <c r="C159" s="11" t="s">
        <v>168</v>
      </c>
      <c r="E159" s="12" t="str">
        <f t="shared" si="2"/>
        <v>* otherTreatmentPerformed -&gt; ##34#TBD##34#</v>
      </c>
    </row>
    <row r="160" spans="2:5" x14ac:dyDescent="0.75">
      <c r="B160" s="11" t="str">
        <f>Treatment!B158</f>
        <v>dateOfStart</v>
      </c>
      <c r="C160" s="11" t="s">
        <v>168</v>
      </c>
      <c r="E160" s="12" t="str">
        <f t="shared" si="2"/>
        <v>* dateOfStart -&gt; ##34#TBD##34#</v>
      </c>
    </row>
    <row r="161" spans="2:5" x14ac:dyDescent="0.75">
      <c r="B161" s="11" t="str">
        <f>Treatment!B159</f>
        <v>dateOfOtherTreatmentDayUnknown</v>
      </c>
      <c r="C161" s="11" t="s">
        <v>168</v>
      </c>
      <c r="E161" s="12" t="str">
        <f t="shared" si="2"/>
        <v>* dateOfOtherTreatmentDayUnknown -&gt; ##34#TBD##34#</v>
      </c>
    </row>
    <row r="162" spans="2:5" x14ac:dyDescent="0.75">
      <c r="B162" s="11" t="str">
        <f>Treatment!B160</f>
        <v>dateOfEnd</v>
      </c>
      <c r="C162" s="11" t="s">
        <v>168</v>
      </c>
      <c r="E162" s="12" t="str">
        <f t="shared" si="2"/>
        <v>* dateOfEnd -&gt; ##34#TBD##34#</v>
      </c>
    </row>
    <row r="163" spans="2:5" x14ac:dyDescent="0.75">
      <c r="B163" s="11" t="str">
        <f>Treatment!B161</f>
        <v>dateOfEndOtherTreatmentDayUnknown</v>
      </c>
      <c r="C163" s="11" t="s">
        <v>168</v>
      </c>
      <c r="E163" s="12" t="str">
        <f t="shared" si="2"/>
        <v>* dateOfEndOtherTreatmentDayUnknown -&gt; ##34#TBD##34#</v>
      </c>
    </row>
    <row r="164" spans="2:5" x14ac:dyDescent="0.75">
      <c r="B164" s="11" t="str">
        <f>Treatment!B162</f>
        <v>type</v>
      </c>
      <c r="C164" s="11" t="s">
        <v>168</v>
      </c>
      <c r="E164" s="12" t="str">
        <f t="shared" si="2"/>
        <v>* type -&gt; ##34#TBD##34#</v>
      </c>
    </row>
    <row r="165" spans="2:5" x14ac:dyDescent="0.75">
      <c r="B165" s="11" t="str">
        <f>Treatment!B163</f>
        <v>treatmentCompleted</v>
      </c>
      <c r="C165" s="11" t="s">
        <v>168</v>
      </c>
      <c r="E165" s="12" t="str">
        <f t="shared" si="2"/>
        <v>* treatmentCompleted -&gt; ##34#TBD##34#</v>
      </c>
    </row>
    <row r="166" spans="2:5" x14ac:dyDescent="0.75">
      <c r="B166" s="11" t="str">
        <f>Treatment!B164</f>
        <v>overallTreatmentResponse</v>
      </c>
      <c r="C166" s="11" t="s">
        <v>168</v>
      </c>
      <c r="E166" s="12" t="str">
        <f t="shared" si="2"/>
        <v>* overallTreatmentResponse -&gt; ##34#TBD##34#</v>
      </c>
    </row>
    <row r="167" spans="2:5" x14ac:dyDescent="0.75">
      <c r="B167" s="11" t="str">
        <f>Treatment!B165</f>
        <v>treatmentResponseBasedOnImagingAloneNoRecistOrOtherCriteria-2</v>
      </c>
      <c r="C167" s="11" t="s">
        <v>168</v>
      </c>
      <c r="E167" s="12" t="str">
        <f t="shared" si="2"/>
        <v>* treatmentResponseBasedOnImagingAloneNoRecistOrOtherCriteria-2 -&gt; ##34#TBD##34#</v>
      </c>
    </row>
    <row r="168" spans="2:5" x14ac:dyDescent="0.75">
      <c r="B168" s="11" t="str">
        <f>Treatment!B166</f>
        <v>treatmentResponseDefineddone</v>
      </c>
      <c r="C168" s="11" t="s">
        <v>168</v>
      </c>
      <c r="E168" s="12" t="str">
        <f t="shared" si="2"/>
        <v>* treatmentResponseDefineddone -&gt; ##34#TBD##34#</v>
      </c>
    </row>
    <row r="169" spans="2:5" x14ac:dyDescent="0.75">
      <c r="B169" s="11" t="str">
        <f>Treatment!B167</f>
        <v>patientIncludedInClinicalTrial</v>
      </c>
      <c r="C169" s="11" t="s">
        <v>168</v>
      </c>
      <c r="E169" s="12" t="str">
        <f t="shared" si="2"/>
        <v>* patientIncludedInClinicalTrial -&gt; ##34#TBD##34#</v>
      </c>
    </row>
    <row r="170" spans="2:5" x14ac:dyDescent="0.75">
      <c r="B170" s="11" t="str">
        <f>Treatment!B168</f>
        <v>patientIncludedInAClinicalTrial</v>
      </c>
      <c r="C170" s="11" t="s">
        <v>168</v>
      </c>
      <c r="E170" s="12" t="str">
        <f t="shared" si="2"/>
        <v>* patientIncludedInAClinicalTrial -&gt; ##34#TBD##34#</v>
      </c>
    </row>
    <row r="171" spans="2:5" x14ac:dyDescent="0.75">
      <c r="B171" s="11" t="str">
        <f>Treatment!B169</f>
        <v>clinicalTrialCode</v>
      </c>
      <c r="C171" s="11" t="s">
        <v>168</v>
      </c>
      <c r="E171" s="12" t="str">
        <f t="shared" si="2"/>
        <v>* clinicalTrialCode -&gt; ##34#TBD##34#</v>
      </c>
    </row>
    <row r="172" spans="2:5" x14ac:dyDescent="0.75">
      <c r="B172" s="11" t="str">
        <f>Treatment!B170</f>
        <v>instrumentStatus</v>
      </c>
      <c r="C172" s="11" t="s">
        <v>168</v>
      </c>
      <c r="E172" s="12" t="str">
        <f t="shared" si="2"/>
        <v>* instrumentStatus -&gt; ##34#TBD##34#</v>
      </c>
    </row>
    <row r="173" spans="2:5" x14ac:dyDescent="0.75">
      <c r="B173" s="11"/>
      <c r="E173" s="12" t="str">
        <f t="shared" si="2"/>
        <v>*  -&gt; ##34###34#</v>
      </c>
    </row>
    <row r="174" spans="2:5" x14ac:dyDescent="0.75">
      <c r="B174" s="11"/>
      <c r="E174" s="12" t="str">
        <f t="shared" si="2"/>
        <v>*  -&gt; ##34###34#</v>
      </c>
    </row>
    <row r="175" spans="2:5" x14ac:dyDescent="0.75">
      <c r="B175" s="11"/>
      <c r="E175" s="12" t="str">
        <f t="shared" si="2"/>
        <v>*  -&gt; ##34###34#</v>
      </c>
    </row>
    <row r="176" spans="2:5" x14ac:dyDescent="0.75">
      <c r="B176" s="11"/>
      <c r="E176" s="12" t="str">
        <f t="shared" si="2"/>
        <v>*  -&gt; ##34###34#</v>
      </c>
    </row>
    <row r="177" spans="2:5" x14ac:dyDescent="0.75">
      <c r="B177" s="11"/>
      <c r="E177" s="12" t="str">
        <f t="shared" si="2"/>
        <v>*  -&gt; ##34###34#</v>
      </c>
    </row>
    <row r="178" spans="2:5" x14ac:dyDescent="0.75">
      <c r="B178" s="11"/>
    </row>
    <row r="179" spans="2:5" x14ac:dyDescent="0.75">
      <c r="B179" s="11"/>
    </row>
    <row r="180" spans="2:5" x14ac:dyDescent="0.75">
      <c r="B180"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Treatment!J1</f>
        <v>//===================================================</v>
      </c>
    </row>
    <row r="2" spans="3:7" ht="16.75" thickBot="1" x14ac:dyDescent="0.9">
      <c r="C2" s="25" t="str">
        <f>Treatment!J2</f>
        <v>//  Logical Model</v>
      </c>
      <c r="G2" s="30" t="s">
        <v>859</v>
      </c>
    </row>
    <row r="3" spans="3:7" x14ac:dyDescent="0.75">
      <c r="C3" s="25" t="str">
        <f>Treatment!J3</f>
        <v>//===================================================</v>
      </c>
    </row>
    <row r="4" spans="3:7" x14ac:dyDescent="0.75">
      <c r="C4" s="17" t="str">
        <f>Treatment!J4</f>
        <v>Logical: TreatmentI4rc</v>
      </c>
    </row>
    <row r="5" spans="3:7" x14ac:dyDescent="0.75">
      <c r="C5" s="17" t="str">
        <f>Treatment!J5</f>
        <v>Id: Treatment</v>
      </c>
    </row>
    <row r="6" spans="3:7" x14ac:dyDescent="0.75">
      <c r="C6" s="17" t="str">
        <f>Treatment!J6</f>
        <v>Title: ##34#Treatment##34#</v>
      </c>
    </row>
    <row r="7" spans="3:7" ht="29.5" x14ac:dyDescent="0.75">
      <c r="C7" s="17" t="str">
        <f>Treatment!J7</f>
        <v>Description:  ##334#Treatment
Maturity Level: 0 Draft##334#</v>
      </c>
    </row>
    <row r="8" spans="3:7" x14ac:dyDescent="0.75">
      <c r="C8" s="12" t="str">
        <f>IF(Treatment!J8="*  ..  ##34###34# ##334###334#","//--- END",Treatment!J8)</f>
        <v>* surgery 0..1 BackboneElement ##34#Surgery ##34# ##334#Surgery ##334#</v>
      </c>
    </row>
    <row r="9" spans="3:7" ht="29.5" x14ac:dyDescent="0.7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x14ac:dyDescent="0.75">
      <c r="C10" s="12" t="str">
        <f>IF(Treatment!J10="*  ..  ##34###34# ##334###334#","//--- END",Treatment!J10)</f>
        <v>* dateOfTumourSurgery 0..1 date ##34#Date of tumour surgery##34# ##334#Date of the surgery for primary tumor with or without neck surgery##334#</v>
      </c>
    </row>
    <row r="11" spans="3:7" ht="44.25" x14ac:dyDescent="0.7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x14ac:dyDescent="0.7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x14ac:dyDescent="0.75">
      <c r="C13" s="12" t="str">
        <f>IF(Treatment!J13="*  ..  ##34###34# ##334###334#","//--- END",Treatment!J13)</f>
        <v>* tumorSurgeryDevice 0..1 string ##34#Tumor surgery device##34# ##334#Describes  the device used LASER  Robot##334#</v>
      </c>
    </row>
    <row r="14" spans="3:7" x14ac:dyDescent="0.75">
      <c r="C14" s="12" t="str">
        <f>IF(Treatment!J14="*  ..  ##34###34# ##334###334#","//--- END",Treatment!J14)</f>
        <v>* surgicalProcedure 0..* BackboneElement ##34#Surgical procedure##34# ##334#Describes the procedure performed##334#</v>
      </c>
    </row>
    <row r="15" spans="3:7" ht="44.25" x14ac:dyDescent="0.7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x14ac:dyDescent="0.7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x14ac:dyDescent="0.75">
      <c r="C17" s="12" t="str">
        <f>IF(Treatment!J17="*  ..  ##34###34# ##334###334#","//--- END",Treatment!J17)</f>
        <v>* surgicalProcedure.surgicalProcedureSalivaryGland 0..1 string ##34#Surgical Procedure Salivary Gland##34# ##334#Describes the procedure performed on salivary glands ##334#</v>
      </c>
    </row>
    <row r="18" spans="3:3" ht="29.5" x14ac:dyDescent="0.75">
      <c r="C18" s="12" t="str">
        <f>IF(Treatment!J18="*  ..  ##34###34# ##334###334#","//--- END",Treatment!J18)</f>
        <v>* surgicalProcedure.surgicalProcedureEar 0..1 string ##34#Surgical procedure Ear##34# ##334#Describes the procedure performed onear and temporal bone##334#</v>
      </c>
    </row>
    <row r="19" spans="3:3" ht="29.5" x14ac:dyDescent="0.75">
      <c r="C19" s="12" t="str">
        <f>IF(Treatment!J19="*  ..  ##34###34# ##334###334#","//--- END",Treatment!J19)</f>
        <v>* surgicalProcedure.surgicalProcedureLip 0..1 string ##34#Surgical procedure  Lip##34# ##334#Describes the procedure performed on the lip##334#</v>
      </c>
    </row>
    <row r="20" spans="3:3" ht="29.5" x14ac:dyDescent="0.75">
      <c r="C20" s="12" t="str">
        <f>IF(Treatment!J20="*  ..  ##34###34# ##334###334#","//--- END",Treatment!J20)</f>
        <v>* surgicalProcedure.surgicalProcedureOralCavity 0..1 string ##34#Surgical procedure Oral cavity##34# ##334#Describes the procedure performed on the oral cavity##334#</v>
      </c>
    </row>
    <row r="21" spans="3:3" ht="29.5" x14ac:dyDescent="0.75">
      <c r="C21" s="12" t="str">
        <f>IF(Treatment!J21="*  ..  ##34###34# ##334###334#","//--- END",Treatment!J21)</f>
        <v>* surgicalProcedure.surgicalProcedureMandibulectomy 0..1 string ##34#Surgical procedure mandibulectomy##34# ##334#Describes the procedure performed on the mandible##334#</v>
      </c>
    </row>
    <row r="22" spans="3:3" ht="59" x14ac:dyDescent="0.75">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x14ac:dyDescent="0.75">
      <c r="C23" s="12" t="str">
        <f>IF(Treatment!J23="*  ..  ##34###34# ##334###334#","//--- END",Treatment!J23)</f>
        <v>* surgicalProcedure.surgicalProcedureHypopharynx 0..1 string ##34#Surgical procedure Hypopharynx##34# ##334#Describes the procedure performed on the hypopharynx##334#</v>
      </c>
    </row>
    <row r="24" spans="3:3" ht="147.5" x14ac:dyDescent="0.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x14ac:dyDescent="0.75">
      <c r="C25" s="12" t="str">
        <f>IF(Treatment!J25="*  ..  ##34###34# ##334###334#","//--- END",Treatment!J25)</f>
        <v>* reconstruction 0..1 BackboneElement ##34#Reconstruction##34# ##334#Reconstruction procedure that was performed after tomor removal to restore either shape or function##334#</v>
      </c>
    </row>
    <row r="26" spans="3:3" ht="29.5" x14ac:dyDescent="0.75">
      <c r="C26" s="12" t="str">
        <f>IF(Treatment!J26="*  ..  ##34###34# ##334###334#","//--- END",Treatment!J26)</f>
        <v>* reconstruction.flag 0..1 string ##34#Reconstruction##34# ##334#Describes whether a reconstruction procedure was performed after tomor removal to restore either shape or function##334#</v>
      </c>
    </row>
    <row r="27" spans="3:3" ht="59" x14ac:dyDescent="0.75">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x14ac:dyDescent="0.75">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x14ac:dyDescent="0.7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x14ac:dyDescent="0.75">
      <c r="C30" s="12" t="str">
        <f>IF(Treatment!J30="*  ..  ##34###34# ##334###334#","//--- END",Treatment!J30)</f>
        <v>* neckSurgery 0..1 string ##34#Neck surgery##34# ##334#Describes whether a surgical procedure to treat and address the neck was performed or not ##334#</v>
      </c>
    </row>
    <row r="31" spans="3:3" ht="29.5" x14ac:dyDescent="0.7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x14ac:dyDescent="0.75">
      <c r="C32" s="12" t="str">
        <f>IF(Treatment!J32="*  ..  ##34###34# ##334###334#","//--- END",Treatment!J32)</f>
        <v>* dateOfNeckSurgeryDayUnknown 0..1 date ##34#Date of neck surgery day unknown##34# ##334#Describes if the day of neck surgery is unknwon##334#</v>
      </c>
    </row>
    <row r="33" spans="3:3" ht="29.5" x14ac:dyDescent="0.75">
      <c r="C33" s="12" t="str">
        <f>IF(Treatment!J33="*  ..  ##34###34# ##334###334#","//--- END",Treatment!J33)</f>
        <v>* nodePicking 0..1 string ##34#Node picking##34# ##334#Describes whether a nonprotocoled and nonstandardized resection of more than one lymph node is performed or not##334#</v>
      </c>
    </row>
    <row r="34" spans="3:3" ht="29.5" x14ac:dyDescent="0.75">
      <c r="C34" s="12" t="str">
        <f>IF(Treatment!J34="*  ..  ##34###34# ##334###334#","//--- END",Treatment!J34)</f>
        <v>* neckDissection 0..1 string ##34#Neck dissection##34# ##334#Describes whether a protocoled and standardized en block resection of lymphatic tissue is performed or not##334#</v>
      </c>
    </row>
    <row r="35" spans="3:3" ht="73.75" x14ac:dyDescent="0.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x14ac:dyDescent="0.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x14ac:dyDescent="0.7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x14ac:dyDescent="0.75">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x14ac:dyDescent="0.7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x14ac:dyDescent="0.75">
      <c r="C40" s="12" t="str">
        <f>IF(Treatment!J40="*  ..  ##34###34# ##334###334#","//--- END",Treatment!J40)</f>
        <v>* surgeryOnM 0..1 string ##34#Surgery on M##34# ##334#Describes whether surgery is performed to treat the Metastasis##334#</v>
      </c>
    </row>
    <row r="41" spans="3:3" ht="29.5" x14ac:dyDescent="0.75">
      <c r="C41" s="12" t="str">
        <f>IF(Treatment!J41="*  ..  ##34###34# ##334###334#","//--- END",Treatment!J41)</f>
        <v>* siteOfSurgeryOnMetastasis 0..1 BackboneElement ##34#Site of surgery on metastasis##34# ##334#Site of surgery on metastasis##334#</v>
      </c>
    </row>
    <row r="42" spans="3:3" ht="29.5" x14ac:dyDescent="0.75">
      <c r="C42" s="12" t="str">
        <f>IF(Treatment!J42="*  ..  ##34###34# ##334###334#","//--- END",Treatment!J42)</f>
        <v>* siteOfSurgeryOnMetastasisSoftTissue 0..1 string ##34#Site of surgery on metastasis soft tissue##34# ##334#Describes if site of surgery on metastasis  is soft tissue##334#</v>
      </c>
    </row>
    <row r="43" spans="3:3" ht="29.5" x14ac:dyDescent="0.75">
      <c r="C43" s="12" t="str">
        <f>IF(Treatment!J43="*  ..  ##34###34# ##334###334#","//--- END",Treatment!J43)</f>
        <v>* siteOfSurgeryOnMetastasisDistantLymphNodes 0..1 string ##34#Site of surgery on metastasis distant lymph nodes##34# ##334#Describes if site of surgery on metastasis  is dystan lymph node##334#</v>
      </c>
    </row>
    <row r="44" spans="3:3" ht="29.5" x14ac:dyDescent="0.75">
      <c r="C44" s="12" t="str">
        <f>IF(Treatment!J44="*  ..  ##34###34# ##334###334#","//--- END",Treatment!J44)</f>
        <v>* siteOfSurgeryOnMetastasisLung 0..1 string ##34#Site of surgery on metastasis lung##34# ##334#Describes if site of surgery on metastasis  is lung##334#</v>
      </c>
    </row>
    <row r="45" spans="3:3" ht="29.5" x14ac:dyDescent="0.75">
      <c r="C45" s="12" t="str">
        <f>IF(Treatment!J45="*  ..  ##34###34# ##334###334#","//--- END",Treatment!J45)</f>
        <v>* siteOfSurgeryOnMetastasisBone 0..1 string ##34#Site of surgery on metastasis bone##34# ##334#Describes if site of surgery on metastasis  is bone##334#</v>
      </c>
    </row>
    <row r="46" spans="3:3" ht="29.5" x14ac:dyDescent="0.75">
      <c r="C46" s="12" t="str">
        <f>IF(Treatment!J46="*  ..  ##34###34# ##334###334#","//--- END",Treatment!J46)</f>
        <v>* siteOfSurgeryOnMetastasisLiver 0..1 string ##34#Site of surgery on metastasis liver##34# ##334#Describes if site of surgery on metastasis  is liver##334#</v>
      </c>
    </row>
    <row r="47" spans="3:3" ht="29.5" x14ac:dyDescent="0.75">
      <c r="C47" s="12" t="str">
        <f>IF(Treatment!J47="*  ..  ##34###34# ##334###334#","//--- END",Treatment!J47)</f>
        <v>* siteOfSurgeryOnMetastasisPleura 0..1 string ##34#Site of surgery on metastasis pleura##34# ##334#Describes if site of surgery on metastasis  is pleura##334#</v>
      </c>
    </row>
    <row r="48" spans="3:3" ht="29.5" x14ac:dyDescent="0.75">
      <c r="C48" s="12" t="str">
        <f>IF(Treatment!J48="*  ..  ##34###34# ##334###334#","//--- END",Treatment!J48)</f>
        <v>* siteOfSurgeryOnMetastasisPeritoneum 0..1 string ##34#Site of surgery on metastasis peritoneum##34# ##334#Describes if site of surgery on metastasis  is peritoneum##334#</v>
      </c>
    </row>
    <row r="49" spans="3:3" ht="29.5" x14ac:dyDescent="0.75">
      <c r="C49" s="12" t="str">
        <f>IF(Treatment!J49="*  ..  ##34###34# ##334###334#","//--- END",Treatment!J49)</f>
        <v>* siteOfSurgeryOnMetastasisBrain 0..1 string ##34#Site of surgery on metastasis brain##34# ##334#Describes if site of surgery on metastasis  is brain##334#</v>
      </c>
    </row>
    <row r="50" spans="3:3" ht="29.5" x14ac:dyDescent="0.75">
      <c r="C50" s="12" t="str">
        <f>IF(Treatment!J50="*  ..  ##34###34# ##334###334#","//--- END",Treatment!J50)</f>
        <v>* siteOfSurgeryOnMetastasisOtherViscera 0..1 string ##34#Site of surgery on metastasis other viscera##34# ##334#Describes if site of surgery on metastasis  is other viscera##334#</v>
      </c>
    </row>
    <row r="51" spans="3:3" ht="29.5" x14ac:dyDescent="0.75">
      <c r="C51" s="12" t="str">
        <f>IF(Treatment!J51="*  ..  ##34###34# ##334###334#","//--- END",Treatment!J51)</f>
        <v>* siteOfSurgeryOnMetastasisUnknown 0..1 string ##34#Site of surgery on metastasis unknown##34# ##334#Describes if site of surgery on metastasis  is unknown##334#</v>
      </c>
    </row>
    <row r="52" spans="3:3" ht="29.5" x14ac:dyDescent="0.75">
      <c r="C52" s="12" t="str">
        <f>IF(Treatment!J52="*  ..  ##34###34# ##334###334#","//--- END",Treatment!J52)</f>
        <v>* dateOfSurgeryOnMIfDifferentFromDateOfTumorSiteSurgery 0..1 date ##34#Date of surgery on M  if different from date of tumor site surgery##34# ##334#Date of the surgery on the metastasis##334#</v>
      </c>
    </row>
    <row r="53" spans="3:3" ht="44.25" x14ac:dyDescent="0.7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x14ac:dyDescent="0.7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x14ac:dyDescent="0.7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x14ac:dyDescent="0.75">
      <c r="C56" s="12" t="str">
        <f>IF(Treatment!J56="*  ..  ##34###34# ##334###334#","//--- END",Treatment!J56)</f>
        <v>* dateOfUnplannedSurgery 0..1 date ##34#Date of unplanned surgery##34# ##334#Date of the unplanned surgery##334#</v>
      </c>
    </row>
    <row r="57" spans="3:3" ht="103.25" x14ac:dyDescent="0.7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x14ac:dyDescent="0.75">
      <c r="C58" s="12" t="str">
        <f>IF(Treatment!J58="*  ..  ##34###34# ##334###334#","//--- END",Treatment!J58)</f>
        <v>* unplannedNeckSurgery 0..1 string ##34#Unplanned neck surgery##34# ##334#Describes whether an unplanned surgical procedure to treat and address the neck was performed or not ##334#</v>
      </c>
    </row>
    <row r="59" spans="3:3" x14ac:dyDescent="0.75">
      <c r="C59" s="12" t="str">
        <f>IF(Treatment!J59="*  ..  ##34###34# ##334###334#","//--- END",Treatment!J59)</f>
        <v>* systemicTreament 0..1 BackboneElement ##34#Systemic Treament##34# ##334#Systemic Treament##334#</v>
      </c>
    </row>
    <row r="60" spans="3:3" ht="44.25" x14ac:dyDescent="0.7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x14ac:dyDescent="0.7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x14ac:dyDescent="0.75">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x14ac:dyDescent="0.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x14ac:dyDescent="0.75">
      <c r="C64" s="12" t="str">
        <f>IF(Treatment!J64="*  ..  ##34###34# ##334###334#","//--- END",Treatment!J64)</f>
        <v>* startDateSystemicTreatment 0..1 date ##34#Start date systemic treatment##34# ##334#Specifies when systemic treatment begins##334#</v>
      </c>
    </row>
    <row r="65" spans="3:3" ht="29.5" x14ac:dyDescent="0.75">
      <c r="C65" s="12" t="str">
        <f>IF(Treatment!J65="*  ..  ##34###34# ##334###334#","//--- END",Treatment!J65)</f>
        <v>* startDateSystemicTreatmentDayUnknown 0..1 date ##34#Start date systemic treatment  day unknown##34# ##334#Describes if the day of start systemic treatment is unknwon##334#</v>
      </c>
    </row>
    <row r="66" spans="3:3" ht="29.5" x14ac:dyDescent="0.75">
      <c r="C66" s="12" t="str">
        <f>IF(Treatment!J66="*  ..  ##34###34# ##334###334#","//--- END",Treatment!J66)</f>
        <v>* endDateSystemicTreatment 0..1 date ##34#End date systemic treatment##34# ##334#Specifies when systemic treatment ends##334#</v>
      </c>
    </row>
    <row r="67" spans="3:3" ht="29.5" x14ac:dyDescent="0.75">
      <c r="C67" s="12" t="str">
        <f>IF(Treatment!J67="*  ..  ##34###34# ##334###334#","//--- END",Treatment!J67)</f>
        <v>* endDateSystemicTreatmentDayUnknown 0..1 date ##34#End date systemic treatment  day unknown##34# ##334#Describes if the day of end of systemic treatment is unknwon##334#</v>
      </c>
    </row>
    <row r="68" spans="3:3" ht="59" x14ac:dyDescent="0.75">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x14ac:dyDescent="0.7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x14ac:dyDescent="0.75">
      <c r="C70" s="12" t="str">
        <f>IF(Treatment!J70="*  ..  ##34###34# ##334###334#","//--- END",Treatment!J70)</f>
        <v>* drugs1 0..1 string ##34#Drugs 1##34# ##334#autosuggested functionality for realtime searching within biomedical ontologies##334#</v>
      </c>
    </row>
    <row r="71" spans="3:3" ht="29.5" x14ac:dyDescent="0.75">
      <c r="C71" s="12" t="str">
        <f>IF(Treatment!J71="*  ..  ##34###34# ##334###334#","//--- END",Treatment!J71)</f>
        <v>* drugs2 0..1 string ##34#Drugs 2##34# ##334#autosuggested functionality for realtime searching within biomedical ontologies##334#</v>
      </c>
    </row>
    <row r="72" spans="3:3" ht="29.5" x14ac:dyDescent="0.75">
      <c r="C72" s="12" t="str">
        <f>IF(Treatment!J72="*  ..  ##34###34# ##334###334#","//--- END",Treatment!J72)</f>
        <v>* drugs3 0..1 string ##34#Drugs 3##34# ##334#autosuggested functionality for realtime searching within biomedical ontologies##334#</v>
      </c>
    </row>
    <row r="73" spans="3:3" ht="29.5" x14ac:dyDescent="0.7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x14ac:dyDescent="0.75">
      <c r="C74" s="12" t="str">
        <f>IF(Treatment!J74="*  ..  ##34###34# ##334###334#","//--- END",Treatment!J74)</f>
        <v>* primerType 0..1 string ##34#Primer type##34# ##334#Describes the primer used for EBV DNA plasma testing duringin NPC type II and Type III WHO##334#</v>
      </c>
    </row>
    <row r="75" spans="3:3" x14ac:dyDescent="0.75">
      <c r="C75" s="12" t="str">
        <f>IF(Treatment!J75="*  ..  ##34###34# ##334###334#","//--- END",Treatment!J75)</f>
        <v>* copyNumber 0..1 integer ##34#Copy Number##34# ##334#Copy number of EBVDNA in NPC##334#</v>
      </c>
    </row>
    <row r="76" spans="3:3" ht="29.5" x14ac:dyDescent="0.7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x14ac:dyDescent="0.75">
      <c r="C77" s="12" t="str">
        <f>IF(Treatment!J77="*  ..  ##34###34# ##334###334#","//--- END",Treatment!J77)</f>
        <v>* afterTreatment-primerType 0..1 string ##34#Primer type##34# ##334#Describes the primer used for EBV DNA plasma testing after treatment in NPC type II and Type III WHO##334#</v>
      </c>
    </row>
    <row r="78" spans="3:3" x14ac:dyDescent="0.75">
      <c r="C78" s="12" t="str">
        <f>IF(Treatment!J78="*  ..  ##34###34# ##334###334#","//--- END",Treatment!J78)</f>
        <v>* copyNumber 0..1 integer ##34#Copy Number##34# ##334#Copy number of EBVDNA in NPC##334#</v>
      </c>
    </row>
    <row r="79" spans="3:3" ht="29.5" x14ac:dyDescent="0.75">
      <c r="C79" s="12" t="str">
        <f>IF(Treatment!J79="*  ..  ##34###34# ##334###334#","//--- END",Treatment!J79)</f>
        <v>* reasonForEndOfTreatment 0..1 string ##34#Reason for end of treatment##34# ##334#Clarifies the reasons why the treatment ended or was interrupted##334#</v>
      </c>
    </row>
    <row r="80" spans="3:3" ht="29.5" x14ac:dyDescent="0.75">
      <c r="C80" s="12" t="str">
        <f>IF(Treatment!J80="*  ..  ##34###34# ##334###334#","//--- END",Treatment!J80)</f>
        <v>* regimenChanged 0..1 string ##34#Regimen changed##34# ##334#Clarifies if the regimen drug changed after a toxicity or a patient intolerance##334#</v>
      </c>
    </row>
    <row r="81" spans="3:3" ht="59" x14ac:dyDescent="0.75">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x14ac:dyDescent="0.75">
      <c r="C82" s="12" t="str">
        <f>IF(Treatment!J82="*  ..  ##34###34# ##334###334#","//--- END",Treatment!J82)</f>
        <v>* regimenChanged-otherDrug1 0..1 string ##34#Other Drug1##34# ##334#Specifies the drug if not present in the regimen list up to 3 selection##334#</v>
      </c>
    </row>
    <row r="83" spans="3:3" x14ac:dyDescent="0.75">
      <c r="C83" s="12" t="str">
        <f>IF(Treatment!J83="*  ..  ##34###34# ##334###334#","//--- END",Treatment!J83)</f>
        <v>* regimenChanged-otherDrug2 0..1 BackboneElement ##34#Other Drug2##34# ##334#Other Drug2##334#</v>
      </c>
    </row>
    <row r="84" spans="3:3" x14ac:dyDescent="0.75">
      <c r="C84" s="12" t="str">
        <f>IF(Treatment!J84="*  ..  ##34###34# ##334###334#","//--- END",Treatment!J84)</f>
        <v>* regimenChanged-otherDrug3 0..1 BackboneElement ##34#Other Drug3##34# ##334#Other Drug3##334#</v>
      </c>
    </row>
    <row r="85" spans="3:3" ht="29.5" x14ac:dyDescent="0.75">
      <c r="C85" s="12" t="str">
        <f>IF(Treatment!J85="*  ..  ##34###34# ##334###334#","//--- END",Treatment!J85)</f>
        <v>* startDateRegimenChanged 0..1 date ##34#Start date regimen changed##34# ##334#specifies when the new systemic treatment begins if a combination please specify the start of the first drug##334#</v>
      </c>
    </row>
    <row r="86" spans="3:3" ht="29.5" x14ac:dyDescent="0.75">
      <c r="C86" s="12" t="str">
        <f>IF(Treatment!J86="*  ..  ##34###34# ##334###334#","//--- END",Treatment!J86)</f>
        <v>* startDateRegimenChangedDayUnknown 0..1 date ##34#Start date regimen changed  day unknown##34# ##334#Describes if the day of the begining of the  new systemic treatment  is unknwon##334#</v>
      </c>
    </row>
    <row r="87" spans="3:3" ht="29.5" x14ac:dyDescent="0.75">
      <c r="C87" s="12" t="str">
        <f>IF(Treatment!J87="*  ..  ##34###34# ##334###334#","//--- END",Treatment!J87)</f>
        <v>* endDateRegimenChanged 0..1 date ##34#End date regimen changed##34# ##334#specifies when the new  systemic treatment endsif a combination please specify the end of the last drug##334#</v>
      </c>
    </row>
    <row r="88" spans="3:3" ht="29.5" x14ac:dyDescent="0.75">
      <c r="C88" s="12" t="str">
        <f>IF(Treatment!J88="*  ..  ##34###34# ##334###334#","//--- END",Treatment!J88)</f>
        <v>* endDateRegimenChangedDayUnknown 0..1 date ##34#End  date regimen changed  day unknown##34# ##334#Describes if the day of the end of the systemic treatment is unknwon##334#</v>
      </c>
    </row>
    <row r="89" spans="3:3" ht="29.5" x14ac:dyDescent="0.75">
      <c r="C89" s="12" t="str">
        <f>IF(Treatment!J89="*  ..  ##34###34# ##334###334#","//--- END",Treatment!J89)</f>
        <v>* regimenChanged-reasonForEndOfTreatment 0..1 string ##34#Reason for end of treatment##34# ##334#Clarifies the reasons why the treatment ended or was interrupted##334#</v>
      </c>
    </row>
    <row r="90" spans="3:3" ht="59" x14ac:dyDescent="0.75">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x14ac:dyDescent="0.75">
      <c r="C91" s="12" t="str">
        <f>IF(Treatment!J91="*  ..  ##34###34# ##334###334#","//--- END",Treatment!J91)</f>
        <v>* treatmentResponseDefinedDone 0..1 string ##34#Treatment response defineddone##34# ##334#Describes whether the treatment response was assessed at the registering hospital or another hospital##334#</v>
      </c>
    </row>
    <row r="92" spans="3:3" ht="29.5" x14ac:dyDescent="0.75">
      <c r="C92" s="12" t="str">
        <f>IF(Treatment!J92="*  ..  ##34###34# ##334###334#","//--- END",Treatment!J92)</f>
        <v>* systemicTreatment2 0..1 string ##34#Systemic treatment 2##34# ##334#Specifies if another systemic treatment was performed##334#</v>
      </c>
    </row>
    <row r="93" spans="3:3" x14ac:dyDescent="0.75">
      <c r="C93" s="12" t="str">
        <f>IF(Treatment!J93="*  ..  ##34###34# ##334###334#","//--- END",Treatment!J93)</f>
        <v>* radiotherapy 0..1 BackboneElement ##34#Radiotherapy##34# ##334###334#</v>
      </c>
    </row>
    <row r="94" spans="3:3" ht="29.5" x14ac:dyDescent="0.7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x14ac:dyDescent="0.75">
      <c r="C95" s="12" t="str">
        <f>IF(Treatment!J95="*  ..  ##34###34# ##334###334#","//--- END",Treatment!J95)</f>
        <v>* intent 0..1 string ##34#Intent##34# ##334#Radiotherapy intent refers to whether the intention of treatment is to cure the patient or to treat symptoms and palliate##334#</v>
      </c>
    </row>
    <row r="96" spans="3:3" ht="29.5" x14ac:dyDescent="0.7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x14ac:dyDescent="0.7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x14ac:dyDescent="0.75">
      <c r="C98" s="12" t="str">
        <f>IF(Treatment!J98="*  ..  ##34###34# ##334###334#","//--- END",Treatment!J98)</f>
        <v>* beamQuality 0..1 string ##34#Beam quality##34# ##334#Describes the type of radiation therapy given If external beam please specify if delivered with Photons most common electrons carbon or protons##334#</v>
      </c>
    </row>
    <row r="99" spans="3:3" x14ac:dyDescent="0.75">
      <c r="C99" s="12" t="str">
        <f>IF(Treatment!J99="*  ..  ##34###34# ##334###334#","//--- END",Treatment!J99)</f>
        <v>* beamQuality-otherSpecify 0..1 BackboneElement ##34#Other specify ##34# ##334###334#</v>
      </c>
    </row>
    <row r="100" spans="3:3" ht="29.5" x14ac:dyDescent="0.75">
      <c r="C100" s="12" t="str">
        <f>IF(Treatment!J100="*  ..  ##34###34# ##334###334#","//--- END",Treatment!J100)</f>
        <v>* treatmentTechnique 0..1 string ##34#Treatment technique##34# ##334#Refers to the type of radiotherapy treatment delivered##334#</v>
      </c>
    </row>
    <row r="101" spans="3:3" x14ac:dyDescent="0.75">
      <c r="C101" s="12" t="str">
        <f>IF(Treatment!J101="*  ..  ##34###34# ##334###334#","//--- END",Treatment!J101)</f>
        <v>* treatmentTechnique-otherSpecify 0..1 BackboneElement ##34#Other specify##34# ##334###334#</v>
      </c>
    </row>
    <row r="102" spans="3:3" ht="29.5" x14ac:dyDescent="0.7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x14ac:dyDescent="0.7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x14ac:dyDescent="0.75">
      <c r="C104" s="12" t="str">
        <f>IF(Treatment!J104="*  ..  ##34###34# ##334###334#","//--- END",Treatment!J104)</f>
        <v>* totalDoseTdGy 0..1 Quantity ##34#Total Dose TD Gy##34# ##334#Refers to the total dose delivered to the patient in Gy##334#</v>
      </c>
    </row>
    <row r="105" spans="3:3" x14ac:dyDescent="0.75">
      <c r="C105" s="12" t="str">
        <f>IF(Treatment!J105="*  ..  ##34###34# ##334###334#","//--- END",Treatment!J105)</f>
        <v>* fractionSizeFs 0..1 Quantity ##34#Fraction Size FS##34# ##334#Refers to the Dose per fraction delivered to the patient##334#</v>
      </c>
    </row>
    <row r="106" spans="3:3" ht="29.5" x14ac:dyDescent="0.75">
      <c r="C106" s="12" t="str">
        <f>IF(Treatment!J106="*  ..  ##34###34# ##334###334#","//--- END",Treatment!J106)</f>
        <v>* numberOfFractions 0..1 integer ##34#Number of fractions##34# ##334#Refers to the total number of fractions delivered to the patient##334#</v>
      </c>
    </row>
    <row r="107" spans="3:3" ht="29.5" x14ac:dyDescent="0.75">
      <c r="C107" s="12" t="str">
        <f>IF(Treatment!J107="*  ..  ##34###34# ##334###334#","//--- END",Treatment!J107)</f>
        <v>* totalHighDoseGy 0..1 Quantity ##34#Total High Dose Gy##34# ##334#Refers to the highest dose delivered to the patient##334#</v>
      </c>
    </row>
    <row r="108" spans="3:3" ht="29.5" x14ac:dyDescent="0.7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x14ac:dyDescent="0.7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x14ac:dyDescent="0.7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x14ac:dyDescent="0.75">
      <c r="C111" s="12" t="str">
        <f>IF(Treatment!J111="*  ..  ##34###34# ##334###334#","//--- END",Treatment!J111)</f>
        <v>* totalLowDoseGy 0..1 Quantity ##34#Total Low Dose Gy##34# ##334#The lowest dose prescribed to the patients tumor##334#</v>
      </c>
    </row>
    <row r="112" spans="3:3" ht="29.5" x14ac:dyDescent="0.7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x14ac:dyDescent="0.75">
      <c r="C113" s="12" t="str">
        <f>IF(Treatment!J113="*  ..  ##34###34# ##334###334#","//--- END",Treatment!J113)</f>
        <v>* fractionationPattern 0..1 BackboneElement ##34#Fractionation Pattern##34# ##334#Refers to the pattern of how the radiation was delivered##334#</v>
      </c>
    </row>
    <row r="114" spans="3:3" ht="44.25" x14ac:dyDescent="0.7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x14ac:dyDescent="0.7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x14ac:dyDescent="0.7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x14ac:dyDescent="0.7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x14ac:dyDescent="0.75">
      <c r="C118" s="12" t="str">
        <f>IF(Treatment!J118="*  ..  ##34###34# ##334###334#","//--- END",Treatment!J118)</f>
        <v>* otherSpecify2 0..1 string ##34#Other specify 2##34# ##334#Specifies if the second beam quality is other##334#</v>
      </c>
    </row>
    <row r="119" spans="3:3" ht="29.5" x14ac:dyDescent="0.75">
      <c r="C119" s="12" t="str">
        <f>IF(Treatment!J119="*  ..  ##34###34# ##334###334#","//--- END",Treatment!J119)</f>
        <v>* treatmentTechnique2 0..1 string ##34#Treatment technique2##34# ##334#Refers to the type of radiotherapy treatment delivered as second beam##334#</v>
      </c>
    </row>
    <row r="120" spans="3:3" ht="59" x14ac:dyDescent="0.75">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x14ac:dyDescent="0.75">
      <c r="C121" s="12" t="str">
        <f>IF(Treatment!J121="*  ..  ##34###34# ##334###334#","//--- END",Treatment!J121)</f>
        <v>* startDate 0..1 date ##34#Start date##34# ##334#Date when  the first radiation treatment was delivered##334#</v>
      </c>
    </row>
    <row r="122" spans="3:3" ht="29.5" x14ac:dyDescent="0.75">
      <c r="C122" s="12" t="str">
        <f>IF(Treatment!J122="*  ..  ##34###34# ##334###334#","//--- END",Treatment!J122)</f>
        <v>* startDateRadiotherapyDayUnknown 0..1 date ##34#Start date radiotherapy day unknown##34# ##334#Describes if the day of start radiotherapy  is unknwon##334#</v>
      </c>
    </row>
    <row r="123" spans="3:3" x14ac:dyDescent="0.75">
      <c r="C123" s="12" t="str">
        <f>IF(Treatment!J123="*  ..  ##34###34# ##334###334#","//--- END",Treatment!J123)</f>
        <v>* endDate 0..1 date ##34#End  date##34# ##334#Date when the last radiation treatment ended##334#</v>
      </c>
    </row>
    <row r="124" spans="3:3" ht="29.5" x14ac:dyDescent="0.75">
      <c r="C124" s="12" t="str">
        <f>IF(Treatment!J124="*  ..  ##34###34# ##334###334#","//--- END",Treatment!J124)</f>
        <v>* endDateRadiotherapyDayUnknown 0..1 date ##34#End date radiotherapy day unknown##34# ##334#Describes if the day of end of radiotherapy  is unknwon##334#</v>
      </c>
    </row>
    <row r="125" spans="3:3" ht="44.25" x14ac:dyDescent="0.7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x14ac:dyDescent="0.75">
      <c r="C126" s="12" t="str">
        <f>IF(Treatment!J126="*  ..  ##34###34# ##334###334#","//--- END",Treatment!J126)</f>
        <v>* treatmentDaysMissed 0..1 Quantity ##34#Treatment days missed##34# ##334#Refers to the number of days missed during treatment##334#</v>
      </c>
    </row>
    <row r="127" spans="3:3" ht="29.5" x14ac:dyDescent="0.75">
      <c r="C127" s="12" t="str">
        <f>IF(Treatment!J127="*  ..  ##34###34# ##334###334#","//--- END",Treatment!J127)</f>
        <v>* overallTreatmentTimeOtt 0..1 Quantity ##34#Overall Treatment TimeOTT##34# ##334#Number of days that the radiation treatment took inclusive of  the first and last day Automatic calculated##334#</v>
      </c>
    </row>
    <row r="128" spans="3:3" ht="29.5" x14ac:dyDescent="0.7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x14ac:dyDescent="0.7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x14ac:dyDescent="0.75">
      <c r="C130" s="12" t="str">
        <f>IF(Treatment!J130="*  ..  ##34###34# ##334###334#","//--- END",Treatment!J130)</f>
        <v>* primary 0..1 BackboneElement ##34#Primary ##34# ##334#Primary ##334#</v>
      </c>
    </row>
    <row r="131" spans="3:3" x14ac:dyDescent="0.75">
      <c r="C131" s="12" t="str">
        <f>IF(Treatment!J131="*  ..  ##34###34# ##334###334#","//--- END",Treatment!J131)</f>
        <v>* neck 0..1 BackboneElement ##34#Neck ##34# ##334#Neck ##334#</v>
      </c>
    </row>
    <row r="132" spans="3:3" ht="29.5" x14ac:dyDescent="0.75">
      <c r="C132" s="12" t="str">
        <f>IF(Treatment!J132="*  ..  ##34###34# ##334###334#","//--- END",Treatment!J132)</f>
        <v>* primaryAndIpsilateralNeck 0..1 BackboneElement ##34#Primary and Ipsilateral Neck##34# ##334#Primary and Ipsilateral Neck##334#</v>
      </c>
    </row>
    <row r="133" spans="3:3" ht="29.5" x14ac:dyDescent="0.75">
      <c r="C133" s="12" t="str">
        <f>IF(Treatment!J133="*  ..  ##34###34# ##334###334#","//--- END",Treatment!J133)</f>
        <v>* primaryAndBilateralNeck 0..1 BackboneElement ##34#Primary and Bilateral Neck##34# ##334#Primary and Bilateral Neck##334#</v>
      </c>
    </row>
    <row r="134" spans="3:3" x14ac:dyDescent="0.75">
      <c r="C134" s="12" t="str">
        <f>IF(Treatment!J134="*  ..  ##34###34# ##334###334#","//--- END",Treatment!J134)</f>
        <v>* distantMetastasis 0..1 BackboneElement ##34#Distant Metastasis##34# ##334#Distant Metastasis##334#</v>
      </c>
    </row>
    <row r="135" spans="3:3" ht="29.5" x14ac:dyDescent="0.7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x14ac:dyDescent="0.75">
      <c r="C136" s="12" t="str">
        <f>IF(Treatment!J136="*  ..  ##34###34# ##334###334#","//--- END",Treatment!J136)</f>
        <v>* lung
 0..1 BackboneElement ##34#Lung
##34# ##334#Lung
##334#</v>
      </c>
    </row>
    <row r="137" spans="3:3" ht="59" x14ac:dyDescent="0.75">
      <c r="C137" s="12" t="str">
        <f>IF(Treatment!J137="*  ..  ##34###34# ##334###334#","//--- END",Treatment!J137)</f>
        <v>* mediastinum
 0..1 BackboneElement ##34#Mediastinum
##34# ##334#Mediastinum
##334#</v>
      </c>
    </row>
    <row r="138" spans="3:3" ht="59" x14ac:dyDescent="0.75">
      <c r="C138" s="12" t="str">
        <f>IF(Treatment!J138="*  ..  ##34###34# ##334###334#","//--- END",Treatment!J138)</f>
        <v>* bone
 0..1 BackboneElement ##34#Bone
##34# ##334#Bone
##334#</v>
      </c>
    </row>
    <row r="139" spans="3:3" ht="59" x14ac:dyDescent="0.75">
      <c r="C139" s="12" t="str">
        <f>IF(Treatment!J139="*  ..  ##34###34# ##334###334#","//--- END",Treatment!J139)</f>
        <v>* softTissue
 0..1 BackboneElement ##34#Soft Tissue
##34# ##334#Soft Tissue
##334#</v>
      </c>
    </row>
    <row r="140" spans="3:3" ht="59" x14ac:dyDescent="0.75">
      <c r="C140" s="12" t="str">
        <f>IF(Treatment!J140="*  ..  ##34###34# ##334###334#","//--- END",Treatment!J140)</f>
        <v>* liver
 0..1 BackboneElement ##34#Liver
##34# ##334#Liver
##334#</v>
      </c>
    </row>
    <row r="141" spans="3:3" x14ac:dyDescent="0.75">
      <c r="C141" s="12" t="str">
        <f>IF(Treatment!J141="*  ..  ##34###34# ##334###334#","//--- END",Treatment!J141)</f>
        <v>* unknown 0..1 BackboneElement ##34#Unknown##34# ##334#Unknown##334#</v>
      </c>
    </row>
    <row r="142" spans="3:3" x14ac:dyDescent="0.75">
      <c r="C142" s="12" t="str">
        <f>IF(Treatment!J142="*  ..  ##34###34# ##334###334#","//--- END",Treatment!J142)</f>
        <v>* other 0..1 BackboneElement ##34#Other ##34# ##334#Other ##334#</v>
      </c>
    </row>
    <row r="143" spans="3:3" x14ac:dyDescent="0.75">
      <c r="C143" s="12" t="str">
        <f>IF(Treatment!J143="*  ..  ##34###34# ##334###334#","//--- END",Treatment!J143)</f>
        <v>* otherSpecify 0..1 BackboneElement ##34#Other specify##34# ##334#Other specify##334#</v>
      </c>
    </row>
    <row r="144" spans="3:3" ht="44.25" x14ac:dyDescent="0.7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x14ac:dyDescent="0.75">
      <c r="C145" s="12" t="str">
        <f>IF(Treatment!J145="*  ..  ##34###34# ##334###334#","//--- END",Treatment!J145)</f>
        <v>* neckLevelsIrradiatedLeft 0..1 string ##34#Neck Levels Irradiated Left##34# ##334#Same as above but for the left neck##334#</v>
      </c>
    </row>
    <row r="146" spans="3:3" ht="29.5" x14ac:dyDescent="0.75">
      <c r="C146" s="12" t="str">
        <f>IF(Treatment!J146="*  ..  ##34###34# ##334###334#","//--- END",Treatment!J146)</f>
        <v>* ctvHighExpansion 0..1 string ##34#CTV High Expansion##34# ##334#Refers to the margin that was used from GTV to CTV for the highest prescription dose##334#</v>
      </c>
    </row>
    <row r="147" spans="3:3" ht="29.5" x14ac:dyDescent="0.75">
      <c r="C147" s="12" t="str">
        <f>IF(Treatment!J147="*  ..  ##34###34# ##334###334#","//--- END",Treatment!J147)</f>
        <v>* ptvHighExpansion 0..1 string ##34#PTV High expansion##34# ##334#Refers to the margin that was used from CTV to PTV##334#</v>
      </c>
    </row>
    <row r="148" spans="3:3" x14ac:dyDescent="0.75">
      <c r="C148" s="12" t="str">
        <f>IF(Treatment!J148="*  ..  ##34###34# ##334###334#","//--- END",Treatment!J148)</f>
        <v>* v60OfSkin 0..1 string ##34#V60 of Skin##34# ##334#Refers to the volume of skin receiving at least 60 Gy##334#</v>
      </c>
    </row>
    <row r="149" spans="3:3" ht="59" x14ac:dyDescent="0.75">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x14ac:dyDescent="0.75">
      <c r="C150" s="12" t="str">
        <f>IF(Treatment!J150="*  ..  ##34###34# ##334###334#","//--- END",Treatment!J150)</f>
        <v>* hospitalizedDuringRt 0..1 string ##34#Hospitalized during RT##34# ##334#Did the patient has been hospitalized during RT##334#</v>
      </c>
    </row>
    <row r="151" spans="3:3" ht="29.5" x14ac:dyDescent="0.75">
      <c r="C151" s="12" t="str">
        <f>IF(Treatment!J151="*  ..  ##34###34# ##334###334#","//--- END",Treatment!J151)</f>
        <v>* carotidBlowout 0..1 string ##34#Carotid Blowout ##34# ##334#Did the patient develop a carotid blow out during or after radiation##334#</v>
      </c>
    </row>
    <row r="152" spans="3:3" x14ac:dyDescent="0.75">
      <c r="C152" s="12" t="str">
        <f>IF(Treatment!J152="*  ..  ##34###34# ##334###334#","//--- END",Treatment!J152)</f>
        <v>* feedingTubeDuringRt 0..1 string ##34#Feeding Tube during RT##34# ##334#Was a feeding tube required after RT##334#</v>
      </c>
    </row>
    <row r="153" spans="3:3" ht="29.5" x14ac:dyDescent="0.75">
      <c r="C153" s="12" t="str">
        <f>IF(Treatment!J153="*  ..  ##34###34# ##334###334#","//--- END",Treatment!J153)</f>
        <v>* feedingTubeReason 0..1 string ##34#Feeding Tube reason##34# ##334#Was the feeding tube placed only prophylactically or reactively due to significant weight loss during treatment##334#</v>
      </c>
    </row>
    <row r="154" spans="3:3" x14ac:dyDescent="0.75">
      <c r="C154" s="12" t="str">
        <f>IF(Treatment!J154="*  ..  ##34###34# ##334###334#","//--- END",Treatment!J154)</f>
        <v>* smokingDuringRt 0..1 string ##34#Smoking during RT##34# ##334#Did the patient smoke cigarettes during radiation##334#</v>
      </c>
    </row>
    <row r="155" spans="3:3" x14ac:dyDescent="0.75">
      <c r="C155" s="12" t="str">
        <f>IF(Treatment!J155="*  ..  ##34###34# ##334###334#","//--- END",Treatment!J155)</f>
        <v>* alcoholDuringRt 0..1 string ##34#Alcohol during RT##34# ##334#Did the patient drink alcohol during radiation##334#</v>
      </c>
    </row>
    <row r="156" spans="3:3" x14ac:dyDescent="0.75">
      <c r="C156" s="12" t="str">
        <f>IF(Treatment!J156="*  ..  ##34###34# ##334###334#","//--- END",Treatment!J156)</f>
        <v>* otherTypeOfTreatment 0..1 BackboneElement ##34#Other type of treatment##34# ##334#Other type of treatment##334#</v>
      </c>
    </row>
    <row r="157" spans="3:3" ht="29.5" x14ac:dyDescent="0.75">
      <c r="C157" s="12" t="str">
        <f>IF(Treatment!J157="*  ..  ##34###34# ##334###334#","//--- END",Treatment!J157)</f>
        <v>* otherTreatmentPerformed 0..1 BackboneElement ##34#Other treatment performed##34# ##334#Other treatment performed##334#</v>
      </c>
    </row>
    <row r="158" spans="3:3" x14ac:dyDescent="0.75">
      <c r="C158" s="12" t="str">
        <f>IF(Treatment!J158="*  ..  ##34###34# ##334###334#","//--- END",Treatment!J158)</f>
        <v>* dateOfStart 0..1 BackboneElement ##34#Date of start other treatment ##34# ##334#Date of start other treatment ##334#</v>
      </c>
    </row>
    <row r="159" spans="3:3" ht="29.5" x14ac:dyDescent="0.75">
      <c r="C159" s="12" t="str">
        <f>IF(Treatment!J159="*  ..  ##34###34# ##334###334#","//--- END",Treatment!J159)</f>
        <v>* dateOfOtherTreatmentDayUnknown 0..1 BackboneElement ##34#Date of other treatment day unknown##34# ##334#Date of other treatment day unknown##334#</v>
      </c>
    </row>
    <row r="160" spans="3:3" x14ac:dyDescent="0.75">
      <c r="C160" s="12" t="str">
        <f>IF(Treatment!J160="*  ..  ##34###34# ##334###334#","//--- END",Treatment!J160)</f>
        <v>* dateOfEnd 0..1 BackboneElement ##34#Date of end other treatment ##34# ##334#Date of end other treatment ##334#</v>
      </c>
    </row>
    <row r="161" spans="3:3" ht="29.5" x14ac:dyDescent="0.75">
      <c r="C161" s="12" t="str">
        <f>IF(Treatment!J161="*  ..  ##34###34# ##334###334#","//--- END",Treatment!J161)</f>
        <v>* dateOfEndOtherTreatmentDayUnknown 0..1 BackboneElement ##34#Date of end other treatment day unknown##34# ##334#Date of end other treatment day unknown##334#</v>
      </c>
    </row>
    <row r="162" spans="3:3" x14ac:dyDescent="0.75">
      <c r="C162" s="12" t="str">
        <f>IF(Treatment!J162="*  ..  ##34###34# ##334###334#","//--- END",Treatment!J162)</f>
        <v>* type 0..1 BackboneElement ##34#Type##34# ##334#Type##334#</v>
      </c>
    </row>
    <row r="163" spans="3:3" ht="29.5" x14ac:dyDescent="0.75">
      <c r="C163" s="12" t="str">
        <f>IF(Treatment!J163="*  ..  ##34###34# ##334###334#","//--- END",Treatment!J163)</f>
        <v>* treatmentCompleted 0..1 BackboneElement ##34#Treatment Completed as Planned ##34# ##334#Treatment Completed as Planned ##334#</v>
      </c>
    </row>
    <row r="164" spans="3:3" ht="29.5" x14ac:dyDescent="0.75">
      <c r="C164" s="12" t="str">
        <f>IF(Treatment!J164="*  ..  ##34###34# ##334###334#","//--- END",Treatment!J164)</f>
        <v>* overallTreatmentResponse 0..1 BackboneElement ##34#Overall treatment response##34# ##334#Overall treatment response##334#</v>
      </c>
    </row>
    <row r="165" spans="3:3" ht="44.25" x14ac:dyDescent="0.7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x14ac:dyDescent="0.75">
      <c r="C166" s="12" t="str">
        <f>IF(Treatment!J166="*  ..  ##34###34# ##334###334#","//--- END",Treatment!J166)</f>
        <v>* treatmentResponseDefineddone 0..1 BackboneElement ##34#Treatment response defineddone##34# ##334#Treatment response defineddone##334#</v>
      </c>
    </row>
    <row r="167" spans="3:3" ht="29.5" x14ac:dyDescent="0.75">
      <c r="C167" s="12" t="str">
        <f>IF(Treatment!J167="*  ..  ##34###34# ##334###334#","//--- END",Treatment!J167)</f>
        <v>* patientIncludedInClinicalTrial 0..1 BackboneElement ##34#PATIENT INCLUDED IN CLINICAL TRIAL ##34# ##334#PATIENT INCLUDED IN CLINICAL TRIAL ##334#</v>
      </c>
    </row>
    <row r="168" spans="3:3" ht="29.5" x14ac:dyDescent="0.75">
      <c r="C168" s="12" t="str">
        <f>IF(Treatment!J168="*  ..  ##34###34# ##334###334#","//--- END",Treatment!J168)</f>
        <v>* patientIncludedInAClinicalTrial 0..1 BackboneElement ##34#Patient included in a clinical trial##34# ##334#Patient included in a clinical trial##334#</v>
      </c>
    </row>
    <row r="169" spans="3:3" x14ac:dyDescent="0.75">
      <c r="C169" s="12" t="str">
        <f>IF(Treatment!J169="*  ..  ##34###34# ##334###334#","//--- END",Treatment!J169)</f>
        <v>* clinicalTrialCode 0..1 BackboneElement ##34#Clinical trial code##34# ##334#Clinical trial code##334#</v>
      </c>
    </row>
    <row r="170" spans="3:3" x14ac:dyDescent="0.75">
      <c r="C170" s="12" t="str">
        <f>IF(Treatment!J170="*  ..  ##34###34# ##334###334#","//--- END",Treatment!J170)</f>
        <v>* instrumentStatus 0..1 BackboneElement ##34#Instrument status##34# ##334#Instrument status##334#</v>
      </c>
    </row>
    <row r="171" spans="3:3" x14ac:dyDescent="0.75">
      <c r="C171" s="12" t="str">
        <f>IF(Treatment!J171="*  ..  ##34###34# ##334###334#","//--- END",Treatment!J171)</f>
        <v>//--- END</v>
      </c>
    </row>
    <row r="172" spans="3:3" x14ac:dyDescent="0.75">
      <c r="C172" s="12" t="str">
        <f>IF(Treatment!J172="*  ..  ##34###34# ##334###334#","//--- END",Treatment!J172)</f>
        <v>//--- END</v>
      </c>
    </row>
    <row r="173" spans="3:3" x14ac:dyDescent="0.75">
      <c r="C173" s="12" t="str">
        <f>IF(Treatment!J173="*  ..  ##34###34# ##334###334#","//--- END",Treatment!J173)</f>
        <v>//--- END</v>
      </c>
    </row>
    <row r="174" spans="3:3" x14ac:dyDescent="0.75">
      <c r="C174" s="12" t="str">
        <f>IF(Treatment!J174="*  ..  ##34###34# ##334###334#","//--- END",Treatment!J174)</f>
        <v>//--- END</v>
      </c>
    </row>
    <row r="175" spans="3:3" x14ac:dyDescent="0.75">
      <c r="C175" s="12" t="str">
        <f>IF(Treatment!J175="*  ..  ##34###34# ##334###334#","//--- END",Treatment!J175)</f>
        <v>//--- END</v>
      </c>
    </row>
    <row r="176" spans="3:3" x14ac:dyDescent="0.75">
      <c r="C176" s="12" t="str">
        <f>IF(Treatment!J176="*  ..  ##34###34# ##334###334#","//--- END",Treatment!J176)</f>
        <v>//--- END</v>
      </c>
    </row>
    <row r="177" spans="3:3" x14ac:dyDescent="0.75">
      <c r="C177" s="12" t="str">
        <f>IF(Treatment!J177="*  ..  ##34###34# ##334###334#","//--- END",Treatment!J177)</f>
        <v>//--- END</v>
      </c>
    </row>
    <row r="187" spans="3:3" x14ac:dyDescent="0.75">
      <c r="C187" s="24" t="s">
        <v>172</v>
      </c>
    </row>
    <row r="188" spans="3:3" x14ac:dyDescent="0.75">
      <c r="C188" s="25" t="s">
        <v>408</v>
      </c>
    </row>
    <row r="189" spans="3:3" x14ac:dyDescent="0.75">
      <c r="C189" s="25" t="s">
        <v>172</v>
      </c>
    </row>
    <row r="190" spans="3:3" x14ac:dyDescent="0.75">
      <c r="C190" s="12" t="str">
        <f>IF(Treatment!L8="*  ..  ##34###34# ##334###334#","//--- END",Treatment!L8)</f>
        <v/>
      </c>
    </row>
    <row r="191" spans="3:3" x14ac:dyDescent="0.75">
      <c r="C191" s="12" t="str">
        <f>IF(Treatment!L9="*  ..  ##34###34# ##334###334#","//--- END",Treatment!L9)</f>
        <v>* surgeryPerformed ^comment = ##334#A string value representing if and where was the surgery performed##334#</v>
      </c>
    </row>
    <row r="192" spans="3:3" ht="44.25" x14ac:dyDescent="0.7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x14ac:dyDescent="0.75">
      <c r="C193" s="12" t="str">
        <f>IF(Treatment!L11="*  ..  ##34###34# ##334###334#","//--- END",Treatment!L11)</f>
        <v>* surgeryIntention ^comment = ##334#A string value whether the surgery was performed with palliative or curative intentions of it was unknown##334#</v>
      </c>
    </row>
    <row r="194" spans="3:3" x14ac:dyDescent="0.75">
      <c r="C194" s="12" t="str">
        <f>IF(Treatment!L12="*  ..  ##34###34# ##334###334#","//--- END",Treatment!L12)</f>
        <v>* tumorSurgeryApproach ^comment = ##334#A string value to describe the used approach##334#</v>
      </c>
    </row>
    <row r="195" spans="3:3" x14ac:dyDescent="0.75">
      <c r="C195" s="12" t="str">
        <f>IF(Treatment!L13="*  ..  ##34###34# ##334###334#","//--- END",Treatment!L13)</f>
        <v>* tumorSurgeryDevice ^comment = ##334#A string value to specify the used device##334#</v>
      </c>
    </row>
    <row r="196" spans="3:3" x14ac:dyDescent="0.75">
      <c r="C196" s="12" t="str">
        <f>IF(Treatment!L14="*  ..  ##34###34# ##334###334#","//--- END",Treatment!L14)</f>
        <v/>
      </c>
    </row>
    <row r="197" spans="3:3" ht="29.5" x14ac:dyDescent="0.75">
      <c r="C197" s="12" t="str">
        <f>IF(Treatment!L15="*  ..  ##34###34# ##334###334#","//--- END",Treatment!L15)</f>
        <v>* surgicalProcedure.surgicalProcedureNasopharynx ^comment = ##334#A string value to specify the used procedure for the nasopharynx tumour##334#</v>
      </c>
    </row>
    <row r="198" spans="3:3" ht="29.5" x14ac:dyDescent="0.75">
      <c r="C198" s="12" t="str">
        <f>IF(Treatment!L16="*  ..  ##34###34# ##334###334#","//--- END",Treatment!L16)</f>
        <v>* surgicalProcedure.surgicalProcedureNasalCavityAndParanasalSinus ^comment = ##334#A string value to specify the procedure for the nasal cavity and paranasal sinus tumour##334#</v>
      </c>
    </row>
    <row r="199" spans="3:3" ht="29.5" x14ac:dyDescent="0.75">
      <c r="C199" s="12" t="str">
        <f>IF(Treatment!L17="*  ..  ##34###34# ##334###334#","//--- END",Treatment!L17)</f>
        <v>* surgicalProcedure.surgicalProcedureSalivaryGland ^comment = ##334#A string value to specify the procedure for the salivary glands tumour##334#</v>
      </c>
    </row>
    <row r="200" spans="3:3" x14ac:dyDescent="0.75">
      <c r="C200" s="12" t="str">
        <f>IF(Treatment!L18="*  ..  ##34###34# ##334###334#","//--- END",Treatment!L18)</f>
        <v>* surgicalProcedure.surgicalProcedureEar ^comment = ##334#A string value to specify the procedure for the ear##334#</v>
      </c>
    </row>
    <row r="201" spans="3:3" x14ac:dyDescent="0.75">
      <c r="C201" s="12" t="str">
        <f>IF(Treatment!L19="*  ..  ##34###34# ##334###334#","//--- END",Treatment!L19)</f>
        <v>* surgicalProcedure.surgicalProcedureLip ^comment = ##334#A string value to specify the procedure for the lip tumour##334#</v>
      </c>
    </row>
    <row r="202" spans="3:3" ht="29.5" x14ac:dyDescent="0.75">
      <c r="C202" s="12" t="str">
        <f>IF(Treatment!L20="*  ..  ##34###34# ##334###334#","//--- END",Treatment!L20)</f>
        <v>* surgicalProcedure.surgicalProcedureOralCavity ^comment = ##334#A string value to specify the procedure for the oral cavity tumour##334#</v>
      </c>
    </row>
    <row r="203" spans="3:3" ht="29.5" x14ac:dyDescent="0.75">
      <c r="C203" s="12" t="str">
        <f>IF(Treatment!L21="*  ..  ##34###34# ##334###334#","//--- END",Treatment!L21)</f>
        <v>* surgicalProcedure.surgicalProcedureMandibulectomy ^comment = ##334#A string value to specify the procedure for the mandibule tumour##334#</v>
      </c>
    </row>
    <row r="204" spans="3:3" ht="29.5" x14ac:dyDescent="0.75">
      <c r="C204" s="12" t="str">
        <f>IF(Treatment!L22="*  ..  ##34###34# ##334###334#","//--- END",Treatment!L22)</f>
        <v>* surgicalProcedure.surgicalProcedureOropharynx ^comment = ##334#A string value to specify the procedure for the oropharynx tumour##334#</v>
      </c>
    </row>
    <row r="205" spans="3:3" ht="29.5" x14ac:dyDescent="0.75">
      <c r="C205" s="12" t="str">
        <f>IF(Treatment!L23="*  ..  ##34###34# ##334###334#","//--- END",Treatment!L23)</f>
        <v>* surgicalProcedure.surgicalProcedureHypopharynx ^comment = ##334#A string value to specify the procedure for the hypopharynx tumour##334#</v>
      </c>
    </row>
    <row r="206" spans="3:3" ht="29.5" x14ac:dyDescent="0.75">
      <c r="C206" s="12" t="str">
        <f>IF(Treatment!L24="*  ..  ##34###34# ##334###334#","//--- END",Treatment!L24)</f>
        <v>* surgicalProcedure.surgicalProcedureLarynx ^comment = ##334#A string value to specify the procedure for the larynx tumour##334#</v>
      </c>
    </row>
    <row r="207" spans="3:3" x14ac:dyDescent="0.75">
      <c r="C207" s="12" t="str">
        <f>IF(Treatment!L25="*  ..  ##34###34# ##334###334#","//--- END",Treatment!L25)</f>
        <v/>
      </c>
    </row>
    <row r="208" spans="3:3" x14ac:dyDescent="0.75">
      <c r="C208" s="12" t="str">
        <f>IF(Treatment!L26="*  ..  ##34###34# ##334###334#","//--- END",Treatment!L26)</f>
        <v>* reconstruction.flag ^comment = ##334#A string value to specify whether a reconstruction procedure was performed##334#</v>
      </c>
    </row>
    <row r="209" spans="3:3" ht="29.5" x14ac:dyDescent="0.75">
      <c r="C209" s="12" t="str">
        <f>IF(Treatment!L27="*  ..  ##34###34# ##334###334#","//--- END",Treatment!L27)</f>
        <v>* reconstruction.reconstructionType ^comment = ##334#A string value to describe the type of graft or flap used for the reconstruction##334#</v>
      </c>
    </row>
    <row r="210" spans="3:3" ht="29.5" x14ac:dyDescent="0.75">
      <c r="C210" s="12" t="str">
        <f>IF(Treatment!L28="*  ..  ##34###34# ##334###334#","//--- END",Treatment!L28)</f>
        <v>* reconstruction.firstFlapUsedForReconstruction ^comment = ##334#A string value to describe the first and only if so flap used for reconstruction##334#</v>
      </c>
    </row>
    <row r="211" spans="3:3" ht="29.5" x14ac:dyDescent="0.75">
      <c r="C211" s="12" t="str">
        <f>IF(Treatment!L29="*  ..  ##34###34# ##334###334#","//--- END",Treatment!L29)</f>
        <v>* reconstruction.secondFlapUsedForReconstruction ^comment = ##334#A string value to describe the second flap used for reconstruction##334#</v>
      </c>
    </row>
    <row r="212" spans="3:3" x14ac:dyDescent="0.75">
      <c r="C212" s="12" t="str">
        <f>IF(Treatment!L30="*  ..  ##34###34# ##334###334#","//--- END",Treatment!L30)</f>
        <v>* neckSurgery ^comment = ##334#A string value to describe whether a surgical procedure for the neck was performed##334#</v>
      </c>
    </row>
    <row r="213" spans="3:3" ht="29.5" x14ac:dyDescent="0.75">
      <c r="C213" s="12" t="str">
        <f>IF(Treatment!L31="*  ..  ##34###34# ##334###334#","//--- END",Treatment!L31)</f>
        <v>* dateOfNeckSurgeryIfDifferentFromDateOfTumorSiteSurgery ^comment = ##334#Date of the surgery for the neck when it was performed after tumor resection ##334#</v>
      </c>
    </row>
    <row r="214" spans="3:3" x14ac:dyDescent="0.75">
      <c r="C214" s="12" t="str">
        <f>IF(Treatment!L32="*  ..  ##34###34# ##334###334#","//--- END",Treatment!L32)</f>
        <v/>
      </c>
    </row>
    <row r="215" spans="3:3" ht="29.5" x14ac:dyDescent="0.75">
      <c r="C215" s="12" t="str">
        <f>IF(Treatment!L33="*  ..  ##34###34# ##334###334#","//--- END",Treatment!L33)</f>
        <v>* nodePicking ^comment = ##334#String describing whether a nonprotocoled and nonstandardized resection of more than one lymph node is performed or not##334#</v>
      </c>
    </row>
    <row r="216" spans="3:3" ht="29.5" x14ac:dyDescent="0.75">
      <c r="C216" s="12" t="str">
        <f>IF(Treatment!L34="*  ..  ##34###34# ##334###334#","//--- END",Treatment!L34)</f>
        <v>* neckDissection ^comment = ##334#String describing whether a protocoled and standardized en block resection of lymphatic tissue is performed or not##334#</v>
      </c>
    </row>
    <row r="217" spans="3:3" x14ac:dyDescent="0.75">
      <c r="C217" s="12" t="str">
        <f>IF(Treatment!L35="*  ..  ##34###34# ##334###334#","//--- END",Treatment!L35)</f>
        <v>* lateralityOfTheDissection ^comment = ##334#String describing the laterality of the neck surgical procedure##334#</v>
      </c>
    </row>
    <row r="218" spans="3:3" x14ac:dyDescent="0.75">
      <c r="C218" s="12" t="str">
        <f>IF(Treatment!L36="*  ..  ##34###34# ##334###334#","//--- END",Treatment!L36)</f>
        <v>* surgicalProcedureRightNeck ^comment = ##334#String describing the surgical procedure performed right##334#</v>
      </c>
    </row>
    <row r="219" spans="3:3" x14ac:dyDescent="0.75">
      <c r="C219" s="12" t="str">
        <f>IF(Treatment!L37="*  ..  ##34###34# ##334###334#","//--- END",Treatment!L37)</f>
        <v>* surgicalProcedureRightNeckLevelsDissected ^comment = ##334#String describing the lympathic levels##334#</v>
      </c>
    </row>
    <row r="220" spans="3:3" x14ac:dyDescent="0.75">
      <c r="C220" s="12" t="str">
        <f>IF(Treatment!L38="*  ..  ##34###34# ##334###334#","//--- END",Treatment!L38)</f>
        <v>* surgicalProcedureLeftNeck ^comment = ##334#String describing the surgical procedure performed left##334#</v>
      </c>
    </row>
    <row r="221" spans="3:3" x14ac:dyDescent="0.75">
      <c r="C221" s="12" t="str">
        <f>IF(Treatment!L39="*  ..  ##34###34# ##334###334#","//--- END",Treatment!L39)</f>
        <v>* surgicalProcedureLeftNeckLevelsDissected ^comment = ##334#String describing the lympathic levels##334#</v>
      </c>
    </row>
    <row r="222" spans="3:3" x14ac:dyDescent="0.75">
      <c r="C222" s="12" t="str">
        <f>IF(Treatment!L40="*  ..  ##34###34# ##334###334#","//--- END",Treatment!L40)</f>
        <v>* surgeryOnM ^comment = ##334#A string describing whether the surgery on metastasis was performed or not##334#</v>
      </c>
    </row>
    <row r="223" spans="3:3" x14ac:dyDescent="0.75">
      <c r="C223" s="12" t="str">
        <f>IF(Treatment!L41="*  ..  ##34###34# ##334###334#","//--- END",Treatment!L41)</f>
        <v/>
      </c>
    </row>
    <row r="224" spans="3:3" x14ac:dyDescent="0.75">
      <c r="C224" s="12" t="str">
        <f>IF(Treatment!L42="*  ..  ##34###34# ##334###334#","//--- END",Treatment!L42)</f>
        <v/>
      </c>
    </row>
    <row r="225" spans="3:3" x14ac:dyDescent="0.75">
      <c r="C225" s="12" t="str">
        <f>IF(Treatment!L43="*  ..  ##34###34# ##334###334#","//--- END",Treatment!L43)</f>
        <v/>
      </c>
    </row>
    <row r="226" spans="3:3" x14ac:dyDescent="0.75">
      <c r="C226" s="12" t="str">
        <f>IF(Treatment!L44="*  ..  ##34###34# ##334###334#","//--- END",Treatment!L44)</f>
        <v/>
      </c>
    </row>
    <row r="227" spans="3:3" x14ac:dyDescent="0.75">
      <c r="C227" s="12" t="str">
        <f>IF(Treatment!L45="*  ..  ##34###34# ##334###334#","//--- END",Treatment!L45)</f>
        <v/>
      </c>
    </row>
    <row r="228" spans="3:3" x14ac:dyDescent="0.75">
      <c r="C228" s="12" t="str">
        <f>IF(Treatment!L46="*  ..  ##34###34# ##334###334#","//--- END",Treatment!L46)</f>
        <v/>
      </c>
    </row>
    <row r="229" spans="3:3" x14ac:dyDescent="0.75">
      <c r="C229" s="12" t="str">
        <f>IF(Treatment!L47="*  ..  ##34###34# ##334###334#","//--- END",Treatment!L47)</f>
        <v/>
      </c>
    </row>
    <row r="230" spans="3:3" x14ac:dyDescent="0.75">
      <c r="C230" s="12" t="str">
        <f>IF(Treatment!L48="*  ..  ##34###34# ##334###334#","//--- END",Treatment!L48)</f>
        <v/>
      </c>
    </row>
    <row r="231" spans="3:3" x14ac:dyDescent="0.75">
      <c r="C231" s="12" t="str">
        <f>IF(Treatment!L49="*  ..  ##34###34# ##334###334#","//--- END",Treatment!L49)</f>
        <v/>
      </c>
    </row>
    <row r="232" spans="3:3" x14ac:dyDescent="0.75">
      <c r="C232" s="12" t="str">
        <f>IF(Treatment!L50="*  ..  ##34###34# ##334###334#","//--- END",Treatment!L50)</f>
        <v/>
      </c>
    </row>
    <row r="233" spans="3:3" x14ac:dyDescent="0.75">
      <c r="C233" s="12" t="str">
        <f>IF(Treatment!L51="*  ..  ##34###34# ##334###334#","//--- END",Treatment!L51)</f>
        <v/>
      </c>
    </row>
    <row r="234" spans="3:3" x14ac:dyDescent="0.75">
      <c r="C234" s="12" t="str">
        <f>IF(Treatment!L52="*  ..  ##34###34# ##334###334#","//--- END",Treatment!L52)</f>
        <v>* dateOfSurgeryOnMIfDifferentFromDateOfTumorSiteSurgery ^comment = ##334#A date##334#</v>
      </c>
    </row>
    <row r="235" spans="3:3" ht="29.5" x14ac:dyDescent="0.75">
      <c r="C235" s="12" t="str">
        <f>IF(Treatment!L53="*  ..  ##34###34# ##334###334#","//--- END",Treatment!L53)</f>
        <v>* surgicalComplicationsClavienDindoClassificationPleaseSelectTheWorstOne ^comment = ##334#A string describing the presence and grade of complications after a surgical procedure Rank1##334#</v>
      </c>
    </row>
    <row r="236" spans="3:3" ht="29.5" x14ac:dyDescent="0.7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x14ac:dyDescent="0.75">
      <c r="C237" s="12" t="str">
        <f>IF(Treatment!L55="*  ..  ##34###34# ##334###334#","//--- END",Treatment!L55)</f>
        <v>* unplannedSurgery ^comment = ##334#A  string describing whether an unplanned surgery was performed with radical intention after the first one that was not completed  inappropriate ##334#</v>
      </c>
    </row>
    <row r="238" spans="3:3" x14ac:dyDescent="0.75">
      <c r="C238" s="12" t="str">
        <f>IF(Treatment!L56="*  ..  ##34###34# ##334###334#","//--- END",Treatment!L56)</f>
        <v>* dateOfUnplannedSurgery ^comment = ##334#A date##334#</v>
      </c>
    </row>
    <row r="239" spans="3:3" x14ac:dyDescent="0.75">
      <c r="C239" s="12" t="str">
        <f>IF(Treatment!L57="*  ..  ##34###34# ##334###334#","//--- END",Treatment!L57)</f>
        <v>* marginsAfterUnplannedSurgery ^comment = ##334#A  string describing the surgery margins after unplanned##334#</v>
      </c>
    </row>
    <row r="240" spans="3:3" ht="29.5" x14ac:dyDescent="0.75">
      <c r="C240" s="12" t="str">
        <f>IF(Treatment!L58="*  ..  ##34###34# ##334###334#","//--- END",Treatment!L58)</f>
        <v>* unplannedNeckSurgery ^comment = ##334#A string describing whether an unplanned surgical procedure to treat and address the neck was performed or not ##334#</v>
      </c>
    </row>
    <row r="241" spans="3:3" x14ac:dyDescent="0.75">
      <c r="C241" s="12" t="str">
        <f>IF(Treatment!L59="*  ..  ##34###34# ##334###334#","//--- END",Treatment!L59)</f>
        <v/>
      </c>
    </row>
    <row r="242" spans="3:3" x14ac:dyDescent="0.75">
      <c r="C242" s="12" t="str">
        <f>IF(Treatment!L60="*  ..  ##34###34# ##334###334#","//--- END",Treatment!L60)</f>
        <v/>
      </c>
    </row>
    <row r="243" spans="3:3" x14ac:dyDescent="0.75">
      <c r="C243" s="12" t="str">
        <f>IF(Treatment!L61="*  ..  ##34###34# ##334###334#","//--- END",Treatment!L61)</f>
        <v/>
      </c>
    </row>
    <row r="244" spans="3:3" x14ac:dyDescent="0.75">
      <c r="C244" s="12" t="str">
        <f>IF(Treatment!L62="*  ..  ##34###34# ##334###334#","//--- END",Treatment!L62)</f>
        <v/>
      </c>
    </row>
    <row r="245" spans="3:3" x14ac:dyDescent="0.75">
      <c r="C245" s="12" t="str">
        <f>IF(Treatment!L63="*  ..  ##34###34# ##334###334#","//--- END",Treatment!L63)</f>
        <v/>
      </c>
    </row>
    <row r="246" spans="3:3" x14ac:dyDescent="0.75">
      <c r="C246" s="12" t="str">
        <f>IF(Treatment!L64="*  ..  ##34###34# ##334###334#","//--- END",Treatment!L64)</f>
        <v/>
      </c>
    </row>
    <row r="247" spans="3:3" x14ac:dyDescent="0.75">
      <c r="C247" s="12" t="str">
        <f>IF(Treatment!L65="*  ..  ##34###34# ##334###334#","//--- END",Treatment!L65)</f>
        <v/>
      </c>
    </row>
    <row r="248" spans="3:3" x14ac:dyDescent="0.75">
      <c r="C248" s="12" t="str">
        <f>IF(Treatment!L66="*  ..  ##34###34# ##334###334#","//--- END",Treatment!L66)</f>
        <v/>
      </c>
    </row>
    <row r="249" spans="3:3" x14ac:dyDescent="0.75">
      <c r="C249" s="12" t="str">
        <f>IF(Treatment!L67="*  ..  ##34###34# ##334###334#","//--- END",Treatment!L67)</f>
        <v/>
      </c>
    </row>
    <row r="250" spans="3:3" x14ac:dyDescent="0.75">
      <c r="C250" s="12" t="str">
        <f>IF(Treatment!L68="*  ..  ##34###34# ##334###334#","//--- END",Treatment!L68)</f>
        <v/>
      </c>
    </row>
    <row r="251" spans="3:3" x14ac:dyDescent="0.75">
      <c r="C251" s="12" t="str">
        <f>IF(Treatment!L69="*  ..  ##34###34# ##334###334#","//--- END",Treatment!L69)</f>
        <v/>
      </c>
    </row>
    <row r="252" spans="3:3" x14ac:dyDescent="0.75">
      <c r="C252" s="12" t="str">
        <f>IF(Treatment!L70="*  ..  ##34###34# ##334###334#","//--- END",Treatment!L70)</f>
        <v/>
      </c>
    </row>
    <row r="253" spans="3:3" x14ac:dyDescent="0.75">
      <c r="C253" s="12" t="str">
        <f>IF(Treatment!L71="*  ..  ##34###34# ##334###334#","//--- END",Treatment!L71)</f>
        <v/>
      </c>
    </row>
    <row r="254" spans="3:3" x14ac:dyDescent="0.75">
      <c r="C254" s="12" t="str">
        <f>IF(Treatment!L72="*  ..  ##34###34# ##334###334#","//--- END",Treatment!L72)</f>
        <v/>
      </c>
    </row>
    <row r="255" spans="3:3" x14ac:dyDescent="0.75">
      <c r="C255" s="12" t="str">
        <f>IF(Treatment!L73="*  ..  ##34###34# ##334###334#","//--- END",Treatment!L73)</f>
        <v/>
      </c>
    </row>
    <row r="256" spans="3:3" x14ac:dyDescent="0.75">
      <c r="C256" s="12" t="str">
        <f>IF(Treatment!L74="*  ..  ##34###34# ##334###334#","//--- END",Treatment!L74)</f>
        <v/>
      </c>
    </row>
    <row r="257" spans="3:3" x14ac:dyDescent="0.75">
      <c r="C257" s="12" t="str">
        <f>IF(Treatment!L75="*  ..  ##34###34# ##334###334#","//--- END",Treatment!L75)</f>
        <v/>
      </c>
    </row>
    <row r="258" spans="3:3" x14ac:dyDescent="0.75">
      <c r="C258" s="12" t="str">
        <f>IF(Treatment!L76="*  ..  ##34###34# ##334###334#","//--- END",Treatment!L76)</f>
        <v/>
      </c>
    </row>
    <row r="259" spans="3:3" x14ac:dyDescent="0.75">
      <c r="C259" s="12" t="str">
        <f>IF(Treatment!L77="*  ..  ##34###34# ##334###334#","//--- END",Treatment!L77)</f>
        <v/>
      </c>
    </row>
    <row r="260" spans="3:3" x14ac:dyDescent="0.75">
      <c r="C260" s="12" t="str">
        <f>IF(Treatment!L78="*  ..  ##34###34# ##334###334#","//--- END",Treatment!L78)</f>
        <v/>
      </c>
    </row>
    <row r="261" spans="3:3" x14ac:dyDescent="0.75">
      <c r="C261" s="12" t="str">
        <f>IF(Treatment!L79="*  ..  ##34###34# ##334###334#","//--- END",Treatment!L79)</f>
        <v/>
      </c>
    </row>
    <row r="262" spans="3:3" x14ac:dyDescent="0.75">
      <c r="C262" s="12" t="str">
        <f>IF(Treatment!L80="*  ..  ##34###34# ##334###334#","//--- END",Treatment!L80)</f>
        <v/>
      </c>
    </row>
    <row r="263" spans="3:3" x14ac:dyDescent="0.75">
      <c r="C263" s="12" t="str">
        <f>IF(Treatment!L81="*  ..  ##34###34# ##334###334#","//--- END",Treatment!L81)</f>
        <v/>
      </c>
    </row>
    <row r="264" spans="3:3" x14ac:dyDescent="0.75">
      <c r="C264" s="12" t="str">
        <f>IF(Treatment!L82="*  ..  ##34###34# ##334###334#","//--- END",Treatment!L82)</f>
        <v/>
      </c>
    </row>
    <row r="265" spans="3:3" x14ac:dyDescent="0.75">
      <c r="C265" s="12" t="str">
        <f>IF(Treatment!L83="*  ..  ##34###34# ##334###334#","//--- END",Treatment!L83)</f>
        <v/>
      </c>
    </row>
    <row r="266" spans="3:3" x14ac:dyDescent="0.75">
      <c r="C266" s="12" t="str">
        <f>IF(Treatment!L84="*  ..  ##34###34# ##334###334#","//--- END",Treatment!L84)</f>
        <v/>
      </c>
    </row>
    <row r="267" spans="3:3" x14ac:dyDescent="0.75">
      <c r="C267" s="12" t="str">
        <f>IF(Treatment!L85="*  ..  ##34###34# ##334###334#","//--- END",Treatment!L85)</f>
        <v/>
      </c>
    </row>
    <row r="268" spans="3:3" x14ac:dyDescent="0.75">
      <c r="C268" s="12" t="str">
        <f>IF(Treatment!L86="*  ..  ##34###34# ##334###334#","//--- END",Treatment!L86)</f>
        <v/>
      </c>
    </row>
    <row r="269" spans="3:3" x14ac:dyDescent="0.75">
      <c r="C269" s="12" t="str">
        <f>IF(Treatment!L87="*  ..  ##34###34# ##334###334#","//--- END",Treatment!L87)</f>
        <v/>
      </c>
    </row>
    <row r="270" spans="3:3" x14ac:dyDescent="0.75">
      <c r="C270" s="12" t="str">
        <f>IF(Treatment!L88="*  ..  ##34###34# ##334###334#","//--- END",Treatment!L88)</f>
        <v/>
      </c>
    </row>
    <row r="271" spans="3:3" x14ac:dyDescent="0.75">
      <c r="C271" s="12" t="str">
        <f>IF(Treatment!L89="*  ..  ##34###34# ##334###334#","//--- END",Treatment!L89)</f>
        <v/>
      </c>
    </row>
    <row r="272" spans="3:3" x14ac:dyDescent="0.75">
      <c r="C272" s="12" t="str">
        <f>IF(Treatment!L90="*  ..  ##34###34# ##334###334#","//--- END",Treatment!L90)</f>
        <v/>
      </c>
    </row>
    <row r="273" spans="3:3" x14ac:dyDescent="0.75">
      <c r="C273" s="12" t="str">
        <f>IF(Treatment!L91="*  ..  ##34###34# ##334###334#","//--- END",Treatment!L91)</f>
        <v/>
      </c>
    </row>
    <row r="274" spans="3:3" x14ac:dyDescent="0.75">
      <c r="C274" s="12" t="str">
        <f>IF(Treatment!L92="*  ..  ##34###34# ##334###334#","//--- END",Treatment!L92)</f>
        <v/>
      </c>
    </row>
    <row r="275" spans="3:3" x14ac:dyDescent="0.75">
      <c r="C275" s="12" t="str">
        <f>IF(Treatment!L93="*  ..  ##34###34# ##334###334#","//--- END",Treatment!L93)</f>
        <v/>
      </c>
    </row>
    <row r="276" spans="3:3" x14ac:dyDescent="0.75">
      <c r="C276" s="12" t="str">
        <f>IF(Treatment!L94="*  ..  ##34###34# ##334###334#","//--- END",Treatment!L94)</f>
        <v/>
      </c>
    </row>
    <row r="277" spans="3:3" x14ac:dyDescent="0.75">
      <c r="C277" s="12" t="str">
        <f>IF(Treatment!L95="*  ..  ##34###34# ##334###334#","//--- END",Treatment!L95)</f>
        <v/>
      </c>
    </row>
    <row r="278" spans="3:3" x14ac:dyDescent="0.75">
      <c r="C278" s="12" t="str">
        <f>IF(Treatment!L96="*  ..  ##34###34# ##334###334#","//--- END",Treatment!L96)</f>
        <v/>
      </c>
    </row>
    <row r="279" spans="3:3" x14ac:dyDescent="0.75">
      <c r="C279" s="12" t="str">
        <f>IF(Treatment!L97="*  ..  ##34###34# ##334###334#","//--- END",Treatment!L97)</f>
        <v/>
      </c>
    </row>
    <row r="280" spans="3:3" x14ac:dyDescent="0.75">
      <c r="C280" s="12" t="str">
        <f>IF(Treatment!L98="*  ..  ##34###34# ##334###334#","//--- END",Treatment!L98)</f>
        <v/>
      </c>
    </row>
    <row r="281" spans="3:3" x14ac:dyDescent="0.75">
      <c r="C281" s="12" t="str">
        <f>IF(Treatment!L99="*  ..  ##34###34# ##334###334#","//--- END",Treatment!L99)</f>
        <v/>
      </c>
    </row>
    <row r="282" spans="3:3" x14ac:dyDescent="0.75">
      <c r="C282" s="12" t="str">
        <f>IF(Treatment!L100="*  ..  ##34###34# ##334###334#","//--- END",Treatment!L100)</f>
        <v/>
      </c>
    </row>
    <row r="283" spans="3:3" x14ac:dyDescent="0.75">
      <c r="C283" s="12" t="str">
        <f>IF(Treatment!L101="*  ..  ##34###34# ##334###334#","//--- END",Treatment!L101)</f>
        <v/>
      </c>
    </row>
    <row r="284" spans="3:3" x14ac:dyDescent="0.75">
      <c r="C284" s="12" t="str">
        <f>IF(Treatment!L102="*  ..  ##34###34# ##334###334#","//--- END",Treatment!L102)</f>
        <v/>
      </c>
    </row>
    <row r="285" spans="3:3" x14ac:dyDescent="0.75">
      <c r="C285" s="12" t="str">
        <f>IF(Treatment!L103="*  ..  ##34###34# ##334###334#","//--- END",Treatment!L103)</f>
        <v/>
      </c>
    </row>
    <row r="286" spans="3:3" x14ac:dyDescent="0.75">
      <c r="C286" s="12" t="str">
        <f>IF(Treatment!L104="*  ..  ##34###34# ##334###334#","//--- END",Treatment!L104)</f>
        <v/>
      </c>
    </row>
    <row r="287" spans="3:3" x14ac:dyDescent="0.75">
      <c r="C287" s="12" t="str">
        <f>IF(Treatment!L105="*  ..  ##34###34# ##334###334#","//--- END",Treatment!L105)</f>
        <v/>
      </c>
    </row>
    <row r="288" spans="3:3" x14ac:dyDescent="0.75">
      <c r="C288" s="12" t="str">
        <f>IF(Treatment!L106="*  ..  ##34###34# ##334###334#","//--- END",Treatment!L106)</f>
        <v/>
      </c>
    </row>
    <row r="289" spans="3:3" x14ac:dyDescent="0.75">
      <c r="C289" s="12" t="str">
        <f>IF(Treatment!L107="*  ..  ##34###34# ##334###334#","//--- END",Treatment!L107)</f>
        <v/>
      </c>
    </row>
    <row r="290" spans="3:3" x14ac:dyDescent="0.75">
      <c r="C290" s="12" t="str">
        <f>IF(Treatment!L108="*  ..  ##34###34# ##334###334#","//--- END",Treatment!L108)</f>
        <v/>
      </c>
    </row>
    <row r="291" spans="3:3" x14ac:dyDescent="0.75">
      <c r="C291" s="12" t="str">
        <f>IF(Treatment!L109="*  ..  ##34###34# ##334###334#","//--- END",Treatment!L109)</f>
        <v/>
      </c>
    </row>
    <row r="292" spans="3:3" x14ac:dyDescent="0.75">
      <c r="C292" s="12" t="str">
        <f>IF(Treatment!L110="*  ..  ##34###34# ##334###334#","//--- END",Treatment!L110)</f>
        <v/>
      </c>
    </row>
    <row r="293" spans="3:3" x14ac:dyDescent="0.75">
      <c r="C293" s="12" t="str">
        <f>IF(Treatment!L111="*  ..  ##34###34# ##334###334#","//--- END",Treatment!L111)</f>
        <v/>
      </c>
    </row>
    <row r="294" spans="3:3" x14ac:dyDescent="0.75">
      <c r="C294" s="12" t="str">
        <f>IF(Treatment!L112="*  ..  ##34###34# ##334###334#","//--- END",Treatment!L112)</f>
        <v/>
      </c>
    </row>
    <row r="295" spans="3:3" x14ac:dyDescent="0.75">
      <c r="C295" s="12" t="str">
        <f>IF(Treatment!L113="*  ..  ##34###34# ##334###334#","//--- END",Treatment!L113)</f>
        <v/>
      </c>
    </row>
    <row r="296" spans="3:3" x14ac:dyDescent="0.75">
      <c r="C296" s="12" t="str">
        <f>IF(Treatment!L114="*  ..  ##34###34# ##334###334#","//--- END",Treatment!L114)</f>
        <v/>
      </c>
    </row>
    <row r="297" spans="3:3" x14ac:dyDescent="0.75">
      <c r="C297" s="12" t="str">
        <f>IF(Treatment!L115="*  ..  ##34###34# ##334###334#","//--- END",Treatment!L115)</f>
        <v/>
      </c>
    </row>
    <row r="298" spans="3:3" x14ac:dyDescent="0.75">
      <c r="C298" s="12" t="str">
        <f>IF(Treatment!L116="*  ..  ##34###34# ##334###334#","//--- END",Treatment!L116)</f>
        <v/>
      </c>
    </row>
    <row r="299" spans="3:3" x14ac:dyDescent="0.75">
      <c r="C299" s="12" t="str">
        <f>IF(Treatment!L117="*  ..  ##34###34# ##334###334#","//--- END",Treatment!L117)</f>
        <v/>
      </c>
    </row>
    <row r="300" spans="3:3" x14ac:dyDescent="0.75">
      <c r="C300" s="12" t="str">
        <f>IF(Treatment!L118="*  ..  ##34###34# ##334###334#","//--- END",Treatment!L118)</f>
        <v/>
      </c>
    </row>
    <row r="301" spans="3:3" x14ac:dyDescent="0.75">
      <c r="C301" s="12" t="str">
        <f>IF(Treatment!L119="*  ..  ##34###34# ##334###334#","//--- END",Treatment!L119)</f>
        <v/>
      </c>
    </row>
    <row r="302" spans="3:3" x14ac:dyDescent="0.75">
      <c r="C302" s="12" t="str">
        <f>IF(Treatment!L120="*  ..  ##34###34# ##334###334#","//--- END",Treatment!L120)</f>
        <v/>
      </c>
    </row>
    <row r="303" spans="3:3" x14ac:dyDescent="0.75">
      <c r="C303" s="12" t="str">
        <f>IF(Treatment!L121="*  ..  ##34###34# ##334###334#","//--- END",Treatment!L121)</f>
        <v/>
      </c>
    </row>
    <row r="304" spans="3:3" x14ac:dyDescent="0.75">
      <c r="C304" s="12" t="str">
        <f>IF(Treatment!L122="*  ..  ##34###34# ##334###334#","//--- END",Treatment!L122)</f>
        <v/>
      </c>
    </row>
    <row r="305" spans="3:3" x14ac:dyDescent="0.75">
      <c r="C305" s="12" t="str">
        <f>IF(Treatment!L123="*  ..  ##34###34# ##334###334#","//--- END",Treatment!L123)</f>
        <v/>
      </c>
    </row>
    <row r="306" spans="3:3" x14ac:dyDescent="0.75">
      <c r="C306" s="12" t="str">
        <f>IF(Treatment!L124="*  ..  ##34###34# ##334###334#","//--- END",Treatment!L124)</f>
        <v/>
      </c>
    </row>
    <row r="307" spans="3:3" x14ac:dyDescent="0.75">
      <c r="C307" s="12" t="str">
        <f>IF(Treatment!L125="*  ..  ##34###34# ##334###334#","//--- END",Treatment!L125)</f>
        <v/>
      </c>
    </row>
    <row r="308" spans="3:3" x14ac:dyDescent="0.75">
      <c r="C308" s="12" t="str">
        <f>IF(Treatment!L126="*  ..  ##34###34# ##334###334#","//--- END",Treatment!L126)</f>
        <v/>
      </c>
    </row>
    <row r="309" spans="3:3" x14ac:dyDescent="0.75">
      <c r="C309" s="12" t="str">
        <f>IF(Treatment!L127="*  ..  ##34###34# ##334###334#","//--- END",Treatment!L127)</f>
        <v/>
      </c>
    </row>
    <row r="310" spans="3:3" x14ac:dyDescent="0.75">
      <c r="C310" s="12" t="str">
        <f>IF(Treatment!L128="*  ..  ##34###34# ##334###334#","//--- END",Treatment!L128)</f>
        <v/>
      </c>
    </row>
    <row r="311" spans="3:3" x14ac:dyDescent="0.75">
      <c r="C311" s="12" t="str">
        <f>IF(Treatment!L129="*  ..  ##34###34# ##334###334#","//--- END",Treatment!L129)</f>
        <v/>
      </c>
    </row>
    <row r="312" spans="3:3" x14ac:dyDescent="0.75">
      <c r="C312" s="12" t="str">
        <f>IF(Treatment!L130="*  ..  ##34###34# ##334###334#","//--- END",Treatment!L130)</f>
        <v/>
      </c>
    </row>
    <row r="313" spans="3:3" x14ac:dyDescent="0.75">
      <c r="C313" s="12" t="str">
        <f>IF(Treatment!L131="*  ..  ##34###34# ##334###334#","//--- END",Treatment!L131)</f>
        <v/>
      </c>
    </row>
    <row r="314" spans="3:3" x14ac:dyDescent="0.75">
      <c r="C314" s="12" t="str">
        <f>IF(Treatment!L132="*  ..  ##34###34# ##334###334#","//--- END",Treatment!L132)</f>
        <v/>
      </c>
    </row>
    <row r="315" spans="3:3" x14ac:dyDescent="0.75">
      <c r="C315" s="12" t="str">
        <f>IF(Treatment!L133="*  ..  ##34###34# ##334###334#","//--- END",Treatment!L133)</f>
        <v/>
      </c>
    </row>
    <row r="316" spans="3:3" x14ac:dyDescent="0.75">
      <c r="C316" s="12" t="str">
        <f>IF(Treatment!L134="*  ..  ##34###34# ##334###334#","//--- END",Treatment!L134)</f>
        <v/>
      </c>
    </row>
    <row r="317" spans="3:3" x14ac:dyDescent="0.75">
      <c r="C317" s="12" t="str">
        <f>IF(Treatment!L135="*  ..  ##34###34# ##334###334#","//--- END",Treatment!L135)</f>
        <v/>
      </c>
    </row>
    <row r="318" spans="3:3" x14ac:dyDescent="0.75">
      <c r="C318" s="12" t="str">
        <f>IF(Treatment!L136="*  ..  ##34###34# ##334###334#","//--- END",Treatment!L136)</f>
        <v/>
      </c>
    </row>
    <row r="319" spans="3:3" x14ac:dyDescent="0.75">
      <c r="C319" s="12" t="str">
        <f>IF(Treatment!L137="*  ..  ##34###34# ##334###334#","//--- END",Treatment!L137)</f>
        <v/>
      </c>
    </row>
    <row r="320" spans="3:3" x14ac:dyDescent="0.75">
      <c r="C320" s="12" t="str">
        <f>IF(Treatment!L138="*  ..  ##34###34# ##334###334#","//--- END",Treatment!L138)</f>
        <v/>
      </c>
    </row>
    <row r="321" spans="3:3" x14ac:dyDescent="0.75">
      <c r="C321" s="12" t="str">
        <f>IF(Treatment!L139="*  ..  ##34###34# ##334###334#","//--- END",Treatment!L139)</f>
        <v/>
      </c>
    </row>
    <row r="322" spans="3:3" x14ac:dyDescent="0.75">
      <c r="C322" s="12" t="str">
        <f>IF(Treatment!L140="*  ..  ##34###34# ##334###334#","//--- END",Treatment!L140)</f>
        <v/>
      </c>
    </row>
    <row r="323" spans="3:3" x14ac:dyDescent="0.75">
      <c r="C323" s="12" t="str">
        <f>IF(Treatment!L141="*  ..  ##34###34# ##334###334#","//--- END",Treatment!L141)</f>
        <v/>
      </c>
    </row>
    <row r="324" spans="3:3" x14ac:dyDescent="0.75">
      <c r="C324" s="12" t="str">
        <f>IF(Treatment!L142="*  ..  ##34###34# ##334###334#","//--- END",Treatment!L142)</f>
        <v/>
      </c>
    </row>
    <row r="325" spans="3:3" x14ac:dyDescent="0.75">
      <c r="C325" s="12" t="str">
        <f>IF(Treatment!L143="*  ..  ##34###34# ##334###334#","//--- END",Treatment!L143)</f>
        <v/>
      </c>
    </row>
    <row r="326" spans="3:3" x14ac:dyDescent="0.75">
      <c r="C326" s="12" t="str">
        <f>IF(Treatment!L144="*  ..  ##34###34# ##334###334#","//--- END",Treatment!L144)</f>
        <v/>
      </c>
    </row>
    <row r="327" spans="3:3" x14ac:dyDescent="0.75">
      <c r="C327" s="12" t="str">
        <f>IF(Treatment!L145="*  ..  ##34###34# ##334###334#","//--- END",Treatment!L145)</f>
        <v/>
      </c>
    </row>
    <row r="328" spans="3:3" x14ac:dyDescent="0.75">
      <c r="C328" s="12" t="str">
        <f>IF(Treatment!L146="*  ..  ##34###34# ##334###334#","//--- END",Treatment!L146)</f>
        <v/>
      </c>
    </row>
    <row r="329" spans="3:3" x14ac:dyDescent="0.75">
      <c r="C329" s="12" t="str">
        <f>IF(Treatment!L147="*  ..  ##34###34# ##334###334#","//--- END",Treatment!L147)</f>
        <v/>
      </c>
    </row>
    <row r="330" spans="3:3" x14ac:dyDescent="0.75">
      <c r="C330" s="12" t="str">
        <f>IF(Treatment!L148="*  ..  ##34###34# ##334###334#","//--- END",Treatment!L148)</f>
        <v/>
      </c>
    </row>
    <row r="331" spans="3:3" x14ac:dyDescent="0.75">
      <c r="C331" s="12" t="str">
        <f>IF(Treatment!L149="*  ..  ##34###34# ##334###334#","//--- END",Treatment!L149)</f>
        <v/>
      </c>
    </row>
    <row r="332" spans="3:3" x14ac:dyDescent="0.75">
      <c r="C332" s="12" t="str">
        <f>IF(Treatment!L150="*  ..  ##34###34# ##334###334#","//--- END",Treatment!L150)</f>
        <v/>
      </c>
    </row>
    <row r="333" spans="3:3" x14ac:dyDescent="0.75">
      <c r="C333" s="12" t="str">
        <f>IF(Treatment!L151="*  ..  ##34###34# ##334###334#","//--- END",Treatment!L151)</f>
        <v/>
      </c>
    </row>
    <row r="334" spans="3:3" x14ac:dyDescent="0.75">
      <c r="C334" s="12" t="str">
        <f>IF(Treatment!L152="*  ..  ##34###34# ##334###334#","//--- END",Treatment!L152)</f>
        <v/>
      </c>
    </row>
    <row r="335" spans="3:3" x14ac:dyDescent="0.75">
      <c r="C335" s="12" t="str">
        <f>IF(Treatment!L153="*  ..  ##34###34# ##334###334#","//--- END",Treatment!L153)</f>
        <v/>
      </c>
    </row>
    <row r="336" spans="3:3" x14ac:dyDescent="0.75">
      <c r="C336" s="12" t="str">
        <f>IF(Treatment!L154="*  ..  ##34###34# ##334###334#","//--- END",Treatment!L154)</f>
        <v/>
      </c>
    </row>
    <row r="337" spans="3:3" x14ac:dyDescent="0.75">
      <c r="C337" s="12" t="str">
        <f>IF(Treatment!L155="*  ..  ##34###34# ##334###334#","//--- END",Treatment!L155)</f>
        <v/>
      </c>
    </row>
    <row r="338" spans="3:3" x14ac:dyDescent="0.75">
      <c r="C338" s="12" t="str">
        <f>IF(Treatment!L156="*  ..  ##34###34# ##334###334#","//--- END",Treatment!L156)</f>
        <v/>
      </c>
    </row>
    <row r="339" spans="3:3" x14ac:dyDescent="0.75">
      <c r="C339" s="12" t="str">
        <f>IF(Treatment!L157="*  ..  ##34###34# ##334###334#","//--- END",Treatment!L157)</f>
        <v/>
      </c>
    </row>
    <row r="340" spans="3:3" x14ac:dyDescent="0.75">
      <c r="C340" s="12" t="str">
        <f>IF(Treatment!L158="*  ..  ##34###34# ##334###334#","//--- END",Treatment!L158)</f>
        <v/>
      </c>
    </row>
    <row r="341" spans="3:3" x14ac:dyDescent="0.75">
      <c r="C341" s="12" t="str">
        <f>IF(Treatment!L159="*  ..  ##34###34# ##334###334#","//--- END",Treatment!L159)</f>
        <v/>
      </c>
    </row>
    <row r="342" spans="3:3" x14ac:dyDescent="0.75">
      <c r="C342" s="12" t="str">
        <f>IF(Treatment!L160="*  ..  ##34###34# ##334###334#","//--- END",Treatment!L160)</f>
        <v/>
      </c>
    </row>
    <row r="343" spans="3:3" x14ac:dyDescent="0.75">
      <c r="C343" s="12" t="str">
        <f>IF(Treatment!L161="*  ..  ##34###34# ##334###334#","//--- END",Treatment!L161)</f>
        <v/>
      </c>
    </row>
    <row r="344" spans="3:3" x14ac:dyDescent="0.75">
      <c r="C344" s="12" t="str">
        <f>IF(Treatment!L162="*  ..  ##34###34# ##334###334#","//--- END",Treatment!L162)</f>
        <v/>
      </c>
    </row>
    <row r="345" spans="3:3" x14ac:dyDescent="0.75">
      <c r="C345" s="12" t="str">
        <f>IF(Treatment!L163="*  ..  ##34###34# ##334###334#","//--- END",Treatment!L163)</f>
        <v/>
      </c>
    </row>
    <row r="346" spans="3:3" x14ac:dyDescent="0.75">
      <c r="C346" s="12" t="str">
        <f>IF(Treatment!L164="*  ..  ##34###34# ##334###334#","//--- END",Treatment!L164)</f>
        <v/>
      </c>
    </row>
    <row r="347" spans="3:3" x14ac:dyDescent="0.75">
      <c r="C347" s="12" t="str">
        <f>IF(Treatment!L165="*  ..  ##34###34# ##334###334#","//--- END",Treatment!L165)</f>
        <v/>
      </c>
    </row>
    <row r="348" spans="3:3" x14ac:dyDescent="0.75">
      <c r="C348" s="12" t="str">
        <f>IF(Treatment!L166="*  ..  ##34###34# ##334###334#","//--- END",Treatment!L166)</f>
        <v/>
      </c>
    </row>
    <row r="349" spans="3:3" x14ac:dyDescent="0.75">
      <c r="C349" s="12" t="str">
        <f>IF(Treatment!L167="*  ..  ##34###34# ##334###334#","//--- END",Treatment!L167)</f>
        <v/>
      </c>
    </row>
    <row r="350" spans="3:3" x14ac:dyDescent="0.75">
      <c r="C350" s="12" t="str">
        <f>IF(Treatment!L168="*  ..  ##34###34# ##334###334#","//--- END",Treatment!L168)</f>
        <v/>
      </c>
    </row>
    <row r="351" spans="3:3" x14ac:dyDescent="0.75">
      <c r="C351" s="12" t="str">
        <f>IF(Treatment!L169="*  ..  ##34###34# ##334###334#","//--- END",Treatment!L169)</f>
        <v/>
      </c>
    </row>
    <row r="352" spans="3:3" x14ac:dyDescent="0.75">
      <c r="C352" s="12" t="str">
        <f>IF(Treatment!L170="*  ..  ##34###34# ##334###334#","//--- END",Treatment!L170)</f>
        <v/>
      </c>
    </row>
    <row r="353" spans="3:3" x14ac:dyDescent="0.75">
      <c r="C353" s="12" t="str">
        <f>IF(Treatment!L171="*  ..  ##34###34# ##334###334#","//--- END",Treatment!L171)</f>
        <v>//--- END</v>
      </c>
    </row>
    <row r="354" spans="3:3" x14ac:dyDescent="0.75">
      <c r="C354" s="12" t="str">
        <f>IF(Treatment!L172="*  ..  ##34###34# ##334###334#","//--- END",Treatment!L172)</f>
        <v>//--- END</v>
      </c>
    </row>
    <row r="355" spans="3:3" x14ac:dyDescent="0.75">
      <c r="C355" s="12" t="str">
        <f>IF(Treatment!L173="*  ..  ##34###34# ##334###334#","//--- END",Treatment!L173)</f>
        <v>//--- END</v>
      </c>
    </row>
    <row r="360" spans="3:3" x14ac:dyDescent="0.75">
      <c r="C360" s="12" t="str">
        <f>IF(Treatment!L134="*  ..  ##34###34# ##334###334#","//--- END",Treatment!L134)</f>
        <v/>
      </c>
    </row>
    <row r="361" spans="3:3" x14ac:dyDescent="0.75">
      <c r="C361" s="2"/>
    </row>
    <row r="362" spans="3:3" x14ac:dyDescent="0.75">
      <c r="C362"/>
    </row>
    <row r="364" spans="3:3" x14ac:dyDescent="0.75">
      <c r="C364" s="24" t="str">
        <f>'Treatment-Map-1'!E1</f>
        <v>// -------------------------------------------------------------------------------</v>
      </c>
    </row>
    <row r="365" spans="3:3" x14ac:dyDescent="0.75">
      <c r="C365" s="25" t="str">
        <f>'Treatment-Map-1'!E2</f>
        <v>//  Map to FHIR R4</v>
      </c>
    </row>
    <row r="366" spans="3:3" x14ac:dyDescent="0.75">
      <c r="C366" s="25" t="str">
        <f>'Treatment-Map-1'!E3</f>
        <v>// -------------------------------------------------------------------------------</v>
      </c>
    </row>
    <row r="367" spans="3:3" x14ac:dyDescent="0.75">
      <c r="C367" s="12" t="str">
        <f>'Treatment-Map-1'!E4</f>
        <v>Mapping: I4RCTreatment2Fhir</v>
      </c>
    </row>
    <row r="368" spans="3:3" x14ac:dyDescent="0.75">
      <c r="C368" s="12" t="str">
        <f>'Treatment-Map-1'!E5</f>
        <v>Id: fhir</v>
      </c>
    </row>
    <row r="369" spans="3:3" x14ac:dyDescent="0.75">
      <c r="C369" s="12" t="str">
        <f>'Treatment-Map-1'!E6</f>
        <v>Title: ##34#Idea4RC Treatment model to FHIR R4 Map##34#</v>
      </c>
    </row>
    <row r="370" spans="3:3" x14ac:dyDescent="0.75">
      <c r="C370" s="12" t="str">
        <f>'Treatment-Map-1'!E7</f>
        <v>Source: Treatment</v>
      </c>
    </row>
    <row r="371" spans="3:3" x14ac:dyDescent="0.75">
      <c r="C371" s="12" t="str">
        <f>'Treatment-Map-1'!E8</f>
        <v>Target: ##34#hl7.org/fhir/r4##34#</v>
      </c>
    </row>
    <row r="373" spans="3:3" x14ac:dyDescent="0.75">
      <c r="C373" s="4" t="str">
        <f>'Treatment-Map-1'!E9</f>
        <v>* -&gt; ##34#TBD##34#</v>
      </c>
    </row>
    <row r="374" spans="3:3" x14ac:dyDescent="0.75">
      <c r="C374" s="12" t="str">
        <f>IF('Treatment-Map-1'!E10="*  -&gt; ##34###34#","// --END",'Treatment-Map-1'!E10)</f>
        <v>* surgery -&gt; ##34#TBD##34#</v>
      </c>
    </row>
    <row r="375" spans="3:3" x14ac:dyDescent="0.75">
      <c r="C375" s="12" t="str">
        <f>IF('Treatment-Map-1'!E11="*  -&gt; ##34###34#","// --END",'Treatment-Map-1'!E11)</f>
        <v>* surgeryPerformed -&gt; ##34#TBD##34#</v>
      </c>
    </row>
    <row r="376" spans="3:3" x14ac:dyDescent="0.75">
      <c r="C376" s="12" t="str">
        <f>IF('Treatment-Map-1'!E12="*  -&gt; ##34###34#","// --END",'Treatment-Map-1'!E12)</f>
        <v>* dateOfTumourSurgery -&gt; ##34#TBD##34#</v>
      </c>
    </row>
    <row r="377" spans="3:3" x14ac:dyDescent="0.75">
      <c r="C377" s="12" t="str">
        <f>IF('Treatment-Map-1'!E13="*  -&gt; ##34###34#","// --END",'Treatment-Map-1'!E13)</f>
        <v>* surgeryIntention -&gt; ##34#TBD##34#</v>
      </c>
    </row>
    <row r="378" spans="3:3" x14ac:dyDescent="0.75">
      <c r="C378" s="12" t="str">
        <f>IF('Treatment-Map-1'!E14="*  -&gt; ##34###34#","// --END",'Treatment-Map-1'!E14)</f>
        <v>* tumorSurgeryApproach -&gt; ##34#TBD##34#</v>
      </c>
    </row>
    <row r="379" spans="3:3" x14ac:dyDescent="0.75">
      <c r="C379" s="12" t="str">
        <f>IF('Treatment-Map-1'!E15="*  -&gt; ##34###34#","// --END",'Treatment-Map-1'!E15)</f>
        <v>* tumorSurgeryDevice -&gt; ##34#TBD##34#</v>
      </c>
    </row>
    <row r="380" spans="3:3" x14ac:dyDescent="0.75">
      <c r="C380" s="12" t="str">
        <f>IF('Treatment-Map-1'!E16="*  -&gt; ##34###34#","// --END",'Treatment-Map-1'!E16)</f>
        <v>* surgicalProcedure -&gt; ##34#TBD##34#</v>
      </c>
    </row>
    <row r="381" spans="3:3" x14ac:dyDescent="0.75">
      <c r="C381" s="12" t="str">
        <f>IF('Treatment-Map-1'!E17="*  -&gt; ##34###34#","// --END",'Treatment-Map-1'!E17)</f>
        <v>* surgicalProcedure.surgicalProcedureNasopharynx -&gt; ##34#TBD##34#</v>
      </c>
    </row>
    <row r="382" spans="3:3" x14ac:dyDescent="0.75">
      <c r="C382" s="12" t="str">
        <f>IF('Treatment-Map-1'!E18="*  -&gt; ##34###34#","// --END",'Treatment-Map-1'!E18)</f>
        <v>* surgicalProcedure.surgicalProcedureNasalCavityAndParanasalSinus -&gt; ##34#TBD##34#</v>
      </c>
    </row>
    <row r="383" spans="3:3" x14ac:dyDescent="0.75">
      <c r="C383" s="12" t="str">
        <f>IF('Treatment-Map-1'!E19="*  -&gt; ##34###34#","// --END",'Treatment-Map-1'!E19)</f>
        <v>* surgicalProcedure.surgicalProcedureSalivaryGland -&gt; ##34#TBD##34#</v>
      </c>
    </row>
    <row r="384" spans="3:3" x14ac:dyDescent="0.75">
      <c r="C384" s="12" t="str">
        <f>IF('Treatment-Map-1'!E20="*  -&gt; ##34###34#","// --END",'Treatment-Map-1'!E20)</f>
        <v>* surgicalProcedure.surgicalProcedureEar -&gt; ##34#TBD##34#</v>
      </c>
    </row>
    <row r="385" spans="3:3" x14ac:dyDescent="0.75">
      <c r="C385" s="12" t="str">
        <f>IF('Treatment-Map-1'!E21="*  -&gt; ##34###34#","// --END",'Treatment-Map-1'!E21)</f>
        <v>* surgicalProcedure.surgicalProcedureLip -&gt; ##34#TBD##34#</v>
      </c>
    </row>
    <row r="386" spans="3:3" x14ac:dyDescent="0.75">
      <c r="C386" s="12" t="str">
        <f>IF('Treatment-Map-1'!E22="*  -&gt; ##34###34#","// --END",'Treatment-Map-1'!E22)</f>
        <v>* surgicalProcedure.surgicalProcedureOralCavity -&gt; ##34#TBD##34#</v>
      </c>
    </row>
    <row r="387" spans="3:3" x14ac:dyDescent="0.75">
      <c r="C387" s="12" t="str">
        <f>IF('Treatment-Map-1'!E23="*  -&gt; ##34###34#","// --END",'Treatment-Map-1'!E23)</f>
        <v>* surgicalProcedure.surgicalProcedureMandibulectomy -&gt; ##34#TBD##34#</v>
      </c>
    </row>
    <row r="388" spans="3:3" x14ac:dyDescent="0.75">
      <c r="C388" s="12" t="str">
        <f>IF('Treatment-Map-1'!E24="*  -&gt; ##34###34#","// --END",'Treatment-Map-1'!E24)</f>
        <v>* surgicalProcedure.surgicalProcedureOropharynx -&gt; ##34#TBD##34#</v>
      </c>
    </row>
    <row r="389" spans="3:3" x14ac:dyDescent="0.75">
      <c r="C389" s="12" t="str">
        <f>IF('Treatment-Map-1'!E25="*  -&gt; ##34###34#","// --END",'Treatment-Map-1'!E25)</f>
        <v>* surgicalProcedure.surgicalProcedureHypopharynx -&gt; ##34#TBD##34#</v>
      </c>
    </row>
    <row r="390" spans="3:3" x14ac:dyDescent="0.75">
      <c r="C390" s="12" t="str">
        <f>IF('Treatment-Map-1'!E26="*  -&gt; ##34###34#","// --END",'Treatment-Map-1'!E26)</f>
        <v>* surgicalProcedure.surgicalProcedureLarynx -&gt; ##34#TBD##34#</v>
      </c>
    </row>
    <row r="391" spans="3:3" x14ac:dyDescent="0.75">
      <c r="C391" s="12" t="str">
        <f>IF('Treatment-Map-1'!E27="*  -&gt; ##34###34#","// --END",'Treatment-Map-1'!E27)</f>
        <v>* reconstruction -&gt; ##34#TBD##34#</v>
      </c>
    </row>
    <row r="392" spans="3:3" x14ac:dyDescent="0.75">
      <c r="C392" s="12" t="str">
        <f>IF('Treatment-Map-1'!E28="*  -&gt; ##34###34#","// --END",'Treatment-Map-1'!E28)</f>
        <v>* reconstruction.flag -&gt; ##34#TBD##34#</v>
      </c>
    </row>
    <row r="393" spans="3:3" x14ac:dyDescent="0.75">
      <c r="C393" s="12" t="str">
        <f>IF('Treatment-Map-1'!E29="*  -&gt; ##34###34#","// --END",'Treatment-Map-1'!E29)</f>
        <v>* reconstruction.reconstructionType -&gt; ##34#TBD##34#</v>
      </c>
    </row>
    <row r="394" spans="3:3" x14ac:dyDescent="0.75">
      <c r="C394" s="12" t="str">
        <f>IF('Treatment-Map-1'!E30="*  -&gt; ##34###34#","// --END",'Treatment-Map-1'!E30)</f>
        <v>* reconstruction.firstFlapUsedForReconstruction -&gt; ##34#TBD##34#</v>
      </c>
    </row>
    <row r="395" spans="3:3" x14ac:dyDescent="0.75">
      <c r="C395" s="12" t="str">
        <f>IF('Treatment-Map-1'!E31="*  -&gt; ##34###34#","// --END",'Treatment-Map-1'!E31)</f>
        <v>* reconstruction.secondFlapUsedForReconstruction -&gt; ##34#TBD##34#</v>
      </c>
    </row>
    <row r="396" spans="3:3" x14ac:dyDescent="0.75">
      <c r="C396" s="12" t="str">
        <f>IF('Treatment-Map-1'!E32="*  -&gt; ##34###34#","// --END",'Treatment-Map-1'!E32)</f>
        <v>* neckSurgery -&gt; ##34#TBD##34#</v>
      </c>
    </row>
    <row r="397" spans="3:3" x14ac:dyDescent="0.75">
      <c r="C397" s="12" t="str">
        <f>IF('Treatment-Map-1'!E33="*  -&gt; ##34###34#","// --END",'Treatment-Map-1'!E33)</f>
        <v>* dateOfNeckSurgeryIfDifferentFromDateOfTumorSiteSurgery -&gt; ##34#TBD##34#</v>
      </c>
    </row>
    <row r="398" spans="3:3" x14ac:dyDescent="0.75">
      <c r="C398" s="12" t="str">
        <f>IF('Treatment-Map-1'!E34="*  -&gt; ##34###34#","// --END",'Treatment-Map-1'!E34)</f>
        <v>* dateOfNeckSurgeryDayUnknown -&gt; ##34#TBD##34#</v>
      </c>
    </row>
    <row r="399" spans="3:3" x14ac:dyDescent="0.75">
      <c r="C399" s="12" t="str">
        <f>IF('Treatment-Map-1'!E35="*  -&gt; ##34###34#","// --END",'Treatment-Map-1'!E35)</f>
        <v>* nodePicking -&gt; ##34#TBD##34#</v>
      </c>
    </row>
    <row r="400" spans="3:3" x14ac:dyDescent="0.75">
      <c r="C400" s="12" t="str">
        <f>IF('Treatment-Map-1'!E36="*  -&gt; ##34###34#","// --END",'Treatment-Map-1'!E36)</f>
        <v>* neckDissection -&gt; ##34#TBD##34#</v>
      </c>
    </row>
    <row r="401" spans="3:3" x14ac:dyDescent="0.75">
      <c r="C401" s="12" t="str">
        <f>IF('Treatment-Map-1'!E37="*  -&gt; ##34###34#","// --END",'Treatment-Map-1'!E37)</f>
        <v>* lateralityOfTheDissection -&gt; ##34#TBD##34#</v>
      </c>
    </row>
    <row r="402" spans="3:3" x14ac:dyDescent="0.75">
      <c r="C402" s="12" t="str">
        <f>IF('Treatment-Map-1'!E38="*  -&gt; ##34###34#","// --END",'Treatment-Map-1'!E38)</f>
        <v>* surgicalProcedureRightNeck -&gt; ##34#TBD##34#</v>
      </c>
    </row>
    <row r="403" spans="3:3" x14ac:dyDescent="0.75">
      <c r="C403" s="12" t="str">
        <f>IF('Treatment-Map-1'!E39="*  -&gt; ##34###34#","// --END",'Treatment-Map-1'!E39)</f>
        <v>* surgicalProcedureRightNeckLevelsDissected -&gt; ##34#TBD##34#</v>
      </c>
    </row>
    <row r="404" spans="3:3" x14ac:dyDescent="0.75">
      <c r="C404" s="12" t="str">
        <f>IF('Treatment-Map-1'!E40="*  -&gt; ##34###34#","// --END",'Treatment-Map-1'!E40)</f>
        <v>* surgicalProcedureLeftNeck -&gt; ##34#TBD##34#</v>
      </c>
    </row>
    <row r="405" spans="3:3" x14ac:dyDescent="0.75">
      <c r="C405" s="12" t="str">
        <f>IF('Treatment-Map-1'!E41="*  -&gt; ##34###34#","// --END",'Treatment-Map-1'!E41)</f>
        <v>* surgicalProcedureLeftNeckLevelsDissected -&gt; ##34#TBD##34#</v>
      </c>
    </row>
    <row r="406" spans="3:3" x14ac:dyDescent="0.75">
      <c r="C406" s="12" t="str">
        <f>IF('Treatment-Map-1'!E42="*  -&gt; ##34###34#","// --END",'Treatment-Map-1'!E42)</f>
        <v>* surgeryOnM -&gt; ##34#TBD##34#</v>
      </c>
    </row>
    <row r="407" spans="3:3" x14ac:dyDescent="0.75">
      <c r="C407" s="12" t="str">
        <f>IF('Treatment-Map-1'!E43="*  -&gt; ##34###34#","// --END",'Treatment-Map-1'!E43)</f>
        <v>* siteOfSurgeryOnMetastasis -&gt; ##34#TBD##34#</v>
      </c>
    </row>
    <row r="408" spans="3:3" x14ac:dyDescent="0.75">
      <c r="C408" s="12" t="str">
        <f>IF('Treatment-Map-1'!E44="*  -&gt; ##34###34#","// --END",'Treatment-Map-1'!E44)</f>
        <v>* siteOfSurgeryOnMetastasisSoftTissue -&gt; ##34#TBD##34#</v>
      </c>
    </row>
    <row r="409" spans="3:3" x14ac:dyDescent="0.75">
      <c r="C409" s="12" t="str">
        <f>IF('Treatment-Map-1'!E45="*  -&gt; ##34###34#","// --END",'Treatment-Map-1'!E45)</f>
        <v>* siteOfSurgeryOnMetastasisDistantLymphNodes -&gt; ##34#TBD##34#</v>
      </c>
    </row>
    <row r="410" spans="3:3" x14ac:dyDescent="0.75">
      <c r="C410" s="12" t="str">
        <f>IF('Treatment-Map-1'!E46="*  -&gt; ##34###34#","// --END",'Treatment-Map-1'!E46)</f>
        <v>* siteOfSurgeryOnMetastasisLung -&gt; ##34#TBD##34#</v>
      </c>
    </row>
    <row r="411" spans="3:3" x14ac:dyDescent="0.75">
      <c r="C411" s="12" t="str">
        <f>IF('Treatment-Map-1'!E47="*  -&gt; ##34###34#","// --END",'Treatment-Map-1'!E47)</f>
        <v>* siteOfSurgeryOnMetastasisBone -&gt; ##34#TBD##34#</v>
      </c>
    </row>
    <row r="412" spans="3:3" x14ac:dyDescent="0.75">
      <c r="C412" s="12" t="str">
        <f>IF('Treatment-Map-1'!E48="*  -&gt; ##34###34#","// --END",'Treatment-Map-1'!E48)</f>
        <v>* siteOfSurgeryOnMetastasisLiver -&gt; ##34#TBD##34#</v>
      </c>
    </row>
    <row r="413" spans="3:3" x14ac:dyDescent="0.75">
      <c r="C413" s="12" t="str">
        <f>IF('Treatment-Map-1'!E49="*  -&gt; ##34###34#","// --END",'Treatment-Map-1'!E49)</f>
        <v>* siteOfSurgeryOnMetastasisPleura -&gt; ##34#TBD##34#</v>
      </c>
    </row>
    <row r="414" spans="3:3" x14ac:dyDescent="0.75">
      <c r="C414" s="12" t="str">
        <f>IF('Treatment-Map-1'!E50="*  -&gt; ##34###34#","// --END",'Treatment-Map-1'!E50)</f>
        <v>* siteOfSurgeryOnMetastasisPeritoneum -&gt; ##34#TBD##34#</v>
      </c>
    </row>
    <row r="415" spans="3:3" x14ac:dyDescent="0.75">
      <c r="C415" s="12" t="str">
        <f>IF('Treatment-Map-1'!E51="*  -&gt; ##34###34#","// --END",'Treatment-Map-1'!E51)</f>
        <v>* siteOfSurgeryOnMetastasisBrain -&gt; ##34#TBD##34#</v>
      </c>
    </row>
    <row r="416" spans="3:3" x14ac:dyDescent="0.75">
      <c r="C416" s="12" t="str">
        <f>IF('Treatment-Map-1'!E52="*  -&gt; ##34###34#","// --END",'Treatment-Map-1'!E52)</f>
        <v>* siteOfSurgeryOnMetastasisOtherViscera -&gt; ##34#TBD##34#</v>
      </c>
    </row>
    <row r="417" spans="3:3" x14ac:dyDescent="0.75">
      <c r="C417" s="12" t="str">
        <f>IF('Treatment-Map-1'!E53="*  -&gt; ##34###34#","// --END",'Treatment-Map-1'!E53)</f>
        <v>* siteOfSurgeryOnMetastasisUnknown -&gt; ##34#TBD##34#</v>
      </c>
    </row>
    <row r="418" spans="3:3" x14ac:dyDescent="0.75">
      <c r="C418" s="12" t="str">
        <f>IF('Treatment-Map-1'!E54="*  -&gt; ##34###34#","// --END",'Treatment-Map-1'!E54)</f>
        <v>* dateOfSurgeryOnMIfDifferentFromDateOfTumorSiteSurgery -&gt; ##34#TBD##34#</v>
      </c>
    </row>
    <row r="419" spans="3:3" x14ac:dyDescent="0.75">
      <c r="C419" s="12" t="str">
        <f>IF('Treatment-Map-1'!E55="*  -&gt; ##34###34#","// --END",'Treatment-Map-1'!E55)</f>
        <v>* surgicalComplicationsClavienDindoClassificationPleaseSelectTheWorstOne -&gt; ##34#TBD##34#</v>
      </c>
    </row>
    <row r="420" spans="3:3" x14ac:dyDescent="0.75">
      <c r="C420" s="12" t="str">
        <f>IF('Treatment-Map-1'!E56="*  -&gt; ##34###34#","// --END",'Treatment-Map-1'!E56)</f>
        <v>* surgicalComplicationsClavienDindoClassification2ComplicationsPleaseSelectThe2WorstOne -&gt; ##34#TBD##34#</v>
      </c>
    </row>
    <row r="421" spans="3:3" x14ac:dyDescent="0.75">
      <c r="C421" s="12" t="str">
        <f>IF('Treatment-Map-1'!E57="*  -&gt; ##34###34#","// --END",'Treatment-Map-1'!E57)</f>
        <v>* unplannedSurgery -&gt; ##34#TBD##34#</v>
      </c>
    </row>
    <row r="422" spans="3:3" x14ac:dyDescent="0.75">
      <c r="C422" s="12" t="str">
        <f>IF('Treatment-Map-1'!E58="*  -&gt; ##34###34#","// --END",'Treatment-Map-1'!E58)</f>
        <v>* dateOfUnplannedSurgery -&gt; ##34#TBD##34#</v>
      </c>
    </row>
    <row r="423" spans="3:3" x14ac:dyDescent="0.75">
      <c r="C423" s="12" t="str">
        <f>IF('Treatment-Map-1'!E59="*  -&gt; ##34###34#","// --END",'Treatment-Map-1'!E59)</f>
        <v>* marginsAfterUnplannedSurgery -&gt; ##34#TBD##34#</v>
      </c>
    </row>
    <row r="424" spans="3:3" x14ac:dyDescent="0.75">
      <c r="C424" s="12" t="str">
        <f>IF('Treatment-Map-1'!E60="*  -&gt; ##34###34#","// --END",'Treatment-Map-1'!E60)</f>
        <v>* unplannedNeckSurgery -&gt; ##34#TBD##34#</v>
      </c>
    </row>
    <row r="425" spans="3:3" x14ac:dyDescent="0.75">
      <c r="C425" s="12" t="str">
        <f>IF('Treatment-Map-1'!E61="*  -&gt; ##34###34#","// --END",'Treatment-Map-1'!E61)</f>
        <v>* systemicTreament -&gt; ##34#TBD##34#</v>
      </c>
    </row>
    <row r="426" spans="3:3" x14ac:dyDescent="0.75">
      <c r="C426" s="12" t="str">
        <f>IF('Treatment-Map-1'!E62="*  -&gt; ##34###34#","// --END",'Treatment-Map-1'!E62)</f>
        <v>* systemicTreatmentPerformed -&gt; ##34#TBD##34#</v>
      </c>
    </row>
    <row r="427" spans="3:3" x14ac:dyDescent="0.75">
      <c r="C427" s="12" t="str">
        <f>IF('Treatment-Map-1'!E63="*  -&gt; ##34###34#","// --END",'Treatment-Map-1'!E63)</f>
        <v>* chooseTheSingleTreatment -&gt; ##34#TBD##34#</v>
      </c>
    </row>
    <row r="428" spans="3:3" x14ac:dyDescent="0.75">
      <c r="C428" s="12" t="str">
        <f>IF('Treatment-Map-1'!E64="*  -&gt; ##34###34#","// --END",'Treatment-Map-1'!E64)</f>
        <v>* intent -&gt; ##34#TBD##34#</v>
      </c>
    </row>
    <row r="429" spans="3:3" x14ac:dyDescent="0.75">
      <c r="C429" s="12" t="str">
        <f>IF('Treatment-Map-1'!E65="*  -&gt; ##34###34#","// --END",'Treatment-Map-1'!E65)</f>
        <v>* setting -&gt; ##34#TBD##34#</v>
      </c>
    </row>
    <row r="430" spans="3:3" x14ac:dyDescent="0.75">
      <c r="C430" s="12" t="str">
        <f>IF('Treatment-Map-1'!E66="*  -&gt; ##34###34#","// --END",'Treatment-Map-1'!E66)</f>
        <v>* startDateSystemicTreatment -&gt; ##34#TBD##34#</v>
      </c>
    </row>
    <row r="431" spans="3:3" x14ac:dyDescent="0.75">
      <c r="C431" s="12" t="str">
        <f>IF('Treatment-Map-1'!E67="*  -&gt; ##34###34#","// --END",'Treatment-Map-1'!E67)</f>
        <v>* startDateSystemicTreatmentDayUnknown -&gt; ##34#TBD##34#</v>
      </c>
    </row>
    <row r="432" spans="3:3" x14ac:dyDescent="0.75">
      <c r="C432" s="12" t="str">
        <f>IF('Treatment-Map-1'!E68="*  -&gt; ##34###34#","// --END",'Treatment-Map-1'!E68)</f>
        <v>* endDateSystemicTreatment -&gt; ##34#TBD##34#</v>
      </c>
    </row>
    <row r="433" spans="3:3" x14ac:dyDescent="0.75">
      <c r="C433" s="12" t="str">
        <f>IF('Treatment-Map-1'!E69="*  -&gt; ##34###34#","// --END",'Treatment-Map-1'!E69)</f>
        <v>* endDateSystemicTreatmentDayUnknown -&gt; ##34#TBD##34#</v>
      </c>
    </row>
    <row r="434" spans="3:3" x14ac:dyDescent="0.75">
      <c r="C434" s="12" t="str">
        <f>IF('Treatment-Map-1'!E70="*  -&gt; ##34###34#","// --END",'Treatment-Map-1'!E70)</f>
        <v>* numberOfCyclesAdministrations -&gt; ##34#TBD##34#</v>
      </c>
    </row>
    <row r="435" spans="3:3" x14ac:dyDescent="0.75">
      <c r="C435" s="12" t="str">
        <f>IF('Treatment-Map-1'!E71="*  -&gt; ##34###34#","// --END",'Treatment-Map-1'!E71)</f>
        <v>* regimen -&gt; ##34#TBD##34#</v>
      </c>
    </row>
    <row r="436" spans="3:3" x14ac:dyDescent="0.75">
      <c r="C436" s="12" t="str">
        <f>IF('Treatment-Map-1'!E72="*  -&gt; ##34###34#","// --END",'Treatment-Map-1'!E72)</f>
        <v>* drugs1 -&gt; ##34#TBD##34#</v>
      </c>
    </row>
    <row r="437" spans="3:3" x14ac:dyDescent="0.75">
      <c r="C437" s="12" t="str">
        <f>IF('Treatment-Map-1'!E73="*  -&gt; ##34###34#","// --END",'Treatment-Map-1'!E73)</f>
        <v>* drugs2 -&gt; ##34#TBD##34#</v>
      </c>
    </row>
    <row r="438" spans="3:3" x14ac:dyDescent="0.75">
      <c r="C438" s="12" t="str">
        <f>IF('Treatment-Map-1'!E74="*  -&gt; ##34###34#","// --END",'Treatment-Map-1'!E74)</f>
        <v>* drugs3 -&gt; ##34#TBD##34#</v>
      </c>
    </row>
    <row r="439" spans="3:3" x14ac:dyDescent="0.75">
      <c r="C439" s="12" t="str">
        <f>IF('Treatment-Map-1'!E75="*  -&gt; ##34###34#","// --END",'Treatment-Map-1'!E75)</f>
        <v>* plasmaticEbvDnaDuringSystemicTreatment -&gt; ##34#TBD##34#</v>
      </c>
    </row>
    <row r="440" spans="3:3" x14ac:dyDescent="0.75">
      <c r="C440" s="12" t="str">
        <f>IF('Treatment-Map-1'!E76="*  -&gt; ##34###34#","// --END",'Treatment-Map-1'!E76)</f>
        <v>* primerType -&gt; ##34#TBD##34#</v>
      </c>
    </row>
    <row r="441" spans="3:3" x14ac:dyDescent="0.75">
      <c r="C441" s="12" t="str">
        <f>IF('Treatment-Map-1'!E77="*  -&gt; ##34###34#","// --END",'Treatment-Map-1'!E77)</f>
        <v>* copyNumber -&gt; ##34#TBD##34#</v>
      </c>
    </row>
    <row r="442" spans="3:3" x14ac:dyDescent="0.75">
      <c r="C442" s="12" t="str">
        <f>IF('Treatment-Map-1'!E78="*  -&gt; ##34###34#","// --END",'Treatment-Map-1'!E78)</f>
        <v>* plasmaticEbvDnaAfterSystemicTreatment -&gt; ##34#TBD##34#</v>
      </c>
    </row>
    <row r="443" spans="3:3" x14ac:dyDescent="0.75">
      <c r="C443" s="12" t="str">
        <f>IF('Treatment-Map-1'!E79="*  -&gt; ##34###34#","// --END",'Treatment-Map-1'!E79)</f>
        <v>* afterTreatment-primerType -&gt; ##34#TBD##34#</v>
      </c>
    </row>
    <row r="444" spans="3:3" x14ac:dyDescent="0.75">
      <c r="C444" s="12" t="str">
        <f>IF('Treatment-Map-1'!E80="*  -&gt; ##34###34#","// --END",'Treatment-Map-1'!E80)</f>
        <v>* copyNumber -&gt; ##34#TBD##34#</v>
      </c>
    </row>
    <row r="445" spans="3:3" x14ac:dyDescent="0.75">
      <c r="C445" s="12" t="str">
        <f>IF('Treatment-Map-1'!E81="*  -&gt; ##34###34#","// --END",'Treatment-Map-1'!E81)</f>
        <v>* reasonForEndOfTreatment -&gt; ##34#TBD##34#</v>
      </c>
    </row>
    <row r="446" spans="3:3" x14ac:dyDescent="0.75">
      <c r="C446" s="12" t="str">
        <f>IF('Treatment-Map-1'!E82="*  -&gt; ##34###34#","// --END",'Treatment-Map-1'!E82)</f>
        <v>* regimenChanged -&gt; ##34#TBD##34#</v>
      </c>
    </row>
    <row r="447" spans="3:3" x14ac:dyDescent="0.75">
      <c r="C447" s="12" t="str">
        <f>IF('Treatment-Map-1'!E83="*  -&gt; ##34###34#","// --END",'Treatment-Map-1'!E83)</f>
        <v>* regimenChanged-regimen -&gt; ##34#TBD##34#</v>
      </c>
    </row>
    <row r="448" spans="3:3" x14ac:dyDescent="0.75">
      <c r="C448" s="12" t="str">
        <f>IF('Treatment-Map-1'!E84="*  -&gt; ##34###34#","// --END",'Treatment-Map-1'!E84)</f>
        <v>* regimenChanged-otherDrug1 -&gt; ##34#TBD##34#</v>
      </c>
    </row>
    <row r="449" spans="3:3" x14ac:dyDescent="0.75">
      <c r="C449" s="12" t="str">
        <f>IF('Treatment-Map-1'!E85="*  -&gt; ##34###34#","// --END",'Treatment-Map-1'!E85)</f>
        <v>* regimenChanged-otherDrug2 -&gt; ##34#TBD##34#</v>
      </c>
    </row>
    <row r="450" spans="3:3" x14ac:dyDescent="0.75">
      <c r="C450" s="12" t="str">
        <f>IF('Treatment-Map-1'!E86="*  -&gt; ##34###34#","// --END",'Treatment-Map-1'!E86)</f>
        <v>* regimenChanged-otherDrug3 -&gt; ##34#TBD##34#</v>
      </c>
    </row>
    <row r="451" spans="3:3" x14ac:dyDescent="0.75">
      <c r="C451" s="12" t="str">
        <f>IF('Treatment-Map-1'!E87="*  -&gt; ##34###34#","// --END",'Treatment-Map-1'!E87)</f>
        <v>* startDateRegimenChanged -&gt; ##34#TBD##34#</v>
      </c>
    </row>
    <row r="452" spans="3:3" x14ac:dyDescent="0.75">
      <c r="C452" s="12" t="str">
        <f>IF('Treatment-Map-1'!E88="*  -&gt; ##34###34#","// --END",'Treatment-Map-1'!E88)</f>
        <v>* startDateRegimenChangedDayUnknown -&gt; ##34#TBD##34#</v>
      </c>
    </row>
    <row r="453" spans="3:3" x14ac:dyDescent="0.75">
      <c r="C453" s="12" t="str">
        <f>IF('Treatment-Map-1'!E89="*  -&gt; ##34###34#","// --END",'Treatment-Map-1'!E89)</f>
        <v>* endDateRegimenChanged -&gt; ##34#TBD##34#</v>
      </c>
    </row>
    <row r="454" spans="3:3" x14ac:dyDescent="0.75">
      <c r="C454" s="12" t="str">
        <f>IF('Treatment-Map-1'!E90="*  -&gt; ##34###34#","// --END",'Treatment-Map-1'!E90)</f>
        <v>* endDateRegimenChangedDayUnknown -&gt; ##34#TBD##34#</v>
      </c>
    </row>
    <row r="455" spans="3:3" x14ac:dyDescent="0.75">
      <c r="C455" s="12" t="str">
        <f>IF('Treatment-Map-1'!E91="*  -&gt; ##34###34#","// --END",'Treatment-Map-1'!E91)</f>
        <v>* regimenChanged-reasonForEndOfTreatment -&gt; ##34#TBD##34#</v>
      </c>
    </row>
    <row r="456" spans="3:3" x14ac:dyDescent="0.75">
      <c r="C456" s="12" t="str">
        <f>IF('Treatment-Map-1'!E92="*  -&gt; ##34###34#","// --END",'Treatment-Map-1'!E92)</f>
        <v>* treatmentResponseBasedOnImagingAloneNoRecistOrOtherCriteria -&gt; ##34#TBD##34#</v>
      </c>
    </row>
    <row r="457" spans="3:3" x14ac:dyDescent="0.75">
      <c r="C457" s="12" t="str">
        <f>IF('Treatment-Map-1'!E93="*  -&gt; ##34###34#","// --END",'Treatment-Map-1'!E93)</f>
        <v>* treatmentResponseDefinedDone -&gt; ##34#TBD##34#</v>
      </c>
    </row>
    <row r="458" spans="3:3" x14ac:dyDescent="0.75">
      <c r="C458" s="12" t="str">
        <f>IF('Treatment-Map-1'!E94="*  -&gt; ##34###34#","// --END",'Treatment-Map-1'!E94)</f>
        <v>* systemicTreatment2 -&gt; ##34#TBD##34#</v>
      </c>
    </row>
    <row r="459" spans="3:3" x14ac:dyDescent="0.75">
      <c r="C459" s="12" t="str">
        <f>IF('Treatment-Map-1'!E95="*  -&gt; ##34###34#","// --END",'Treatment-Map-1'!E95)</f>
        <v>* radiotherapy -&gt; ##34#TBD##34#</v>
      </c>
    </row>
    <row r="460" spans="3:3" x14ac:dyDescent="0.75">
      <c r="C460" s="12" t="str">
        <f>IF('Treatment-Map-1'!E96="*  -&gt; ##34###34#","// --END",'Treatment-Map-1'!E96)</f>
        <v>* radiotherapywhere -&gt; ##34#TBD##34#</v>
      </c>
    </row>
    <row r="461" spans="3:3" x14ac:dyDescent="0.75">
      <c r="C461" s="12" t="str">
        <f>IF('Treatment-Map-1'!E97="*  -&gt; ##34###34#","// --END",'Treatment-Map-1'!E97)</f>
        <v>* intent -&gt; ##34#TBD##34#</v>
      </c>
    </row>
    <row r="462" spans="3:3" x14ac:dyDescent="0.75">
      <c r="C462" s="12" t="str">
        <f>IF('Treatment-Map-1'!E98="*  -&gt; ##34###34#","// --END",'Treatment-Map-1'!E98)</f>
        <v>* setting-2 -&gt; ##34#TBD##34#</v>
      </c>
    </row>
    <row r="463" spans="3:3" x14ac:dyDescent="0.75">
      <c r="C463" s="12" t="str">
        <f>IF('Treatment-Map-1'!E99="*  -&gt; ##34###34#","// --END",'Treatment-Map-1'!E99)</f>
        <v>* postoperativeRadiotherapyIndications -&gt; ##34#TBD##34#</v>
      </c>
    </row>
    <row r="464" spans="3:3" x14ac:dyDescent="0.75">
      <c r="C464" s="12" t="str">
        <f>IF('Treatment-Map-1'!E100="*  -&gt; ##34###34#","// --END",'Treatment-Map-1'!E100)</f>
        <v>* beamQuality -&gt; ##34#TBD##34#</v>
      </c>
    </row>
    <row r="465" spans="3:3" x14ac:dyDescent="0.75">
      <c r="C465" s="12" t="str">
        <f>IF('Treatment-Map-1'!E101="*  -&gt; ##34###34#","// --END",'Treatment-Map-1'!E101)</f>
        <v>* beamQuality-otherSpecify -&gt; ##34#TBD##34#</v>
      </c>
    </row>
    <row r="466" spans="3:3" x14ac:dyDescent="0.75">
      <c r="C466" s="12" t="str">
        <f>IF('Treatment-Map-1'!E102="*  -&gt; ##34###34#","// --END",'Treatment-Map-1'!E102)</f>
        <v>* treatmentTechnique -&gt; ##34#TBD##34#</v>
      </c>
    </row>
    <row r="467" spans="3:3" x14ac:dyDescent="0.75">
      <c r="C467" s="12" t="str">
        <f>IF('Treatment-Map-1'!E103="*  -&gt; ##34###34#","// --END",'Treatment-Map-1'!E103)</f>
        <v>* treatmentTechnique-otherSpecify -&gt; ##34#TBD##34#</v>
      </c>
    </row>
    <row r="468" spans="3:3" x14ac:dyDescent="0.75">
      <c r="C468" s="12" t="str">
        <f>IF('Treatment-Map-1'!E104="*  -&gt; ##34###34#","// --END",'Treatment-Map-1'!E104)</f>
        <v>* boostType -&gt; ##34#TBD##34#</v>
      </c>
    </row>
    <row r="469" spans="3:3" x14ac:dyDescent="0.75">
      <c r="C469" s="12" t="str">
        <f>IF('Treatment-Map-1'!E105="*  -&gt; ##34###34#","// --END",'Treatment-Map-1'!E105)</f>
        <v>* treatmentPlan -&gt; ##34#TBD##34#</v>
      </c>
    </row>
    <row r="470" spans="3:3" x14ac:dyDescent="0.75">
      <c r="C470" s="12" t="str">
        <f>IF('Treatment-Map-1'!E106="*  -&gt; ##34###34#","// --END",'Treatment-Map-1'!E106)</f>
        <v>* totalDoseTdGy -&gt; ##34#TBD##34#</v>
      </c>
    </row>
    <row r="471" spans="3:3" x14ac:dyDescent="0.75">
      <c r="C471" s="12" t="str">
        <f>IF('Treatment-Map-1'!E107="*  -&gt; ##34###34#","// --END",'Treatment-Map-1'!E107)</f>
        <v>* fractionSizeFs -&gt; ##34#TBD##34#</v>
      </c>
    </row>
    <row r="472" spans="3:3" x14ac:dyDescent="0.75">
      <c r="C472" s="12" t="str">
        <f>IF('Treatment-Map-1'!E108="*  -&gt; ##34###34#","// --END",'Treatment-Map-1'!E108)</f>
        <v>* numberOfFractions -&gt; ##34#TBD##34#</v>
      </c>
    </row>
    <row r="473" spans="3:3" x14ac:dyDescent="0.75">
      <c r="C473" s="12" t="str">
        <f>IF('Treatment-Map-1'!E109="*  -&gt; ##34###34#","// --END",'Treatment-Map-1'!E109)</f>
        <v>* totalHighDoseGy -&gt; ##34#TBD##34#</v>
      </c>
    </row>
    <row r="474" spans="3:3" x14ac:dyDescent="0.75">
      <c r="C474" s="12" t="str">
        <f>IF('Treatment-Map-1'!E110="*  -&gt; ##34###34#","// --END",'Treatment-Map-1'!E110)</f>
        <v>* totalHighDoseFraction -&gt; ##34#TBD##34#</v>
      </c>
    </row>
    <row r="475" spans="3:3" x14ac:dyDescent="0.75">
      <c r="C475" s="12" t="str">
        <f>IF('Treatment-Map-1'!E111="*  -&gt; ##34###34#","// --END",'Treatment-Map-1'!E111)</f>
        <v>* totalIntermediateDoseGy -&gt; ##34#TBD##34#</v>
      </c>
    </row>
    <row r="476" spans="3:3" x14ac:dyDescent="0.75">
      <c r="C476" s="12" t="str">
        <f>IF('Treatment-Map-1'!E112="*  -&gt; ##34###34#","// --END",'Treatment-Map-1'!E112)</f>
        <v>* totalIntermediateDoseFraction -&gt; ##34#TBD##34#</v>
      </c>
    </row>
    <row r="477" spans="3:3" x14ac:dyDescent="0.75">
      <c r="C477" s="12" t="str">
        <f>IF('Treatment-Map-1'!E113="*  -&gt; ##34###34#","// --END",'Treatment-Map-1'!E113)</f>
        <v>* totalLowDoseGy -&gt; ##34#TBD##34#</v>
      </c>
    </row>
    <row r="478" spans="3:3" x14ac:dyDescent="0.75">
      <c r="C478" s="12" t="str">
        <f>IF('Treatment-Map-1'!E114="*  -&gt; ##34###34#","// --END",'Treatment-Map-1'!E114)</f>
        <v>* totalLowDoseFraction -&gt; ##34#TBD##34#</v>
      </c>
    </row>
    <row r="479" spans="3:3" x14ac:dyDescent="0.75">
      <c r="C479" s="12" t="str">
        <f>IF('Treatment-Map-1'!E115="*  -&gt; ##34###34#","// --END",'Treatment-Map-1'!E115)</f>
        <v>* fractionationPattern -&gt; ##34#TBD##34#</v>
      </c>
    </row>
    <row r="480" spans="3:3" x14ac:dyDescent="0.75">
      <c r="C480" s="12" t="str">
        <f>IF('Treatment-Map-1'!E116="*  -&gt; ##34###34#","// --END",'Treatment-Map-1'!E116)</f>
        <v>* alteredFractionationScheme -&gt; ##34#TBD##34#</v>
      </c>
    </row>
    <row r="481" spans="3:3" x14ac:dyDescent="0.75">
      <c r="C481" s="12" t="str">
        <f>IF('Treatment-Map-1'!E117="*  -&gt; ##34###34#","// --END",'Treatment-Map-1'!E117)</f>
        <v>* adaptiveRt -&gt; ##34#TBD##34#</v>
      </c>
    </row>
    <row r="482" spans="3:3" x14ac:dyDescent="0.75">
      <c r="C482" s="12" t="str">
        <f>IF('Treatment-Map-1'!E118="*  -&gt; ##34###34#","// --END",'Treatment-Map-1'!E118)</f>
        <v>* igrtImageGuideRadiotherapy -&gt; ##34#TBD##34#</v>
      </c>
    </row>
    <row r="483" spans="3:3" x14ac:dyDescent="0.75">
      <c r="C483" s="12" t="str">
        <f>IF('Treatment-Map-1'!E119="*  -&gt; ##34###34#","// --END",'Treatment-Map-1'!E119)</f>
        <v>* secondBeamQuality -&gt; ##34#TBD##34#</v>
      </c>
    </row>
    <row r="484" spans="3:3" x14ac:dyDescent="0.75">
      <c r="C484" s="12" t="str">
        <f>IF('Treatment-Map-1'!E120="*  -&gt; ##34###34#","// --END",'Treatment-Map-1'!E120)</f>
        <v>* otherSpecify2 -&gt; ##34#TBD##34#</v>
      </c>
    </row>
    <row r="485" spans="3:3" x14ac:dyDescent="0.75">
      <c r="C485" s="12" t="str">
        <f>IF('Treatment-Map-1'!E121="*  -&gt; ##34###34#","// --END",'Treatment-Map-1'!E121)</f>
        <v>* treatmentTechnique2 -&gt; ##34#TBD##34#</v>
      </c>
    </row>
    <row r="486" spans="3:3" x14ac:dyDescent="0.75">
      <c r="C486" s="12" t="str">
        <f>IF('Treatment-Map-1'!E122="*  -&gt; ##34###34#","// --END",'Treatment-Map-1'!E122)</f>
        <v>* treatmentTechnique2OtherSpecify -&gt; ##34#TBD##34#</v>
      </c>
    </row>
    <row r="487" spans="3:3" x14ac:dyDescent="0.75">
      <c r="C487" s="12" t="str">
        <f>IF('Treatment-Map-1'!E123="*  -&gt; ##34###34#","// --END",'Treatment-Map-1'!E123)</f>
        <v>* startDate -&gt; ##34#TBD##34#</v>
      </c>
    </row>
    <row r="488" spans="3:3" x14ac:dyDescent="0.75">
      <c r="C488" s="12" t="str">
        <f>IF('Treatment-Map-1'!E124="*  -&gt; ##34###34#","// --END",'Treatment-Map-1'!E124)</f>
        <v>* startDateRadiotherapyDayUnknown -&gt; ##34#TBD##34#</v>
      </c>
    </row>
    <row r="489" spans="3:3" x14ac:dyDescent="0.75">
      <c r="C489" s="12" t="str">
        <f>IF('Treatment-Map-1'!E125="*  -&gt; ##34###34#","// --END",'Treatment-Map-1'!E125)</f>
        <v>* endDate -&gt; ##34#TBD##34#</v>
      </c>
    </row>
    <row r="490" spans="3:3" x14ac:dyDescent="0.75">
      <c r="C490" s="12" t="str">
        <f>IF('Treatment-Map-1'!E126="*  -&gt; ##34###34#","// --END",'Treatment-Map-1'!E126)</f>
        <v>* endDateRadiotherapyDayUnknown -&gt; ##34#TBD##34#</v>
      </c>
    </row>
    <row r="491" spans="3:3" x14ac:dyDescent="0.75">
      <c r="C491" s="12" t="str">
        <f>IF('Treatment-Map-1'!E127="*  -&gt; ##34###34#","// --END",'Treatment-Map-1'!E127)</f>
        <v>* treatmentInterruption2DaysNotIncludingIntendedBreaks -&gt; ##34#TBD##34#</v>
      </c>
    </row>
    <row r="492" spans="3:3" x14ac:dyDescent="0.75">
      <c r="C492" s="12" t="str">
        <f>IF('Treatment-Map-1'!E128="*  -&gt; ##34###34#","// --END",'Treatment-Map-1'!E128)</f>
        <v>* treatmentDaysMissed -&gt; ##34#TBD##34#</v>
      </c>
    </row>
    <row r="493" spans="3:3" x14ac:dyDescent="0.75">
      <c r="C493" s="12" t="str">
        <f>IF('Treatment-Map-1'!E129="*  -&gt; ##34###34#","// --END",'Treatment-Map-1'!E129)</f>
        <v>* overallTreatmentTimeOtt -&gt; ##34#TBD##34#</v>
      </c>
    </row>
    <row r="494" spans="3:3" x14ac:dyDescent="0.75">
      <c r="C494" s="12" t="str">
        <f>IF('Treatment-Map-1'!E130="*  -&gt; ##34###34#","// --END",'Treatment-Map-1'!E130)</f>
        <v>* overallTreatmentTimeOttManualInDays -&gt; ##34#TBD##34#</v>
      </c>
    </row>
    <row r="495" spans="3:3" x14ac:dyDescent="0.75">
      <c r="C495" s="12" t="str">
        <f>IF('Treatment-Map-1'!E131="*  -&gt; ##34###34#","// --END",'Treatment-Map-1'!E131)</f>
        <v>* treatmentSites -&gt; ##34#TBD##34#</v>
      </c>
    </row>
    <row r="496" spans="3:3" x14ac:dyDescent="0.75">
      <c r="C496" s="12" t="str">
        <f>IF('Treatment-Map-1'!E132="*  -&gt; ##34###34#","// --END",'Treatment-Map-1'!E132)</f>
        <v>* primary -&gt; ##34#TBD##34#</v>
      </c>
    </row>
    <row r="497" spans="3:3" x14ac:dyDescent="0.75">
      <c r="C497" s="12" t="str">
        <f>IF('Treatment-Map-1'!E133="*  -&gt; ##34###34#","// --END",'Treatment-Map-1'!E133)</f>
        <v>* neck -&gt; ##34#TBD##34#</v>
      </c>
    </row>
    <row r="498" spans="3:3" x14ac:dyDescent="0.75">
      <c r="C498" s="12" t="str">
        <f>IF('Treatment-Map-1'!E134="*  -&gt; ##34###34#","// --END",'Treatment-Map-1'!E134)</f>
        <v>* primaryAndIpsilateralNeck -&gt; ##34#TBD##34#</v>
      </c>
    </row>
    <row r="499" spans="3:3" x14ac:dyDescent="0.75">
      <c r="C499" s="12" t="str">
        <f>IF('Treatment-Map-1'!E135="*  -&gt; ##34###34#","// --END",'Treatment-Map-1'!E135)</f>
        <v>* primaryAndBilateralNeck -&gt; ##34#TBD##34#</v>
      </c>
    </row>
    <row r="500" spans="3:3" x14ac:dyDescent="0.75">
      <c r="C500" s="12" t="str">
        <f>IF('Treatment-Map-1'!E136="*  -&gt; ##34###34#","// --END",'Treatment-Map-1'!E136)</f>
        <v>* distantMetastasis -&gt; ##34#TBD##34#</v>
      </c>
    </row>
    <row r="501" spans="3:3" x14ac:dyDescent="0.75">
      <c r="C501" s="12" t="str">
        <f>IF('Treatment-Map-1'!E137="*  -&gt; ##34###34#","// --END",'Treatment-Map-1'!E137)</f>
        <v>* metastaticTreatmentSites -&gt; ##34#TBD##34#</v>
      </c>
    </row>
    <row r="502" spans="3:3" ht="29.5" x14ac:dyDescent="0.75">
      <c r="C502" s="12" t="str">
        <f>IF('Treatment-Map-1'!E138="*  -&gt; ##34###34#","// --END",'Treatment-Map-1'!E138)</f>
        <v>* lung
 -&gt; ##34#TBD##34#</v>
      </c>
    </row>
    <row r="503" spans="3:3" ht="29.5" x14ac:dyDescent="0.75">
      <c r="C503" s="12" t="str">
        <f>IF('Treatment-Map-1'!E139="*  -&gt; ##34###34#","// --END",'Treatment-Map-1'!E139)</f>
        <v>* mediastinum
 -&gt; ##34#TBD##34#</v>
      </c>
    </row>
    <row r="504" spans="3:3" ht="29.5" x14ac:dyDescent="0.75">
      <c r="C504" s="12" t="str">
        <f>IF('Treatment-Map-1'!E140="*  -&gt; ##34###34#","// --END",'Treatment-Map-1'!E140)</f>
        <v>* bone
 -&gt; ##34#TBD##34#</v>
      </c>
    </row>
    <row r="505" spans="3:3" ht="29.5" x14ac:dyDescent="0.75">
      <c r="C505" s="12" t="str">
        <f>IF('Treatment-Map-1'!E141="*  -&gt; ##34###34#","// --END",'Treatment-Map-1'!E141)</f>
        <v>* softTissue
 -&gt; ##34#TBD##34#</v>
      </c>
    </row>
    <row r="506" spans="3:3" ht="29.5" x14ac:dyDescent="0.75">
      <c r="C506" s="12" t="str">
        <f>IF('Treatment-Map-1'!E142="*  -&gt; ##34###34#","// --END",'Treatment-Map-1'!E142)</f>
        <v>* liver
 -&gt; ##34#TBD##34#</v>
      </c>
    </row>
    <row r="507" spans="3:3" x14ac:dyDescent="0.75">
      <c r="C507" s="12" t="str">
        <f>IF('Treatment-Map-1'!E143="*  -&gt; ##34###34#","// --END",'Treatment-Map-1'!E143)</f>
        <v>* unknown -&gt; ##34#TBD##34#</v>
      </c>
    </row>
    <row r="508" spans="3:3" x14ac:dyDescent="0.75">
      <c r="C508" s="12" t="str">
        <f>IF('Treatment-Map-1'!E144="*  -&gt; ##34###34#","// --END",'Treatment-Map-1'!E144)</f>
        <v>* other -&gt; ##34#TBD##34#</v>
      </c>
    </row>
    <row r="509" spans="3:3" x14ac:dyDescent="0.75">
      <c r="C509" s="12" t="str">
        <f>IF('Treatment-Map-1'!E145="*  -&gt; ##34###34#","// --END",'Treatment-Map-1'!E145)</f>
        <v>* otherSpecify -&gt; ##34#TBD##34#</v>
      </c>
    </row>
    <row r="510" spans="3:3" x14ac:dyDescent="0.75">
      <c r="C510" s="12" t="str">
        <f>IF('Treatment-Map-1'!E146="*  -&gt; ##34###34#","// --END",'Treatment-Map-1'!E146)</f>
        <v>* neckLevelsIrradiatedRight -&gt; ##34#TBD##34#</v>
      </c>
    </row>
    <row r="511" spans="3:3" x14ac:dyDescent="0.75">
      <c r="C511" s="12" t="str">
        <f>IF('Treatment-Map-1'!E147="*  -&gt; ##34###34#","// --END",'Treatment-Map-1'!E147)</f>
        <v>* neckLevelsIrradiatedLeft -&gt; ##34#TBD##34#</v>
      </c>
    </row>
    <row r="512" spans="3:3" x14ac:dyDescent="0.75">
      <c r="C512" s="12" t="str">
        <f>IF('Treatment-Map-1'!E148="*  -&gt; ##34###34#","// --END",'Treatment-Map-1'!E148)</f>
        <v>* ctvHighExpansion -&gt; ##34#TBD##34#</v>
      </c>
    </row>
    <row r="513" spans="3:3" x14ac:dyDescent="0.75">
      <c r="C513" s="12" t="str">
        <f>IF('Treatment-Map-1'!E149="*  -&gt; ##34###34#","// --END",'Treatment-Map-1'!E149)</f>
        <v>* ptvHighExpansion -&gt; ##34#TBD##34#</v>
      </c>
    </row>
    <row r="514" spans="3:3" x14ac:dyDescent="0.75">
      <c r="C514" s="12" t="str">
        <f>IF('Treatment-Map-1'!E150="*  -&gt; ##34###34#","// --END",'Treatment-Map-1'!E150)</f>
        <v>* v60OfSkin -&gt; ##34#TBD##34#</v>
      </c>
    </row>
    <row r="515" spans="3:3" x14ac:dyDescent="0.75">
      <c r="C515" s="12" t="str">
        <f>IF('Treatment-Map-1'!E151="*  -&gt; ##34###34#","// --END",'Treatment-Map-1'!E151)</f>
        <v>* treatmentCompletedAsPlanned -&gt; ##34#TBD##34#</v>
      </c>
    </row>
    <row r="516" spans="3:3" x14ac:dyDescent="0.75">
      <c r="C516" s="12" t="str">
        <f>IF('Treatment-Map-1'!E152="*  -&gt; ##34###34#","// --END",'Treatment-Map-1'!E152)</f>
        <v>* hospitalizedDuringRt -&gt; ##34#TBD##34#</v>
      </c>
    </row>
    <row r="517" spans="3:3" x14ac:dyDescent="0.75">
      <c r="C517" s="12" t="str">
        <f>IF('Treatment-Map-1'!E153="*  -&gt; ##34###34#","// --END",'Treatment-Map-1'!E153)</f>
        <v>* carotidBlowout -&gt; ##34#TBD##34#</v>
      </c>
    </row>
    <row r="518" spans="3:3" x14ac:dyDescent="0.75">
      <c r="C518" s="12" t="str">
        <f>IF('Treatment-Map-1'!E154="*  -&gt; ##34###34#","// --END",'Treatment-Map-1'!E154)</f>
        <v>* feedingTubeDuringRt -&gt; ##34#TBD##34#</v>
      </c>
    </row>
    <row r="519" spans="3:3" x14ac:dyDescent="0.75">
      <c r="C519" s="12" t="str">
        <f>IF('Treatment-Map-1'!E155="*  -&gt; ##34###34#","// --END",'Treatment-Map-1'!E155)</f>
        <v>* feedingTubeReason -&gt; ##34#TBD##34#</v>
      </c>
    </row>
    <row r="520" spans="3:3" x14ac:dyDescent="0.75">
      <c r="C520" s="12" t="str">
        <f>IF('Treatment-Map-1'!E156="*  -&gt; ##34###34#","// --END",'Treatment-Map-1'!E156)</f>
        <v>* smokingDuringRt -&gt; ##34#TBD##34#</v>
      </c>
    </row>
    <row r="521" spans="3:3" x14ac:dyDescent="0.75">
      <c r="C521" s="12" t="str">
        <f>IF('Treatment-Map-1'!E157="*  -&gt; ##34###34#","// --END",'Treatment-Map-1'!E157)</f>
        <v>* alcoholDuringRt -&gt; ##34#TBD##34#</v>
      </c>
    </row>
    <row r="522" spans="3:3" x14ac:dyDescent="0.75">
      <c r="C522" s="12" t="str">
        <f>IF('Treatment-Map-1'!E158="*  -&gt; ##34###34#","// --END",'Treatment-Map-1'!E158)</f>
        <v>* otherTypeOfTreatment -&gt; ##34#TBD##34#</v>
      </c>
    </row>
    <row r="523" spans="3:3" x14ac:dyDescent="0.75">
      <c r="C523" s="12" t="str">
        <f>IF('Treatment-Map-1'!E159="*  -&gt; ##34###34#","// --END",'Treatment-Map-1'!E159)</f>
        <v>* otherTreatmentPerformed -&gt; ##34#TBD##34#</v>
      </c>
    </row>
    <row r="524" spans="3:3" x14ac:dyDescent="0.75">
      <c r="C524" s="12" t="str">
        <f>IF('Treatment-Map-1'!E160="*  -&gt; ##34###34#","// --END",'Treatment-Map-1'!E160)</f>
        <v>* dateOfStart -&gt; ##34#TBD##34#</v>
      </c>
    </row>
    <row r="525" spans="3:3" x14ac:dyDescent="0.75">
      <c r="C525" s="12" t="str">
        <f>IF('Treatment-Map-1'!E161="*  -&gt; ##34###34#","// --END",'Treatment-Map-1'!E161)</f>
        <v>* dateOfOtherTreatmentDayUnknown -&gt; ##34#TBD##34#</v>
      </c>
    </row>
    <row r="526" spans="3:3" x14ac:dyDescent="0.75">
      <c r="C526" s="12" t="str">
        <f>IF('Treatment-Map-1'!E162="*  -&gt; ##34###34#","// --END",'Treatment-Map-1'!E162)</f>
        <v>* dateOfEnd -&gt; ##34#TBD##34#</v>
      </c>
    </row>
    <row r="527" spans="3:3" x14ac:dyDescent="0.75">
      <c r="C527" s="12" t="str">
        <f>IF('Treatment-Map-1'!E163="*  -&gt; ##34###34#","// --END",'Treatment-Map-1'!E163)</f>
        <v>* dateOfEndOtherTreatmentDayUnknown -&gt; ##34#TBD##34#</v>
      </c>
    </row>
    <row r="528" spans="3:3" x14ac:dyDescent="0.75">
      <c r="C528" s="12" t="str">
        <f>IF('Treatment-Map-1'!E164="*  -&gt; ##34###34#","// --END",'Treatment-Map-1'!E164)</f>
        <v>* type -&gt; ##34#TBD##34#</v>
      </c>
    </row>
    <row r="529" spans="3:3" x14ac:dyDescent="0.75">
      <c r="C529" s="12" t="str">
        <f>IF('Treatment-Map-1'!E165="*  -&gt; ##34###34#","// --END",'Treatment-Map-1'!E165)</f>
        <v>* treatmentCompleted -&gt; ##34#TBD##34#</v>
      </c>
    </row>
    <row r="530" spans="3:3" x14ac:dyDescent="0.75">
      <c r="C530" s="12" t="str">
        <f>IF('Treatment-Map-1'!E166="*  -&gt; ##34###34#","// --END",'Treatment-Map-1'!E166)</f>
        <v>* overallTreatmentResponse -&gt; ##34#TBD##34#</v>
      </c>
    </row>
    <row r="531" spans="3:3" x14ac:dyDescent="0.75">
      <c r="C531" s="12" t="str">
        <f>IF('Treatment-Map-1'!E167="*  -&gt; ##34###34#","// --END",'Treatment-Map-1'!E167)</f>
        <v>* treatmentResponseBasedOnImagingAloneNoRecistOrOtherCriteria-2 -&gt; ##34#TBD##34#</v>
      </c>
    </row>
    <row r="532" spans="3:3" x14ac:dyDescent="0.75">
      <c r="C532" s="12" t="str">
        <f>IF('Treatment-Map-1'!E168="*  -&gt; ##34###34#","// --END",'Treatment-Map-1'!E168)</f>
        <v>* treatmentResponseDefineddone -&gt; ##34#TBD##34#</v>
      </c>
    </row>
    <row r="533" spans="3:3" x14ac:dyDescent="0.75">
      <c r="C533" s="12" t="str">
        <f>IF('Treatment-Map-1'!E169="*  -&gt; ##34###34#","// --END",'Treatment-Map-1'!E169)</f>
        <v>* patientIncludedInClinicalTrial -&gt; ##34#TBD##34#</v>
      </c>
    </row>
    <row r="534" spans="3:3" x14ac:dyDescent="0.75">
      <c r="C534" s="12" t="str">
        <f>IF('Treatment-Map-1'!E170="*  -&gt; ##34###34#","// --END",'Treatment-Map-1'!E170)</f>
        <v>* patientIncludedInAClinicalTrial -&gt; ##34#TBD##34#</v>
      </c>
    </row>
    <row r="535" spans="3:3" x14ac:dyDescent="0.75">
      <c r="C535" s="12" t="str">
        <f>IF('Treatment-Map-1'!E171="*  -&gt; ##34###34#","// --END",'Treatment-Map-1'!E171)</f>
        <v>* clinicalTrialCode -&gt; ##34#TBD##34#</v>
      </c>
    </row>
    <row r="536" spans="3:3" x14ac:dyDescent="0.75">
      <c r="C536" s="12" t="str">
        <f>IF('Treatment-Map-1'!E172="*  -&gt; ##34###34#","// --END",'Treatment-Map-1'!E172)</f>
        <v>* instrumentStatus -&gt; ##34#TBD##34#</v>
      </c>
    </row>
    <row r="537" spans="3:3" x14ac:dyDescent="0.75">
      <c r="C537" s="12" t="str">
        <f>IF('Treatment-Map-1'!E173="*  -&gt; ##34###34#","// --END",'Treatment-Map-1'!E173)</f>
        <v>// --END</v>
      </c>
    </row>
    <row r="538" spans="3:3" x14ac:dyDescent="0.75">
      <c r="C538" s="12" t="str">
        <f>IF('Treatment-Map-1'!E174="*  -&gt; ##34###34#","// --END",'Treatment-Map-1'!E174)</f>
        <v>// --END</v>
      </c>
    </row>
    <row r="539" spans="3:3" x14ac:dyDescent="0.75">
      <c r="C539" s="12" t="str">
        <f>IF('Treatment-Map-1'!E175="*  -&gt; ##34###34#","// --END",'Treatment-Map-1'!E175)</f>
        <v>// --END</v>
      </c>
    </row>
    <row r="540" spans="3:3" x14ac:dyDescent="0.75">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c r="E4" s="43"/>
      <c r="H4" s="12"/>
      <c r="I4" s="11"/>
      <c r="J4" s="11"/>
      <c r="K4" s="11"/>
      <c r="L4" s="11"/>
    </row>
    <row r="5" spans="1:17" ht="15.5" thickBot="1" x14ac:dyDescent="0.9">
      <c r="B5" s="10" t="s">
        <v>17</v>
      </c>
      <c r="C5" s="13"/>
      <c r="E5" s="44"/>
      <c r="H5" s="12"/>
      <c r="I5" s="11"/>
      <c r="J5" s="11"/>
      <c r="K5" s="11"/>
      <c r="L5" s="11"/>
    </row>
    <row r="6" spans="1:17" ht="15.5" thickBot="1" x14ac:dyDescent="0.9">
      <c r="B6" s="10" t="s">
        <v>11</v>
      </c>
      <c r="C6" s="7"/>
      <c r="E6" s="7"/>
      <c r="H6" s="17" t="s">
        <v>136</v>
      </c>
      <c r="I6" s="56" t="s">
        <v>137</v>
      </c>
      <c r="J6" s="17" t="s">
        <v>134</v>
      </c>
      <c r="K6" s="56" t="s">
        <v>135</v>
      </c>
      <c r="L6" s="52" t="s">
        <v>129</v>
      </c>
    </row>
    <row r="7" spans="1:17" x14ac:dyDescent="0.75">
      <c r="B7" s="49" t="s">
        <v>19</v>
      </c>
      <c r="C7" s="45"/>
      <c r="E7" s="45"/>
      <c r="H7" s="12"/>
      <c r="I7" s="11"/>
      <c r="J7" s="11"/>
      <c r="K7" s="11"/>
      <c r="L7" s="11"/>
    </row>
    <row r="8" spans="1:17" x14ac:dyDescent="0.75">
      <c r="B8" s="51" t="s">
        <v>16</v>
      </c>
      <c r="C8" s="11"/>
      <c r="D8" s="12"/>
      <c r="E8" s="11"/>
      <c r="F8" s="52" t="s">
        <v>129</v>
      </c>
      <c r="G8" s="55"/>
      <c r="H8" s="12"/>
      <c r="I8" s="11"/>
      <c r="J8" s="52"/>
      <c r="K8" s="52"/>
      <c r="L8" s="52"/>
    </row>
    <row r="9" spans="1:17" x14ac:dyDescent="0.75">
      <c r="A9" s="48"/>
      <c r="B9" s="6"/>
      <c r="C9" s="11"/>
      <c r="D9" s="6" t="s">
        <v>88</v>
      </c>
      <c r="E9" s="6"/>
      <c r="F9" s="11"/>
      <c r="H9" s="12"/>
      <c r="I9" s="11"/>
      <c r="J9" s="11"/>
      <c r="K9" s="11"/>
      <c r="L9" s="52"/>
    </row>
    <row r="10" spans="1:17" ht="44.25" x14ac:dyDescent="0.75">
      <c r="A10" s="48"/>
      <c r="B10" s="6" t="str">
        <f>Treatment!B5</f>
        <v>Treatment</v>
      </c>
      <c r="C10" s="6" t="str">
        <f>Treatment!B6</f>
        <v>Treatment</v>
      </c>
      <c r="D10" s="46" t="e">
        <f>ConvertOsiris!I2</f>
        <v>#REF!</v>
      </c>
      <c r="E10" s="46" t="e">
        <f>ConvertOsiris!J2</f>
        <v>#REF!</v>
      </c>
      <c r="F10" s="53" t="s">
        <v>121</v>
      </c>
      <c r="G10" s="47"/>
      <c r="H10" s="12" t="str">
        <f>"* group[=].element[+].code = #"&amp;B10</f>
        <v>* group[=].element[+].code = #Treatment</v>
      </c>
      <c r="I10" s="12" t="str">
        <f>"* group[=].element[=].display = ##34#"&amp;C10&amp;"##34#"</f>
        <v>* group[=].element[=].display = ##34#Treatment##34#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x14ac:dyDescent="0.75">
      <c r="A11" s="48"/>
      <c r="B11" s="11" t="str">
        <f>$B$10&amp;"."&amp;Treatment!B8</f>
        <v>Treatment.surgery</v>
      </c>
      <c r="C11" s="11" t="str">
        <f>Treatment!C8</f>
        <v xml:space="preserve">Surgery </v>
      </c>
      <c r="D11" s="11" t="e">
        <f>ConvertOsiris!I6</f>
        <v>#REF!</v>
      </c>
      <c r="E11" s="11" t="e">
        <f>ConvertOsiris!J6</f>
        <v>#REF!</v>
      </c>
      <c r="F11" s="53" t="s">
        <v>99</v>
      </c>
      <c r="G11" s="47"/>
      <c r="H11" s="12" t="str">
        <f t="shared" ref="H11:H17" si="0">"* group[=].element[+].code = #"&amp;B11</f>
        <v>* group[=].element[+].code = #Treatment.surgery</v>
      </c>
      <c r="I11" s="12" t="str">
        <f t="shared" ref="I11:I17" si="1">"* group[=].element[=].display = ##34#"&amp;C11&amp;"##34#"</f>
        <v>* group[=].element[=].display = ##34#Surgery ##34#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x14ac:dyDescent="0.75">
      <c r="A12" s="48"/>
      <c r="B12" s="11" t="str">
        <f>$B$10&amp;"."&amp;Treatment!B9</f>
        <v>Treatment.surgeryPerformed</v>
      </c>
      <c r="C12" s="11" t="str">
        <f>Treatment!C9</f>
        <v>Surgery performed</v>
      </c>
      <c r="D12" s="11" t="e">
        <f>ConvertOsiris!I6</f>
        <v>#REF!</v>
      </c>
      <c r="E12" s="11" t="e">
        <f>ConvertOsiris!J6</f>
        <v>#REF!</v>
      </c>
      <c r="F12" s="53" t="s">
        <v>121</v>
      </c>
      <c r="G12" s="47"/>
      <c r="H12" s="12" t="str">
        <f t="shared" si="0"/>
        <v>* group[=].element[+].code = #Treatment.surgeryPerformed</v>
      </c>
      <c r="I12" s="12" t="str">
        <f t="shared" si="1"/>
        <v>* group[=].element[=].display = ##34#Surgery performed##34#</v>
      </c>
      <c r="J12" s="12" t="e">
        <f t="shared" si="2"/>
        <v>#REF!</v>
      </c>
      <c r="K12" s="12" t="e">
        <f t="shared" si="3"/>
        <v>#REF!</v>
      </c>
      <c r="L12" s="12" t="str">
        <f t="shared" si="4"/>
        <v>* group[=].element[=].target.equivalence = #equivalent</v>
      </c>
      <c r="N12" s="11">
        <v>3</v>
      </c>
      <c r="O12" s="11">
        <f t="shared" si="5"/>
        <v>0</v>
      </c>
      <c r="P12" s="11">
        <f t="shared" si="6"/>
        <v>3</v>
      </c>
      <c r="Q12" s="12" t="e" cm="1">
        <f t="array" ref="Q12">INDEX('Treatment-ConceptMap'!$H$10:$L$264,O12+1,P12)</f>
        <v>#REF!</v>
      </c>
    </row>
    <row r="13" spans="1:17" ht="44.25" x14ac:dyDescent="0.75">
      <c r="A13" s="48"/>
      <c r="B13" s="11" t="str">
        <f>$B$10&amp;"."&amp;Treatment!B11</f>
        <v>Treatment.surgeryIntention</v>
      </c>
      <c r="C13" s="11" t="str">
        <f>Treatment!C11</f>
        <v>Surgery intention</v>
      </c>
      <c r="D13" s="11"/>
      <c r="E13" s="11"/>
      <c r="F13" s="53" t="s">
        <v>116</v>
      </c>
      <c r="G13" s="47"/>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INDEX('Treatment-ConceptMap'!$H$10:$L$264,O13+1,P13)</f>
        <v>#REF!</v>
      </c>
    </row>
    <row r="14" spans="1:17" ht="44.25" x14ac:dyDescent="0.75">
      <c r="A14" s="48"/>
      <c r="B14" s="11" t="str">
        <f>$B$10&amp;"."&amp;Treatment!B12</f>
        <v>Treatment.tumorSurgeryApproach</v>
      </c>
      <c r="C14" s="11" t="str">
        <f>Treatment!C12</f>
        <v>Tumor surgery approach</v>
      </c>
      <c r="D14" s="11"/>
      <c r="E14" s="11"/>
      <c r="F14" s="53" t="s">
        <v>116</v>
      </c>
      <c r="G14" s="47"/>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x14ac:dyDescent="0.75">
      <c r="A15" s="48"/>
      <c r="B15" s="11" t="str">
        <f>$B$10&amp;"."&amp;Treatment!B13</f>
        <v>Treatment.tumorSurgeryDevice</v>
      </c>
      <c r="C15" s="11" t="str">
        <f>Treatment!C13</f>
        <v>Tumor surgery device</v>
      </c>
      <c r="D15" s="11" t="e">
        <f>ConvertOsiris!I4</f>
        <v>#REF!</v>
      </c>
      <c r="E15" s="11" t="e">
        <f>ConvertOsiris!J4</f>
        <v>#REF!</v>
      </c>
      <c r="F15" s="53" t="s">
        <v>125</v>
      </c>
      <c r="G15" s="47"/>
      <c r="H15" s="12" t="str">
        <f t="shared" si="0"/>
        <v>* group[=].element[+].code = #Treatment.tumorSurgeryDevice</v>
      </c>
      <c r="I15" s="12" t="str">
        <f t="shared" si="1"/>
        <v>* group[=].element[=].display = ##34#Tumor surgery device##34#</v>
      </c>
      <c r="J15" s="12" t="e">
        <f t="shared" si="2"/>
        <v>#REF!</v>
      </c>
      <c r="K15" s="12" t="e">
        <f t="shared" si="3"/>
        <v>#REF!</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x14ac:dyDescent="0.75">
      <c r="A16" s="48"/>
      <c r="B16" s="11" t="str">
        <f>$B$10&amp;"."&amp;Treatment!B14</f>
        <v>Treatment.surgicalProcedure</v>
      </c>
      <c r="C16" s="11" t="str">
        <f>Treatment!C14</f>
        <v>Surgical procedure</v>
      </c>
      <c r="D16" s="11" t="e">
        <f>ConvertOsiris!I5</f>
        <v>#REF!</v>
      </c>
      <c r="E16" s="11" t="e">
        <f>ConvertOsiris!J5</f>
        <v>#REF!</v>
      </c>
      <c r="F16" s="53" t="s">
        <v>123</v>
      </c>
      <c r="G16" s="47"/>
      <c r="H16" s="12" t="str">
        <f t="shared" si="0"/>
        <v>* group[=].element[+].code = #Treatment.surgicalProcedure</v>
      </c>
      <c r="I16" s="12" t="str">
        <f t="shared" si="1"/>
        <v>* group[=].element[=].display = ##34#Surgical procedure##34#</v>
      </c>
      <c r="J16" s="12" t="e">
        <f t="shared" si="2"/>
        <v>#REF!</v>
      </c>
      <c r="K16" s="12" t="e">
        <f t="shared" si="3"/>
        <v>#REF!</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x14ac:dyDescent="0.75">
      <c r="A17" s="48"/>
      <c r="B17" s="11" t="str">
        <f>$B$10&amp;"."&amp;Treatment!B15</f>
        <v>Treatment.surgicalProcedure.surgicalProcedureNasopharynx</v>
      </c>
      <c r="C17" s="11" t="str">
        <f>Treatment!C15</f>
        <v>Surgical procedure Nasopharynx</v>
      </c>
      <c r="D17" s="11"/>
      <c r="E17" s="12"/>
      <c r="F17" s="53" t="s">
        <v>116</v>
      </c>
      <c r="G17" s="47"/>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INDEX('Treatment-ConceptMap'!$H$10:$L$264,O17+1,P17)</f>
        <v>#REF!</v>
      </c>
    </row>
    <row r="18" spans="1:17" x14ac:dyDescent="0.75">
      <c r="A18" s="48"/>
      <c r="B18" s="11"/>
      <c r="C18" s="11"/>
      <c r="D18" s="11"/>
      <c r="E18" s="12"/>
      <c r="F18" s="53"/>
      <c r="G18" s="47"/>
      <c r="H18" s="12"/>
      <c r="I18" s="12"/>
      <c r="J18" s="12"/>
      <c r="K18" s="12"/>
      <c r="L18" s="12"/>
      <c r="N18" s="11">
        <v>9</v>
      </c>
      <c r="O18" s="11">
        <f t="shared" si="5"/>
        <v>1</v>
      </c>
      <c r="P18" s="11">
        <f t="shared" si="6"/>
        <v>4</v>
      </c>
      <c r="Q18" s="12" t="e" cm="1">
        <f t="array" ref="Q18">INDEX('Treatment-ConceptMap'!$H$10:$L$264,O18+1,P18)</f>
        <v>#REF!</v>
      </c>
    </row>
    <row r="19" spans="1:17" x14ac:dyDescent="0.75">
      <c r="B19" s="11"/>
      <c r="C19" s="11"/>
      <c r="D19" s="11"/>
      <c r="E19" s="12"/>
      <c r="F19" s="53"/>
      <c r="G19" s="47"/>
      <c r="H19" s="12"/>
      <c r="I19" s="12"/>
      <c r="J19" s="12"/>
      <c r="K19" s="12"/>
      <c r="L19" s="12"/>
      <c r="N19" s="11">
        <v>10</v>
      </c>
      <c r="O19" s="11">
        <f t="shared" si="5"/>
        <v>1</v>
      </c>
      <c r="P19" s="11">
        <f t="shared" si="6"/>
        <v>5</v>
      </c>
      <c r="Q19" s="12" t="str" cm="1">
        <f t="array" ref="Q19">INDEX('Treatment-ConceptMap'!$H$10:$L$264,O19+1,P19)</f>
        <v>* group[=].element[=].target.equivalence = #relatedto</v>
      </c>
    </row>
    <row r="20" spans="1:17" x14ac:dyDescent="0.75">
      <c r="B20" s="11"/>
      <c r="C20" s="11"/>
      <c r="D20" s="11"/>
      <c r="E20" s="12"/>
      <c r="F20" s="53"/>
      <c r="G20" s="47"/>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x14ac:dyDescent="0.75">
      <c r="B21" s="11"/>
      <c r="C21" s="11"/>
      <c r="D21" s="11"/>
      <c r="E21" s="12"/>
      <c r="F21" s="53"/>
      <c r="G21" s="47"/>
      <c r="J21" s="47"/>
      <c r="K21" s="47"/>
      <c r="L21" s="55"/>
      <c r="N21" s="11">
        <v>12</v>
      </c>
      <c r="O21" s="11">
        <f t="shared" si="5"/>
        <v>2</v>
      </c>
      <c r="P21" s="11">
        <f t="shared" si="6"/>
        <v>2</v>
      </c>
      <c r="Q21" s="12" t="str" cm="1">
        <f t="array" ref="Q21">INDEX('Treatment-ConceptMap'!$H$10:$L$264,O21+1,P21)</f>
        <v>* group[=].element[=].display = ##34#Surgery performed##34#</v>
      </c>
    </row>
    <row r="22" spans="1:17" x14ac:dyDescent="0.75">
      <c r="B22" s="11"/>
      <c r="C22" s="11"/>
      <c r="D22" s="11"/>
      <c r="E22" s="12"/>
      <c r="F22" s="53"/>
      <c r="G22" s="47"/>
      <c r="J22" s="47"/>
      <c r="K22" s="47"/>
      <c r="L22" s="55"/>
      <c r="N22" s="11">
        <v>13</v>
      </c>
      <c r="O22" s="11">
        <f t="shared" si="5"/>
        <v>2</v>
      </c>
      <c r="P22" s="11">
        <f t="shared" si="6"/>
        <v>3</v>
      </c>
      <c r="Q22" s="12" t="e" cm="1">
        <f t="array" ref="Q22">INDEX('Treatment-ConceptMap'!$H$10:$L$264,O22+1,P22)</f>
        <v>#REF!</v>
      </c>
    </row>
    <row r="23" spans="1:17" x14ac:dyDescent="0.75">
      <c r="B23" s="11"/>
      <c r="C23" s="11"/>
      <c r="D23" s="11"/>
      <c r="E23" s="12"/>
      <c r="F23" s="53"/>
      <c r="G23" s="47"/>
      <c r="J23" s="47"/>
      <c r="K23" s="47"/>
      <c r="L23" s="55"/>
      <c r="N23" s="11">
        <v>14</v>
      </c>
      <c r="O23" s="11">
        <f t="shared" si="5"/>
        <v>2</v>
      </c>
      <c r="P23" s="11">
        <f t="shared" si="6"/>
        <v>4</v>
      </c>
      <c r="Q23" s="12" t="e" cm="1">
        <f t="array" ref="Q23">INDEX('Treatment-ConceptMap'!$H$10:$L$264,O23+1,P23)</f>
        <v>#REF!</v>
      </c>
    </row>
    <row r="24" spans="1:17" x14ac:dyDescent="0.75">
      <c r="B24" s="11"/>
      <c r="C24" s="11"/>
      <c r="D24" s="11"/>
      <c r="E24" s="12"/>
      <c r="F24" s="53"/>
      <c r="G24" s="47"/>
      <c r="J24" s="47"/>
      <c r="K24" s="47"/>
      <c r="L24" s="55"/>
      <c r="N24" s="11">
        <v>15</v>
      </c>
      <c r="O24" s="11">
        <f t="shared" si="5"/>
        <v>2</v>
      </c>
      <c r="P24" s="11">
        <f t="shared" si="6"/>
        <v>5</v>
      </c>
      <c r="Q24" s="12" t="str" cm="1">
        <f t="array" ref="Q24">INDEX('Treatment-ConceptMap'!$H$10:$L$264,O24+1,P24)</f>
        <v>* group[=].element[=].target.equivalence = #equivalent</v>
      </c>
    </row>
    <row r="25" spans="1:17" x14ac:dyDescent="0.75">
      <c r="B25" s="11"/>
      <c r="C25" s="11"/>
      <c r="D25" s="11"/>
      <c r="E25" s="12"/>
      <c r="F25" s="53"/>
      <c r="G25" s="47"/>
      <c r="J25" s="47"/>
      <c r="K25" s="47"/>
      <c r="L25" s="55"/>
      <c r="N25" s="11">
        <v>16</v>
      </c>
      <c r="O25" s="11">
        <f t="shared" si="5"/>
        <v>3</v>
      </c>
      <c r="P25" s="11">
        <f t="shared" si="6"/>
        <v>1</v>
      </c>
      <c r="Q25" s="12" t="str" cm="1">
        <f t="array" ref="Q25">INDEX('Treatment-ConceptMap'!$H$10:$L$264,O25+1,P25)</f>
        <v>* group[=].element[+].code = #Treatment.surgeryIntention</v>
      </c>
    </row>
    <row r="26" spans="1:17" x14ac:dyDescent="0.75">
      <c r="B26" s="11"/>
      <c r="C26" s="11"/>
      <c r="D26" s="11"/>
      <c r="E26" s="12"/>
      <c r="F26" s="53"/>
      <c r="G26" s="47"/>
      <c r="J26" s="47"/>
      <c r="K26" s="47"/>
      <c r="L26" s="55"/>
      <c r="N26" s="11">
        <v>17</v>
      </c>
      <c r="O26" s="11">
        <f t="shared" si="5"/>
        <v>3</v>
      </c>
      <c r="P26" s="11">
        <f t="shared" si="6"/>
        <v>2</v>
      </c>
      <c r="Q26" s="12" t="str" cm="1">
        <f t="array" ref="Q26">INDEX('Treatment-ConceptMap'!$H$10:$L$264,O26+1,P26)</f>
        <v>* group[=].element[=].display = ##34#Surgery intention##34#</v>
      </c>
    </row>
    <row r="27" spans="1:17" x14ac:dyDescent="0.75">
      <c r="B27" s="11"/>
      <c r="C27" s="11"/>
      <c r="D27" s="11"/>
      <c r="E27" s="12"/>
      <c r="F27" s="53"/>
      <c r="G27" s="47"/>
      <c r="J27" s="47"/>
      <c r="K27" s="47"/>
      <c r="L27" s="55"/>
      <c r="N27" s="11">
        <v>18</v>
      </c>
      <c r="O27" s="11">
        <f t="shared" si="5"/>
        <v>3</v>
      </c>
      <c r="P27" s="11">
        <f t="shared" si="6"/>
        <v>3</v>
      </c>
      <c r="Q27" s="12" t="str" cm="1">
        <f t="array" ref="Q27">INDEX('Treatment-ConceptMap'!$H$10:$L$264,O27+1,P27)</f>
        <v>//-- unmatched</v>
      </c>
    </row>
    <row r="28" spans="1:17" x14ac:dyDescent="0.75">
      <c r="B28" s="11"/>
      <c r="C28" s="11"/>
      <c r="D28" s="11"/>
      <c r="E28" s="12"/>
      <c r="F28" s="53"/>
      <c r="G28" s="47"/>
      <c r="J28" s="47"/>
      <c r="K28" s="47"/>
      <c r="L28" s="55"/>
      <c r="N28" s="11">
        <v>19</v>
      </c>
      <c r="O28" s="11">
        <f t="shared" si="5"/>
        <v>3</v>
      </c>
      <c r="P28" s="11">
        <f t="shared" si="6"/>
        <v>4</v>
      </c>
      <c r="Q28" s="12" t="str" cm="1">
        <f t="array" ref="Q28">INDEX('Treatment-ConceptMap'!$H$10:$L$264,O28+1,P28)</f>
        <v>//-- unmatched</v>
      </c>
    </row>
    <row r="29" spans="1:17" x14ac:dyDescent="0.75">
      <c r="B29" s="11"/>
      <c r="C29" s="11"/>
      <c r="D29" s="11"/>
      <c r="E29" s="12"/>
      <c r="F29" s="53"/>
      <c r="G29" s="47"/>
      <c r="J29" s="47"/>
      <c r="K29" s="47"/>
      <c r="L29" s="55"/>
      <c r="N29" s="11">
        <v>20</v>
      </c>
      <c r="O29" s="11">
        <f t="shared" si="5"/>
        <v>3</v>
      </c>
      <c r="P29" s="11">
        <f t="shared" si="6"/>
        <v>5</v>
      </c>
      <c r="Q29" s="12" t="str" cm="1">
        <f t="array" ref="Q29">INDEX('Treatment-ConceptMap'!$H$10:$L$264,O29+1,P29)</f>
        <v>* group[=].element[=].target.equivalence = #unmatched</v>
      </c>
    </row>
    <row r="30" spans="1:17" x14ac:dyDescent="0.75">
      <c r="B30" s="11"/>
      <c r="C30" s="11"/>
      <c r="D30" s="11"/>
      <c r="E30" s="12"/>
      <c r="F30" s="53"/>
      <c r="G30" s="47"/>
      <c r="J30" s="47"/>
      <c r="K30" s="47"/>
      <c r="L30" s="55"/>
      <c r="N30" s="11">
        <v>21</v>
      </c>
      <c r="O30" s="11">
        <f t="shared" si="5"/>
        <v>4</v>
      </c>
      <c r="P30" s="11">
        <f t="shared" si="6"/>
        <v>1</v>
      </c>
      <c r="Q30" s="12" t="str" cm="1">
        <f t="array" ref="Q30">INDEX('Treatment-ConceptMap'!$H$10:$L$264,O30+1,P30)</f>
        <v>* group[=].element[+].code = #Treatment.tumorSurgeryApproach</v>
      </c>
    </row>
    <row r="31" spans="1:17" s="2" customFormat="1" x14ac:dyDescent="0.75">
      <c r="A31"/>
      <c r="B31" s="11"/>
      <c r="C31" s="11"/>
      <c r="D31" s="11"/>
      <c r="E31" s="12"/>
      <c r="F31" s="53"/>
      <c r="G31" s="47"/>
      <c r="I31"/>
      <c r="J31" s="47"/>
      <c r="K31" s="47"/>
      <c r="L31" s="55"/>
      <c r="N31" s="11">
        <v>22</v>
      </c>
      <c r="O31" s="11">
        <f t="shared" si="5"/>
        <v>4</v>
      </c>
      <c r="P31" s="11">
        <f t="shared" si="6"/>
        <v>2</v>
      </c>
      <c r="Q31" s="12" t="str" cm="1">
        <f t="array" ref="Q31">INDEX('Treatment-ConceptMap'!$H$10:$L$264,O31+1,P31)</f>
        <v>* group[=].element[=].display = ##34#Tumor surgery approach##34#</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INDEX('Treatment-ConceptMap'!$H$10:$L$264,O32+1,P32)</f>
        <v>//-- unmatched</v>
      </c>
    </row>
    <row r="33" spans="1:17" s="2" customFormat="1" x14ac:dyDescent="0.75">
      <c r="A33"/>
      <c r="B33" s="11"/>
      <c r="C33" s="11"/>
      <c r="F33" s="47"/>
      <c r="G33" s="47"/>
      <c r="I33"/>
      <c r="J33" s="47"/>
      <c r="K33" s="47"/>
      <c r="L33" s="55"/>
      <c r="N33" s="11">
        <v>24</v>
      </c>
      <c r="O33" s="11">
        <f t="shared" si="5"/>
        <v>4</v>
      </c>
      <c r="P33" s="11">
        <f t="shared" si="6"/>
        <v>4</v>
      </c>
      <c r="Q33" s="12" t="str" cm="1">
        <f t="array" ref="Q33">INDEX('Treatment-ConceptMap'!$H$10:$L$264,O33+1,P33)</f>
        <v>//-- unmatched</v>
      </c>
    </row>
    <row r="34" spans="1:17" s="2" customFormat="1" x14ac:dyDescent="0.75">
      <c r="A34"/>
      <c r="B34" s="11"/>
      <c r="C34"/>
      <c r="F34" s="47"/>
      <c r="G34" s="47"/>
      <c r="I34" s="47"/>
      <c r="J34" s="47"/>
      <c r="K34" s="47"/>
      <c r="L34" s="55"/>
      <c r="N34" s="11">
        <v>25</v>
      </c>
      <c r="O34" s="11">
        <f t="shared" si="5"/>
        <v>4</v>
      </c>
      <c r="P34" s="11">
        <f t="shared" si="6"/>
        <v>5</v>
      </c>
      <c r="Q34" s="12" t="str" cm="1">
        <f t="array" ref="Q34">INDEX('Treatment-ConceptMap'!$H$10:$L$264,O34+1,P34)</f>
        <v>* group[=].element[=].target.equivalence = #unmatched</v>
      </c>
    </row>
    <row r="35" spans="1:17" s="2" customFormat="1" x14ac:dyDescent="0.75">
      <c r="A35"/>
      <c r="B35" s="11"/>
      <c r="C35"/>
      <c r="F35" s="47"/>
      <c r="G35" s="47"/>
      <c r="I35" s="47"/>
      <c r="J35" s="47"/>
      <c r="K35" s="47"/>
      <c r="L35" s="55"/>
      <c r="N35" s="11">
        <v>26</v>
      </c>
      <c r="O35" s="11">
        <f t="shared" si="5"/>
        <v>5</v>
      </c>
      <c r="P35" s="11">
        <f t="shared" si="6"/>
        <v>1</v>
      </c>
      <c r="Q35" s="12" t="str" cm="1">
        <f t="array" ref="Q35">INDEX('Treatment-ConceptMap'!$H$10:$L$264,O35+1,P35)</f>
        <v>* group[=].element[+].code = #Treatment.tumorSurgeryDevice</v>
      </c>
    </row>
    <row r="36" spans="1:17" s="2" customFormat="1" x14ac:dyDescent="0.75">
      <c r="A36"/>
      <c r="B36" s="11"/>
      <c r="C36"/>
      <c r="F36" s="47"/>
      <c r="G36" s="47"/>
      <c r="I36" s="47"/>
      <c r="J36" s="47"/>
      <c r="K36" s="47"/>
      <c r="L36" s="55"/>
      <c r="N36" s="11">
        <v>27</v>
      </c>
      <c r="O36" s="11">
        <f t="shared" si="5"/>
        <v>5</v>
      </c>
      <c r="P36" s="11">
        <f t="shared" si="6"/>
        <v>2</v>
      </c>
      <c r="Q36" s="12" t="str" cm="1">
        <f t="array" ref="Q36">INDEX('Treatment-ConceptMap'!$H$10:$L$264,O36+1,P36)</f>
        <v>* group[=].element[=].display = ##34#Tumor surgery device##34#</v>
      </c>
    </row>
    <row r="37" spans="1:17" s="2" customFormat="1" x14ac:dyDescent="0.75">
      <c r="A37"/>
      <c r="B37" s="11"/>
      <c r="C37"/>
      <c r="F37" s="47"/>
      <c r="G37" s="47"/>
      <c r="I37" s="47"/>
      <c r="J37" s="47"/>
      <c r="K37" s="47"/>
      <c r="L37" s="47"/>
      <c r="N37" s="11">
        <v>28</v>
      </c>
      <c r="O37" s="11">
        <f t="shared" si="5"/>
        <v>5</v>
      </c>
      <c r="P37" s="11">
        <f t="shared" si="6"/>
        <v>3</v>
      </c>
      <c r="Q37" s="12" t="e" cm="1">
        <f t="array" ref="Q37">INDEX('Treatment-ConceptMap'!$H$10:$L$264,O37+1,P37)</f>
        <v>#REF!</v>
      </c>
    </row>
    <row r="38" spans="1:17" s="2" customFormat="1" x14ac:dyDescent="0.75">
      <c r="A38"/>
      <c r="B38" s="11"/>
      <c r="C38"/>
      <c r="F38" s="47"/>
      <c r="G38" s="47"/>
      <c r="I38" s="47"/>
      <c r="J38" s="47"/>
      <c r="K38" s="47"/>
      <c r="L38" s="47"/>
      <c r="N38" s="11">
        <v>29</v>
      </c>
      <c r="O38" s="11">
        <f t="shared" si="5"/>
        <v>5</v>
      </c>
      <c r="P38" s="11">
        <f t="shared" si="6"/>
        <v>4</v>
      </c>
      <c r="Q38" s="12" t="e" cm="1">
        <f t="array" ref="Q38">INDEX('Treatment-ConceptMap'!$H$10:$L$264,O38+1,P38)</f>
        <v>#REF!</v>
      </c>
    </row>
    <row r="39" spans="1:17" s="2" customFormat="1" x14ac:dyDescent="0.75">
      <c r="A39"/>
      <c r="B39" s="11"/>
      <c r="C39"/>
      <c r="F39" s="47"/>
      <c r="G39" s="47"/>
      <c r="I39" s="47"/>
      <c r="J39" s="47"/>
      <c r="K39" s="47"/>
      <c r="L39" s="47"/>
      <c r="N39" s="11">
        <v>30</v>
      </c>
      <c r="O39" s="11">
        <f t="shared" si="5"/>
        <v>5</v>
      </c>
      <c r="P39" s="11">
        <f t="shared" si="6"/>
        <v>5</v>
      </c>
      <c r="Q39" s="12" t="str" cm="1">
        <f t="array" ref="Q39">INDEX('Treatment-ConceptMap'!$H$10:$L$264,O39+1,P39)</f>
        <v>* group[=].element[=].target.equivalence = #narrower</v>
      </c>
    </row>
    <row r="40" spans="1:17" s="2" customFormat="1" x14ac:dyDescent="0.75">
      <c r="A40"/>
      <c r="B40" s="11"/>
      <c r="C40"/>
      <c r="F40" s="47"/>
      <c r="G40" s="47"/>
      <c r="I40" s="47"/>
      <c r="J40" s="47"/>
      <c r="K40" s="47"/>
      <c r="L40" s="47"/>
      <c r="N40" s="11">
        <v>31</v>
      </c>
      <c r="O40" s="11">
        <f t="shared" si="5"/>
        <v>6</v>
      </c>
      <c r="P40" s="11">
        <f t="shared" si="6"/>
        <v>1</v>
      </c>
      <c r="Q40" s="12" t="str" cm="1">
        <f t="array" ref="Q40">INDEX('Treatment-ConceptMap'!$H$10:$L$264,O40+1,P40)</f>
        <v>* group[=].element[+].code = #Treatment.surgicalProcedure</v>
      </c>
    </row>
    <row r="41" spans="1:17" s="2" customFormat="1" x14ac:dyDescent="0.75">
      <c r="A41"/>
      <c r="B41" s="11"/>
      <c r="C41"/>
      <c r="F41" s="47"/>
      <c r="G41" s="47"/>
      <c r="I41" s="47"/>
      <c r="J41" s="47"/>
      <c r="K41" s="47"/>
      <c r="L41" s="47"/>
      <c r="N41" s="11">
        <v>32</v>
      </c>
      <c r="O41" s="11">
        <f t="shared" si="5"/>
        <v>6</v>
      </c>
      <c r="P41" s="11">
        <f t="shared" si="6"/>
        <v>2</v>
      </c>
      <c r="Q41" s="12" t="str" cm="1">
        <f t="array" ref="Q41">INDEX('Treatment-ConceptMap'!$H$10:$L$264,O41+1,P41)</f>
        <v>* group[=].element[=].display = ##34#Surgical procedure##34#</v>
      </c>
    </row>
    <row r="42" spans="1:17" s="2" customFormat="1" x14ac:dyDescent="0.75">
      <c r="A42"/>
      <c r="B42" s="11"/>
      <c r="C42"/>
      <c r="F42" s="47"/>
      <c r="G42" s="47"/>
      <c r="I42" s="47"/>
      <c r="J42" s="47"/>
      <c r="K42" s="47"/>
      <c r="L42" s="47"/>
      <c r="N42" s="11">
        <v>33</v>
      </c>
      <c r="O42" s="11">
        <f t="shared" si="5"/>
        <v>6</v>
      </c>
      <c r="P42" s="11">
        <f t="shared" si="6"/>
        <v>3</v>
      </c>
      <c r="Q42" s="12" t="e" cm="1">
        <f t="array" ref="Q42">INDEX('Treatment-ConceptMap'!$H$10:$L$264,O42+1,P42)</f>
        <v>#REF!</v>
      </c>
    </row>
    <row r="43" spans="1:17" x14ac:dyDescent="0.75">
      <c r="F43" s="47"/>
      <c r="G43" s="47"/>
      <c r="I43" s="47"/>
      <c r="J43" s="47"/>
      <c r="K43" s="47"/>
      <c r="L43" s="47"/>
      <c r="N43" s="11">
        <v>34</v>
      </c>
      <c r="O43" s="11">
        <f t="shared" si="5"/>
        <v>6</v>
      </c>
      <c r="P43" s="11">
        <f t="shared" si="6"/>
        <v>4</v>
      </c>
      <c r="Q43" s="12" t="e" cm="1">
        <f t="array" ref="Q43">INDEX('Treatment-ConceptMap'!$H$10:$L$264,O43+1,P43)</f>
        <v>#REF!</v>
      </c>
    </row>
    <row r="44" spans="1:17" x14ac:dyDescent="0.75">
      <c r="F44" s="47"/>
      <c r="G44" s="47"/>
      <c r="I44" s="47"/>
      <c r="J44" s="47"/>
      <c r="K44" s="47"/>
      <c r="L44" s="47"/>
      <c r="N44" s="11">
        <v>35</v>
      </c>
      <c r="O44" s="11">
        <f t="shared" si="5"/>
        <v>6</v>
      </c>
      <c r="P44" s="11">
        <f t="shared" si="6"/>
        <v>5</v>
      </c>
      <c r="Q44" s="12" t="str" cm="1">
        <f t="array" ref="Q44">INDEX('Treatment-ConceptMap'!$H$10:$L$264,O44+1,P44)</f>
        <v>* group[=].element[=].target.equivalence = #wider</v>
      </c>
    </row>
    <row r="45" spans="1:17" ht="29.5" x14ac:dyDescent="0.75">
      <c r="F45" s="47"/>
      <c r="G45" s="47"/>
      <c r="I45" s="47"/>
      <c r="J45" s="47"/>
      <c r="K45" s="47"/>
      <c r="L45" s="47"/>
      <c r="N45" s="11">
        <v>36</v>
      </c>
      <c r="O45" s="11">
        <f t="shared" si="5"/>
        <v>7</v>
      </c>
      <c r="P45" s="11">
        <f t="shared" si="6"/>
        <v>1</v>
      </c>
      <c r="Q45" s="12" t="str" cm="1">
        <f t="array" ref="Q45">INDEX('Treatment-ConceptMap'!$H$10:$L$264,O45+1,P45)</f>
        <v>* group[=].element[+].code = #Treatment.surgicalProcedure.surgicalProcedureNasopharynx</v>
      </c>
    </row>
    <row r="46" spans="1:17" x14ac:dyDescent="0.75">
      <c r="F46" s="47"/>
      <c r="G46" s="47"/>
      <c r="I46" s="47"/>
      <c r="J46" s="47"/>
      <c r="K46" s="47"/>
      <c r="L46" s="47"/>
      <c r="N46" s="11">
        <v>37</v>
      </c>
      <c r="O46" s="11">
        <f t="shared" si="5"/>
        <v>7</v>
      </c>
      <c r="P46" s="11">
        <f t="shared" si="6"/>
        <v>2</v>
      </c>
      <c r="Q46" s="12" t="str" cm="1">
        <f t="array" ref="Q46">INDEX('Treatment-ConceptMap'!$H$10:$L$264,O46+1,P46)</f>
        <v>* group[=].element[=].display = ##34#Surgical procedure Nasopharynx##34#</v>
      </c>
    </row>
    <row r="47" spans="1:17" x14ac:dyDescent="0.75">
      <c r="B47" t="s">
        <v>94</v>
      </c>
      <c r="C47" t="s">
        <v>95</v>
      </c>
      <c r="D47" t="s">
        <v>96</v>
      </c>
      <c r="E47" t="s">
        <v>97</v>
      </c>
      <c r="N47" s="11">
        <v>38</v>
      </c>
      <c r="O47" s="11">
        <f t="shared" si="5"/>
        <v>7</v>
      </c>
      <c r="P47" s="11">
        <f t="shared" si="6"/>
        <v>3</v>
      </c>
      <c r="Q47" s="12" t="str" cm="1">
        <f t="array" ref="Q47">INDEX('Treatment-ConceptMap'!$H$10:$L$264,O47+1,P47)</f>
        <v>//-- unmatched</v>
      </c>
    </row>
    <row r="48" spans="1:17" x14ac:dyDescent="0.75">
      <c r="N48" s="11">
        <v>39</v>
      </c>
      <c r="O48" s="11">
        <f t="shared" si="5"/>
        <v>7</v>
      </c>
      <c r="P48" s="11">
        <f t="shared" si="6"/>
        <v>4</v>
      </c>
      <c r="Q48" s="12" t="str" cm="1">
        <f t="array" ref="Q48">INDEX('Treatment-ConceptMap'!$H$10:$L$264,O48+1,P48)</f>
        <v>//-- unmatched</v>
      </c>
    </row>
    <row r="49" spans="14:17" x14ac:dyDescent="0.75">
      <c r="N49" s="11">
        <v>40</v>
      </c>
      <c r="O49" s="11">
        <f t="shared" si="5"/>
        <v>7</v>
      </c>
      <c r="P49" s="11">
        <f t="shared" si="6"/>
        <v>5</v>
      </c>
      <c r="Q49" s="12" t="str" cm="1">
        <f t="array" ref="Q49">INDEX('Treatment-ConceptMap'!$H$10:$L$264,O49+1,P49)</f>
        <v>* group[=].element[=].target.equivalence = #unmatched</v>
      </c>
    </row>
    <row r="50" spans="14:17" x14ac:dyDescent="0.75">
      <c r="N50" s="11">
        <v>41</v>
      </c>
      <c r="O50" s="11">
        <f t="shared" si="5"/>
        <v>8</v>
      </c>
      <c r="P50" s="11">
        <f t="shared" si="6"/>
        <v>1</v>
      </c>
      <c r="Q50" s="12" cm="1">
        <f t="array" ref="Q50">INDEX('Treatment-ConceptMap'!$H$10:$L$264,O50+1,P50)</f>
        <v>0</v>
      </c>
    </row>
    <row r="51" spans="14:17" x14ac:dyDescent="0.75">
      <c r="N51" s="11">
        <v>42</v>
      </c>
      <c r="O51" s="11">
        <f t="shared" si="5"/>
        <v>8</v>
      </c>
      <c r="P51" s="11">
        <f t="shared" si="6"/>
        <v>2</v>
      </c>
      <c r="Q51" s="12" cm="1">
        <f t="array" ref="Q51">INDEX('Treatment-ConceptMap'!$H$10:$L$264,O51+1,P51)</f>
        <v>0</v>
      </c>
    </row>
    <row r="52" spans="14:17" x14ac:dyDescent="0.75">
      <c r="N52" s="11">
        <v>43</v>
      </c>
      <c r="O52" s="11">
        <f t="shared" si="5"/>
        <v>8</v>
      </c>
      <c r="P52" s="11">
        <f t="shared" si="6"/>
        <v>3</v>
      </c>
      <c r="Q52" s="12" cm="1">
        <f t="array" ref="Q52">INDEX('Treatment-ConceptMap'!$H$10:$L$264,O52+1,P52)</f>
        <v>0</v>
      </c>
    </row>
    <row r="53" spans="14:17" x14ac:dyDescent="0.75">
      <c r="N53" s="11">
        <v>44</v>
      </c>
      <c r="O53" s="11">
        <f t="shared" si="5"/>
        <v>8</v>
      </c>
      <c r="P53" s="11">
        <f t="shared" si="6"/>
        <v>4</v>
      </c>
      <c r="Q53" s="12" cm="1">
        <f t="array" ref="Q53">INDEX('Treatment-ConceptMap'!$H$10:$L$264,O53+1,P53)</f>
        <v>0</v>
      </c>
    </row>
    <row r="54" spans="14:17" x14ac:dyDescent="0.75">
      <c r="N54" s="11">
        <v>45</v>
      </c>
      <c r="O54" s="11">
        <f t="shared" si="5"/>
        <v>8</v>
      </c>
      <c r="P54" s="11">
        <f t="shared" si="6"/>
        <v>5</v>
      </c>
      <c r="Q54" s="12" cm="1">
        <f t="array" ref="Q54">INDEX('Treatment-ConceptMap'!$H$10:$L$264,O54+1,P54)</f>
        <v>0</v>
      </c>
    </row>
    <row r="55" spans="14:17" x14ac:dyDescent="0.75">
      <c r="N55" s="11">
        <v>46</v>
      </c>
      <c r="O55" s="11">
        <f t="shared" si="5"/>
        <v>9</v>
      </c>
      <c r="P55" s="11">
        <f t="shared" si="6"/>
        <v>1</v>
      </c>
      <c r="Q55" s="12" cm="1">
        <f t="array" ref="Q55">INDEX('Treatment-ConceptMap'!$H$10:$L$264,O55+1,P55)</f>
        <v>0</v>
      </c>
    </row>
    <row r="56" spans="14:17" x14ac:dyDescent="0.75">
      <c r="N56" s="11">
        <v>47</v>
      </c>
      <c r="O56" s="11">
        <f t="shared" si="5"/>
        <v>9</v>
      </c>
      <c r="P56" s="11">
        <f t="shared" si="6"/>
        <v>2</v>
      </c>
      <c r="Q56" s="12" cm="1">
        <f t="array" ref="Q56">INDEX('Treatment-ConceptMap'!$H$10:$L$264,O56+1,P56)</f>
        <v>0</v>
      </c>
    </row>
    <row r="57" spans="14:17" x14ac:dyDescent="0.75">
      <c r="N57" s="11">
        <v>48</v>
      </c>
      <c r="O57" s="11">
        <f t="shared" si="5"/>
        <v>9</v>
      </c>
      <c r="P57" s="11">
        <f t="shared" si="6"/>
        <v>3</v>
      </c>
      <c r="Q57" s="12" cm="1">
        <f t="array" ref="Q57">INDEX('Treatment-ConceptMap'!$H$10:$L$264,O57+1,P57)</f>
        <v>0</v>
      </c>
    </row>
    <row r="58" spans="14:17" x14ac:dyDescent="0.75">
      <c r="N58" s="11">
        <v>49</v>
      </c>
      <c r="O58" s="11">
        <f t="shared" si="5"/>
        <v>9</v>
      </c>
      <c r="P58" s="11">
        <f t="shared" si="6"/>
        <v>4</v>
      </c>
      <c r="Q58" s="12" cm="1">
        <f t="array" ref="Q58">INDEX('Treatment-ConceptMap'!$H$10:$L$264,O58+1,P58)</f>
        <v>0</v>
      </c>
    </row>
    <row r="59" spans="14:17" x14ac:dyDescent="0.75">
      <c r="N59" s="11">
        <v>50</v>
      </c>
      <c r="O59" s="11">
        <f t="shared" si="5"/>
        <v>9</v>
      </c>
      <c r="P59" s="11">
        <f t="shared" si="6"/>
        <v>5</v>
      </c>
      <c r="Q59" s="12" cm="1">
        <f t="array" ref="Q59">INDEX('Treatment-ConceptMap'!$H$10:$L$264,O59+1,P59)</f>
        <v>0</v>
      </c>
    </row>
    <row r="60" spans="14:17" x14ac:dyDescent="0.75">
      <c r="N60" s="11">
        <v>51</v>
      </c>
      <c r="O60" s="11">
        <f t="shared" si="5"/>
        <v>10</v>
      </c>
      <c r="P60" s="11">
        <f t="shared" si="6"/>
        <v>1</v>
      </c>
      <c r="Q60" s="12" cm="1">
        <f t="array" ref="Q60">INDEX('Treatment-ConceptMap'!$H$10:$L$264,O60+1,P60)</f>
        <v>0</v>
      </c>
    </row>
    <row r="61" spans="14:17" x14ac:dyDescent="0.75">
      <c r="N61" s="11">
        <v>52</v>
      </c>
      <c r="O61" s="11">
        <f t="shared" si="5"/>
        <v>10</v>
      </c>
      <c r="P61" s="11">
        <f t="shared" si="6"/>
        <v>2</v>
      </c>
      <c r="Q61" s="12" cm="1">
        <f t="array" ref="Q61">INDEX('Treatment-ConceptMap'!$H$10:$L$264,O61+1,P61)</f>
        <v>0</v>
      </c>
    </row>
    <row r="62" spans="14:17" x14ac:dyDescent="0.75">
      <c r="N62" s="11">
        <v>53</v>
      </c>
      <c r="O62" s="11">
        <f t="shared" si="5"/>
        <v>10</v>
      </c>
      <c r="P62" s="11">
        <f t="shared" si="6"/>
        <v>3</v>
      </c>
      <c r="Q62" s="12" cm="1">
        <f t="array" ref="Q62">INDEX('Treatment-ConceptMap'!$H$10:$L$264,O62+1,P62)</f>
        <v>0</v>
      </c>
    </row>
    <row r="63" spans="14:17" x14ac:dyDescent="0.75">
      <c r="N63" s="11">
        <v>54</v>
      </c>
      <c r="O63" s="11">
        <f t="shared" si="5"/>
        <v>10</v>
      </c>
      <c r="P63" s="11">
        <f t="shared" si="6"/>
        <v>4</v>
      </c>
      <c r="Q63" s="12" cm="1">
        <f t="array" ref="Q63">INDEX('Treatment-ConceptMap'!$H$10:$L$264,O63+1,P63)</f>
        <v>0</v>
      </c>
    </row>
    <row r="64" spans="14:17" x14ac:dyDescent="0.75">
      <c r="N64" s="11">
        <v>55</v>
      </c>
      <c r="O64" s="11">
        <f t="shared" si="5"/>
        <v>10</v>
      </c>
      <c r="P64" s="11">
        <f t="shared" si="6"/>
        <v>5</v>
      </c>
      <c r="Q64" s="12" cm="1">
        <f t="array" ref="Q64">INDEX('Treatment-ConceptMap'!$H$10:$L$264,O64+1,P64)</f>
        <v>0</v>
      </c>
    </row>
    <row r="65" spans="14:17" x14ac:dyDescent="0.75">
      <c r="N65" s="11">
        <v>56</v>
      </c>
      <c r="O65" s="11">
        <f t="shared" si="5"/>
        <v>11</v>
      </c>
      <c r="P65" s="11">
        <f t="shared" si="6"/>
        <v>1</v>
      </c>
      <c r="Q65" s="12" cm="1">
        <f t="array" ref="Q65">INDEX('Treatment-ConceptMap'!$H$10:$L$264,O65+1,P65)</f>
        <v>0</v>
      </c>
    </row>
    <row r="66" spans="14:17" x14ac:dyDescent="0.75">
      <c r="N66" s="11">
        <v>57</v>
      </c>
      <c r="O66" s="11">
        <f t="shared" si="5"/>
        <v>11</v>
      </c>
      <c r="P66" s="11">
        <f t="shared" si="6"/>
        <v>2</v>
      </c>
      <c r="Q66" s="12" cm="1">
        <f t="array" ref="Q66">INDEX('Treatment-ConceptMap'!$H$10:$L$264,O66+1,P66)</f>
        <v>0</v>
      </c>
    </row>
    <row r="67" spans="14:17" x14ac:dyDescent="0.75">
      <c r="N67" s="11">
        <v>58</v>
      </c>
      <c r="O67" s="11">
        <f t="shared" si="5"/>
        <v>11</v>
      </c>
      <c r="P67" s="11">
        <f t="shared" si="6"/>
        <v>3</v>
      </c>
      <c r="Q67" s="12" cm="1">
        <f t="array" ref="Q67">INDEX('Treatment-ConceptMap'!$H$10:$L$264,O67+1,P67)</f>
        <v>0</v>
      </c>
    </row>
    <row r="68" spans="14:17" x14ac:dyDescent="0.75">
      <c r="N68" s="11">
        <v>59</v>
      </c>
      <c r="O68" s="11">
        <f t="shared" si="5"/>
        <v>11</v>
      </c>
      <c r="P68" s="11">
        <f t="shared" si="6"/>
        <v>4</v>
      </c>
      <c r="Q68" s="12" cm="1">
        <f t="array" ref="Q68">INDEX('Treatment-ConceptMap'!$H$10:$L$264,O68+1,P68)</f>
        <v>0</v>
      </c>
    </row>
    <row r="69" spans="14:17" x14ac:dyDescent="0.75">
      <c r="N69" s="11">
        <v>60</v>
      </c>
      <c r="O69" s="11">
        <f t="shared" si="5"/>
        <v>11</v>
      </c>
      <c r="P69" s="11">
        <f t="shared" si="6"/>
        <v>5</v>
      </c>
      <c r="Q69" s="12" cm="1">
        <f t="array" ref="Q69">INDEX('Treatment-ConceptMap'!$H$10:$L$264,O69+1,P69)</f>
        <v>0</v>
      </c>
    </row>
    <row r="70" spans="14:17" x14ac:dyDescent="0.75">
      <c r="N70" s="11">
        <v>61</v>
      </c>
      <c r="O70" s="11">
        <f t="shared" si="5"/>
        <v>12</v>
      </c>
      <c r="P70" s="11">
        <f t="shared" si="6"/>
        <v>1</v>
      </c>
      <c r="Q70" s="12" cm="1">
        <f t="array" ref="Q70">INDEX('Treatment-ConceptMap'!$H$10:$L$264,O70+1,P70)</f>
        <v>0</v>
      </c>
    </row>
    <row r="71" spans="14:17" x14ac:dyDescent="0.75">
      <c r="N71" s="11">
        <v>62</v>
      </c>
      <c r="O71" s="11">
        <f t="shared" si="5"/>
        <v>12</v>
      </c>
      <c r="P71" s="11">
        <f t="shared" si="6"/>
        <v>2</v>
      </c>
      <c r="Q71" s="12" cm="1">
        <f t="array" ref="Q71">INDEX('Treatment-ConceptMap'!$H$10:$L$264,O71+1,P71)</f>
        <v>0</v>
      </c>
    </row>
    <row r="72" spans="14:17" x14ac:dyDescent="0.75">
      <c r="N72" s="11">
        <v>63</v>
      </c>
      <c r="O72" s="11">
        <f t="shared" si="5"/>
        <v>12</v>
      </c>
      <c r="P72" s="11">
        <f t="shared" si="6"/>
        <v>3</v>
      </c>
      <c r="Q72" s="12" cm="1">
        <f t="array" ref="Q72">INDEX('Treatment-ConceptMap'!$H$10:$L$264,O72+1,P72)</f>
        <v>0</v>
      </c>
    </row>
    <row r="73" spans="14:17" x14ac:dyDescent="0.75">
      <c r="N73" s="11">
        <v>64</v>
      </c>
      <c r="O73" s="11">
        <f t="shared" si="5"/>
        <v>12</v>
      </c>
      <c r="P73" s="11">
        <f t="shared" si="6"/>
        <v>4</v>
      </c>
      <c r="Q73" s="12" cm="1">
        <f t="array" ref="Q73">INDEX('Treatment-ConceptMap'!$H$10:$L$264,O73+1,P73)</f>
        <v>0</v>
      </c>
    </row>
    <row r="74" spans="14:17" x14ac:dyDescent="0.75">
      <c r="N74" s="11">
        <v>65</v>
      </c>
      <c r="O74" s="11">
        <f t="shared" si="5"/>
        <v>12</v>
      </c>
      <c r="P74" s="11">
        <f t="shared" si="6"/>
        <v>5</v>
      </c>
      <c r="Q74" s="12" cm="1">
        <f t="array" ref="Q74">INDEX('Treatment-ConceptMap'!$H$10:$L$264,O74+1,P74)</f>
        <v>0</v>
      </c>
    </row>
    <row r="75" spans="14:17" x14ac:dyDescent="0.75">
      <c r="N75" s="11">
        <v>66</v>
      </c>
      <c r="O75" s="11">
        <f t="shared" ref="O75:O138" si="7">IF(MOD(N75,$O$3)=0,N75/$O$3-1,INT(N75/$O$3))</f>
        <v>13</v>
      </c>
      <c r="P75" s="11">
        <f t="shared" ref="P75:P138" si="8">IF(MOD(N75,$O$3)=0,$O$3,MOD(N75,$O$3))</f>
        <v>1</v>
      </c>
      <c r="Q75" s="12" cm="1">
        <f t="array" ref="Q75">INDEX('Treatment-ConceptMap'!$H$10:$L$264,O75+1,P75)</f>
        <v>0</v>
      </c>
    </row>
    <row r="76" spans="14:17" x14ac:dyDescent="0.75">
      <c r="N76" s="11">
        <v>67</v>
      </c>
      <c r="O76" s="11">
        <f t="shared" si="7"/>
        <v>13</v>
      </c>
      <c r="P76" s="11">
        <f t="shared" si="8"/>
        <v>2</v>
      </c>
      <c r="Q76" s="12" cm="1">
        <f t="array" ref="Q76">INDEX('Treatment-ConceptMap'!$H$10:$L$264,O76+1,P76)</f>
        <v>0</v>
      </c>
    </row>
    <row r="77" spans="14:17" x14ac:dyDescent="0.75">
      <c r="N77" s="11">
        <v>68</v>
      </c>
      <c r="O77" s="11">
        <f t="shared" si="7"/>
        <v>13</v>
      </c>
      <c r="P77" s="11">
        <f t="shared" si="8"/>
        <v>3</v>
      </c>
      <c r="Q77" s="12" cm="1">
        <f t="array" ref="Q77">INDEX('Treatment-ConceptMap'!$H$10:$L$264,O77+1,P77)</f>
        <v>0</v>
      </c>
    </row>
    <row r="78" spans="14:17" x14ac:dyDescent="0.75">
      <c r="N78" s="11">
        <v>69</v>
      </c>
      <c r="O78" s="11">
        <f t="shared" si="7"/>
        <v>13</v>
      </c>
      <c r="P78" s="11">
        <f t="shared" si="8"/>
        <v>4</v>
      </c>
      <c r="Q78" s="12" cm="1">
        <f t="array" ref="Q78">INDEX('Treatment-ConceptMap'!$H$10:$L$264,O78+1,P78)</f>
        <v>0</v>
      </c>
    </row>
    <row r="79" spans="14:17" x14ac:dyDescent="0.75">
      <c r="N79" s="11">
        <v>70</v>
      </c>
      <c r="O79" s="11">
        <f t="shared" si="7"/>
        <v>13</v>
      </c>
      <c r="P79" s="11">
        <f t="shared" si="8"/>
        <v>5</v>
      </c>
      <c r="Q79" s="12" cm="1">
        <f t="array" ref="Q79">INDEX('Treatment-ConceptMap'!$H$10:$L$264,O79+1,P79)</f>
        <v>0</v>
      </c>
    </row>
    <row r="80" spans="14:17" x14ac:dyDescent="0.75">
      <c r="N80" s="11">
        <v>71</v>
      </c>
      <c r="O80" s="11">
        <f t="shared" si="7"/>
        <v>14</v>
      </c>
      <c r="P80" s="11">
        <f t="shared" si="8"/>
        <v>1</v>
      </c>
      <c r="Q80" s="12" cm="1">
        <f t="array" ref="Q80">INDEX('Treatment-ConceptMap'!$H$10:$L$264,O80+1,P80)</f>
        <v>0</v>
      </c>
    </row>
    <row r="81" spans="14:17" x14ac:dyDescent="0.75">
      <c r="N81" s="11">
        <v>72</v>
      </c>
      <c r="O81" s="11">
        <f t="shared" si="7"/>
        <v>14</v>
      </c>
      <c r="P81" s="11">
        <f t="shared" si="8"/>
        <v>2</v>
      </c>
      <c r="Q81" s="12" cm="1">
        <f t="array" ref="Q81">INDEX('Treatment-ConceptMap'!$H$10:$L$264,O81+1,P81)</f>
        <v>0</v>
      </c>
    </row>
    <row r="82" spans="14:17" x14ac:dyDescent="0.75">
      <c r="N82" s="11">
        <v>73</v>
      </c>
      <c r="O82" s="11">
        <f t="shared" si="7"/>
        <v>14</v>
      </c>
      <c r="P82" s="11">
        <f t="shared" si="8"/>
        <v>3</v>
      </c>
      <c r="Q82" s="12" cm="1">
        <f t="array" ref="Q82">INDEX('Treatment-ConceptMap'!$H$10:$L$264,O82+1,P82)</f>
        <v>0</v>
      </c>
    </row>
    <row r="83" spans="14:17" x14ac:dyDescent="0.75">
      <c r="N83" s="11">
        <v>74</v>
      </c>
      <c r="O83" s="11">
        <f t="shared" si="7"/>
        <v>14</v>
      </c>
      <c r="P83" s="11">
        <f t="shared" si="8"/>
        <v>4</v>
      </c>
      <c r="Q83" s="12" cm="1">
        <f t="array" ref="Q83">INDEX('Treatment-ConceptMap'!$H$10:$L$264,O83+1,P83)</f>
        <v>0</v>
      </c>
    </row>
    <row r="84" spans="14:17" x14ac:dyDescent="0.75">
      <c r="N84" s="11">
        <v>75</v>
      </c>
      <c r="O84" s="11">
        <f t="shared" si="7"/>
        <v>14</v>
      </c>
      <c r="P84" s="11">
        <f t="shared" si="8"/>
        <v>5</v>
      </c>
      <c r="Q84" s="12" cm="1">
        <f t="array" ref="Q84">INDEX('Treatment-ConceptMap'!$H$10:$L$264,O84+1,P84)</f>
        <v>0</v>
      </c>
    </row>
    <row r="85" spans="14:17" x14ac:dyDescent="0.75">
      <c r="N85" s="11">
        <v>76</v>
      </c>
      <c r="O85" s="11">
        <f t="shared" si="7"/>
        <v>15</v>
      </c>
      <c r="P85" s="11">
        <f t="shared" si="8"/>
        <v>1</v>
      </c>
      <c r="Q85" s="12" cm="1">
        <f t="array" ref="Q85">INDEX('Treatment-ConceptMap'!$H$10:$L$264,O85+1,P85)</f>
        <v>0</v>
      </c>
    </row>
    <row r="86" spans="14:17" x14ac:dyDescent="0.75">
      <c r="N86" s="11">
        <v>77</v>
      </c>
      <c r="O86" s="11">
        <f t="shared" si="7"/>
        <v>15</v>
      </c>
      <c r="P86" s="11">
        <f t="shared" si="8"/>
        <v>2</v>
      </c>
      <c r="Q86" s="12" cm="1">
        <f t="array" ref="Q86">INDEX('Treatment-ConceptMap'!$H$10:$L$264,O86+1,P86)</f>
        <v>0</v>
      </c>
    </row>
    <row r="87" spans="14:17" x14ac:dyDescent="0.75">
      <c r="N87" s="11">
        <v>78</v>
      </c>
      <c r="O87" s="11">
        <f t="shared" si="7"/>
        <v>15</v>
      </c>
      <c r="P87" s="11">
        <f t="shared" si="8"/>
        <v>3</v>
      </c>
      <c r="Q87" s="12" cm="1">
        <f t="array" ref="Q87">INDEX('Treatment-ConceptMap'!$H$10:$L$264,O87+1,P87)</f>
        <v>0</v>
      </c>
    </row>
    <row r="88" spans="14:17" x14ac:dyDescent="0.75">
      <c r="N88" s="11">
        <v>79</v>
      </c>
      <c r="O88" s="11">
        <f t="shared" si="7"/>
        <v>15</v>
      </c>
      <c r="P88" s="11">
        <f t="shared" si="8"/>
        <v>4</v>
      </c>
      <c r="Q88" s="12" cm="1">
        <f t="array" ref="Q88">INDEX('Treatment-ConceptMap'!$H$10:$L$264,O88+1,P88)</f>
        <v>0</v>
      </c>
    </row>
    <row r="89" spans="14:17" x14ac:dyDescent="0.75">
      <c r="N89" s="11">
        <v>80</v>
      </c>
      <c r="O89" s="11">
        <f t="shared" si="7"/>
        <v>15</v>
      </c>
      <c r="P89" s="11">
        <f t="shared" si="8"/>
        <v>5</v>
      </c>
      <c r="Q89" s="12" cm="1">
        <f t="array" ref="Q89">INDEX('Treatment-ConceptMap'!$H$10:$L$264,O89+1,P89)</f>
        <v>0</v>
      </c>
    </row>
    <row r="90" spans="14:17" x14ac:dyDescent="0.75">
      <c r="N90" s="11">
        <v>81</v>
      </c>
      <c r="O90" s="11">
        <f t="shared" si="7"/>
        <v>16</v>
      </c>
      <c r="P90" s="11">
        <f t="shared" si="8"/>
        <v>1</v>
      </c>
      <c r="Q90" s="12" cm="1">
        <f t="array" ref="Q90">INDEX('Treatment-ConceptMap'!$H$10:$L$264,O90+1,P90)</f>
        <v>0</v>
      </c>
    </row>
    <row r="91" spans="14:17" x14ac:dyDescent="0.75">
      <c r="N91" s="11">
        <v>82</v>
      </c>
      <c r="O91" s="11">
        <f t="shared" si="7"/>
        <v>16</v>
      </c>
      <c r="P91" s="11">
        <f t="shared" si="8"/>
        <v>2</v>
      </c>
      <c r="Q91" s="12" cm="1">
        <f t="array" ref="Q91">INDEX('Treatment-ConceptMap'!$H$10:$L$264,O91+1,P91)</f>
        <v>0</v>
      </c>
    </row>
    <row r="92" spans="14:17" x14ac:dyDescent="0.75">
      <c r="N92" s="11">
        <v>83</v>
      </c>
      <c r="O92" s="11">
        <f t="shared" si="7"/>
        <v>16</v>
      </c>
      <c r="P92" s="11">
        <f t="shared" si="8"/>
        <v>3</v>
      </c>
      <c r="Q92" s="12" cm="1">
        <f t="array" ref="Q92">INDEX('Treatment-ConceptMap'!$H$10:$L$264,O92+1,P92)</f>
        <v>0</v>
      </c>
    </row>
    <row r="93" spans="14:17" x14ac:dyDescent="0.75">
      <c r="N93" s="11">
        <v>84</v>
      </c>
      <c r="O93" s="11">
        <f t="shared" si="7"/>
        <v>16</v>
      </c>
      <c r="P93" s="11">
        <f t="shared" si="8"/>
        <v>4</v>
      </c>
      <c r="Q93" s="12" cm="1">
        <f t="array" ref="Q93">INDEX('Treatment-ConceptMap'!$H$10:$L$264,O93+1,P93)</f>
        <v>0</v>
      </c>
    </row>
    <row r="94" spans="14:17" x14ac:dyDescent="0.75">
      <c r="N94" s="11">
        <v>85</v>
      </c>
      <c r="O94" s="11">
        <f t="shared" si="7"/>
        <v>16</v>
      </c>
      <c r="P94" s="11">
        <f t="shared" si="8"/>
        <v>5</v>
      </c>
      <c r="Q94" s="12" cm="1">
        <f t="array" ref="Q94">INDEX('Treatment-ConceptMap'!$H$10:$L$264,O94+1,P94)</f>
        <v>0</v>
      </c>
    </row>
    <row r="95" spans="14:17" x14ac:dyDescent="0.75">
      <c r="N95" s="11">
        <v>86</v>
      </c>
      <c r="O95" s="11">
        <f t="shared" si="7"/>
        <v>17</v>
      </c>
      <c r="P95" s="11">
        <f t="shared" si="8"/>
        <v>1</v>
      </c>
      <c r="Q95" s="12" cm="1">
        <f t="array" ref="Q95">INDEX('Treatment-ConceptMap'!$H$10:$L$264,O95+1,P95)</f>
        <v>0</v>
      </c>
    </row>
    <row r="96" spans="14:17" x14ac:dyDescent="0.75">
      <c r="N96" s="11">
        <v>87</v>
      </c>
      <c r="O96" s="11">
        <f t="shared" si="7"/>
        <v>17</v>
      </c>
      <c r="P96" s="11">
        <f t="shared" si="8"/>
        <v>2</v>
      </c>
      <c r="Q96" s="12" cm="1">
        <f t="array" ref="Q96">INDEX('Treatment-ConceptMap'!$H$10:$L$264,O96+1,P96)</f>
        <v>0</v>
      </c>
    </row>
    <row r="97" spans="14:17" x14ac:dyDescent="0.75">
      <c r="N97" s="11">
        <v>88</v>
      </c>
      <c r="O97" s="11">
        <f t="shared" si="7"/>
        <v>17</v>
      </c>
      <c r="P97" s="11">
        <f t="shared" si="8"/>
        <v>3</v>
      </c>
      <c r="Q97" s="12" cm="1">
        <f t="array" ref="Q97">INDEX('Treatment-ConceptMap'!$H$10:$L$264,O97+1,P97)</f>
        <v>0</v>
      </c>
    </row>
    <row r="98" spans="14:17" x14ac:dyDescent="0.75">
      <c r="N98" s="11">
        <v>89</v>
      </c>
      <c r="O98" s="11">
        <f t="shared" si="7"/>
        <v>17</v>
      </c>
      <c r="P98" s="11">
        <f t="shared" si="8"/>
        <v>4</v>
      </c>
      <c r="Q98" s="12" cm="1">
        <f t="array" ref="Q98">INDEX('Treatment-ConceptMap'!$H$10:$L$264,O98+1,P98)</f>
        <v>0</v>
      </c>
    </row>
    <row r="99" spans="14:17" x14ac:dyDescent="0.75">
      <c r="N99" s="11">
        <v>90</v>
      </c>
      <c r="O99" s="11">
        <f t="shared" si="7"/>
        <v>17</v>
      </c>
      <c r="P99" s="11">
        <f t="shared" si="8"/>
        <v>5</v>
      </c>
      <c r="Q99" s="12" cm="1">
        <f t="array" ref="Q99">INDEX('Treatment-ConceptMap'!$H$10:$L$264,O99+1,P99)</f>
        <v>0</v>
      </c>
    </row>
    <row r="100" spans="14:17" x14ac:dyDescent="0.75">
      <c r="N100" s="11">
        <v>91</v>
      </c>
      <c r="O100" s="11">
        <f t="shared" si="7"/>
        <v>18</v>
      </c>
      <c r="P100" s="11">
        <f t="shared" si="8"/>
        <v>1</v>
      </c>
      <c r="Q100" s="12" cm="1">
        <f t="array" ref="Q100">INDEX('Treatment-ConceptMap'!$H$10:$L$264,O100+1,P100)</f>
        <v>0</v>
      </c>
    </row>
    <row r="101" spans="14:17" x14ac:dyDescent="0.75">
      <c r="N101" s="11">
        <v>92</v>
      </c>
      <c r="O101" s="11">
        <f t="shared" si="7"/>
        <v>18</v>
      </c>
      <c r="P101" s="11">
        <f t="shared" si="8"/>
        <v>2</v>
      </c>
      <c r="Q101" s="12" cm="1">
        <f t="array" ref="Q101">INDEX('Treatment-ConceptMap'!U85:Y339,1+O101,P101)</f>
        <v>0</v>
      </c>
    </row>
    <row r="102" spans="14:17" x14ac:dyDescent="0.75">
      <c r="N102" s="11">
        <v>93</v>
      </c>
      <c r="O102" s="11">
        <f t="shared" si="7"/>
        <v>18</v>
      </c>
      <c r="P102" s="11">
        <f t="shared" si="8"/>
        <v>3</v>
      </c>
      <c r="Q102" s="12" cm="1">
        <f t="array" ref="Q102">INDEX('Treatment-ConceptMap'!U86:Y340,1+O102,P102)</f>
        <v>0</v>
      </c>
    </row>
    <row r="103" spans="14:17" x14ac:dyDescent="0.75">
      <c r="N103" s="11">
        <v>94</v>
      </c>
      <c r="O103" s="11">
        <f t="shared" si="7"/>
        <v>18</v>
      </c>
      <c r="P103" s="11">
        <f t="shared" si="8"/>
        <v>4</v>
      </c>
      <c r="Q103" s="12" cm="1">
        <f t="array" ref="Q103">INDEX('Treatment-ConceptMap'!U87:Y341,1+O103,P103)</f>
        <v>0</v>
      </c>
    </row>
    <row r="104" spans="14:17" x14ac:dyDescent="0.75">
      <c r="N104" s="11">
        <v>95</v>
      </c>
      <c r="O104" s="11">
        <f t="shared" si="7"/>
        <v>18</v>
      </c>
      <c r="P104" s="11">
        <f t="shared" si="8"/>
        <v>5</v>
      </c>
      <c r="Q104" s="12" cm="1">
        <f t="array" ref="Q104">INDEX('Treatment-ConceptMap'!U88:Y342,1+O104,P104)</f>
        <v>0</v>
      </c>
    </row>
    <row r="105" spans="14:17" x14ac:dyDescent="0.75">
      <c r="N105" s="11">
        <v>96</v>
      </c>
      <c r="O105" s="11">
        <f t="shared" si="7"/>
        <v>19</v>
      </c>
      <c r="P105" s="11">
        <f t="shared" si="8"/>
        <v>1</v>
      </c>
      <c r="Q105" s="12" cm="1">
        <f t="array" ref="Q105">INDEX('Treatment-ConceptMap'!U89:Y343,1+O105,P105)</f>
        <v>0</v>
      </c>
    </row>
    <row r="106" spans="14:17" x14ac:dyDescent="0.75">
      <c r="N106" s="11">
        <v>97</v>
      </c>
      <c r="O106" s="11">
        <f t="shared" si="7"/>
        <v>19</v>
      </c>
      <c r="P106" s="11">
        <f t="shared" si="8"/>
        <v>2</v>
      </c>
      <c r="Q106" s="12" cm="1">
        <f t="array" ref="Q106">INDEX('Treatment-ConceptMap'!U90:Y344,1+O106,P106)</f>
        <v>0</v>
      </c>
    </row>
    <row r="107" spans="14:17" x14ac:dyDescent="0.75">
      <c r="N107" s="11">
        <v>98</v>
      </c>
      <c r="O107" s="11">
        <f t="shared" si="7"/>
        <v>19</v>
      </c>
      <c r="P107" s="11">
        <f t="shared" si="8"/>
        <v>3</v>
      </c>
      <c r="Q107" s="12" cm="1">
        <f t="array" ref="Q107">INDEX('Treatment-ConceptMap'!U91:Y345,1+O107,P107)</f>
        <v>0</v>
      </c>
    </row>
    <row r="108" spans="14:17" x14ac:dyDescent="0.75">
      <c r="N108" s="11">
        <v>99</v>
      </c>
      <c r="O108" s="11">
        <f t="shared" si="7"/>
        <v>19</v>
      </c>
      <c r="P108" s="11">
        <f t="shared" si="8"/>
        <v>4</v>
      </c>
      <c r="Q108" s="12" cm="1">
        <f t="array" ref="Q108">INDEX('Treatment-ConceptMap'!U92:Y346,1+O108,P108)</f>
        <v>0</v>
      </c>
    </row>
    <row r="109" spans="14:17" x14ac:dyDescent="0.75">
      <c r="N109" s="11">
        <v>100</v>
      </c>
      <c r="O109" s="11">
        <f t="shared" si="7"/>
        <v>19</v>
      </c>
      <c r="P109" s="11">
        <f t="shared" si="8"/>
        <v>5</v>
      </c>
      <c r="Q109" s="12" cm="1">
        <f t="array" ref="Q109">INDEX('Treatment-ConceptMap'!U93:Y347,1+O109,P109)</f>
        <v>0</v>
      </c>
    </row>
    <row r="110" spans="14:17" x14ac:dyDescent="0.75">
      <c r="N110" s="11">
        <v>101</v>
      </c>
      <c r="O110" s="11">
        <f t="shared" si="7"/>
        <v>20</v>
      </c>
      <c r="P110" s="11">
        <f t="shared" si="8"/>
        <v>1</v>
      </c>
      <c r="Q110" s="12" cm="1">
        <f t="array" ref="Q110">INDEX('Treatment-ConceptMap'!U94:Y348,1+O110,P110)</f>
        <v>0</v>
      </c>
    </row>
    <row r="111" spans="14:17" x14ac:dyDescent="0.75">
      <c r="N111" s="11">
        <v>102</v>
      </c>
      <c r="O111" s="11">
        <f t="shared" si="7"/>
        <v>20</v>
      </c>
      <c r="P111" s="11">
        <f t="shared" si="8"/>
        <v>2</v>
      </c>
      <c r="Q111" s="12" cm="1">
        <f t="array" ref="Q111">INDEX('Treatment-ConceptMap'!U95:Y349,1+O111,P111)</f>
        <v>0</v>
      </c>
    </row>
    <row r="112" spans="14:17" x14ac:dyDescent="0.75">
      <c r="N112" s="11">
        <v>103</v>
      </c>
      <c r="O112" s="11">
        <f t="shared" si="7"/>
        <v>20</v>
      </c>
      <c r="P112" s="11">
        <f t="shared" si="8"/>
        <v>3</v>
      </c>
      <c r="Q112" s="12" cm="1">
        <f t="array" ref="Q112">INDEX('Treatment-ConceptMap'!U96:Y350,1+O112,P112)</f>
        <v>0</v>
      </c>
    </row>
    <row r="113" spans="14:17" x14ac:dyDescent="0.75">
      <c r="N113" s="11">
        <v>104</v>
      </c>
      <c r="O113" s="11">
        <f t="shared" si="7"/>
        <v>20</v>
      </c>
      <c r="P113" s="11">
        <f t="shared" si="8"/>
        <v>4</v>
      </c>
      <c r="Q113" s="12" cm="1">
        <f t="array" ref="Q113">INDEX('Treatment-ConceptMap'!U97:Y351,1+O113,P113)</f>
        <v>0</v>
      </c>
    </row>
    <row r="114" spans="14:17" x14ac:dyDescent="0.75">
      <c r="N114" s="11">
        <v>105</v>
      </c>
      <c r="O114" s="11">
        <f t="shared" si="7"/>
        <v>20</v>
      </c>
      <c r="P114" s="11">
        <f t="shared" si="8"/>
        <v>5</v>
      </c>
      <c r="Q114" s="12" cm="1">
        <f t="array" ref="Q114">INDEX('Treatment-ConceptMap'!U98:Y352,1+O114,P114)</f>
        <v>0</v>
      </c>
    </row>
    <row r="115" spans="14:17" x14ac:dyDescent="0.75">
      <c r="N115" s="11">
        <v>106</v>
      </c>
      <c r="O115" s="11">
        <f t="shared" si="7"/>
        <v>21</v>
      </c>
      <c r="P115" s="11">
        <f t="shared" si="8"/>
        <v>1</v>
      </c>
      <c r="Q115" s="12" cm="1">
        <f t="array" ref="Q115">INDEX('Treatment-ConceptMap'!U99:Y353,1+O115,P115)</f>
        <v>0</v>
      </c>
    </row>
    <row r="116" spans="14:17" x14ac:dyDescent="0.75">
      <c r="N116" s="11">
        <v>107</v>
      </c>
      <c r="O116" s="11">
        <f t="shared" si="7"/>
        <v>21</v>
      </c>
      <c r="P116" s="11">
        <f t="shared" si="8"/>
        <v>2</v>
      </c>
      <c r="Q116" s="12" cm="1">
        <f t="array" ref="Q116">INDEX('Treatment-ConceptMap'!U100:Y354,1+O116,P116)</f>
        <v>0</v>
      </c>
    </row>
    <row r="117" spans="14:17" x14ac:dyDescent="0.75">
      <c r="N117" s="11">
        <v>108</v>
      </c>
      <c r="O117" s="11">
        <f t="shared" si="7"/>
        <v>21</v>
      </c>
      <c r="P117" s="11">
        <f t="shared" si="8"/>
        <v>3</v>
      </c>
      <c r="Q117" s="12" cm="1">
        <f t="array" ref="Q117">INDEX('Treatment-ConceptMap'!U101:Y355,1+O117,P117)</f>
        <v>0</v>
      </c>
    </row>
    <row r="118" spans="14:17" x14ac:dyDescent="0.75">
      <c r="N118" s="11">
        <v>109</v>
      </c>
      <c r="O118" s="11">
        <f t="shared" si="7"/>
        <v>21</v>
      </c>
      <c r="P118" s="11">
        <f t="shared" si="8"/>
        <v>4</v>
      </c>
      <c r="Q118" s="12" cm="1">
        <f t="array" ref="Q118">INDEX('Treatment-ConceptMap'!U102:Y356,1+O118,P118)</f>
        <v>0</v>
      </c>
    </row>
    <row r="119" spans="14:17" x14ac:dyDescent="0.75">
      <c r="N119" s="11">
        <v>110</v>
      </c>
      <c r="O119" s="11">
        <f t="shared" si="7"/>
        <v>21</v>
      </c>
      <c r="P119" s="11">
        <f t="shared" si="8"/>
        <v>5</v>
      </c>
      <c r="Q119" s="12" cm="1">
        <f t="array" ref="Q119">INDEX('Treatment-ConceptMap'!U103:Y357,1+O119,P119)</f>
        <v>0</v>
      </c>
    </row>
    <row r="120" spans="14:17" x14ac:dyDescent="0.75">
      <c r="N120" s="11">
        <v>111</v>
      </c>
      <c r="O120" s="11">
        <f t="shared" si="7"/>
        <v>22</v>
      </c>
      <c r="P120" s="11">
        <f t="shared" si="8"/>
        <v>1</v>
      </c>
      <c r="Q120" s="12" cm="1">
        <f t="array" ref="Q120">INDEX('Treatment-ConceptMap'!U104:Y358,1+O120,P120)</f>
        <v>0</v>
      </c>
    </row>
    <row r="121" spans="14:17" x14ac:dyDescent="0.75">
      <c r="N121" s="11">
        <v>112</v>
      </c>
      <c r="O121" s="11">
        <f t="shared" si="7"/>
        <v>22</v>
      </c>
      <c r="P121" s="11">
        <f t="shared" si="8"/>
        <v>2</v>
      </c>
      <c r="Q121" s="12" cm="1">
        <f t="array" ref="Q121">INDEX('Treatment-ConceptMap'!U105:Y359,1+O121,P121)</f>
        <v>0</v>
      </c>
    </row>
    <row r="122" spans="14:17" x14ac:dyDescent="0.75">
      <c r="N122" s="11">
        <v>113</v>
      </c>
      <c r="O122" s="11">
        <f t="shared" si="7"/>
        <v>22</v>
      </c>
      <c r="P122" s="11">
        <f t="shared" si="8"/>
        <v>3</v>
      </c>
      <c r="Q122" s="12" cm="1">
        <f t="array" ref="Q122">INDEX('Treatment-ConceptMap'!U106:Y360,1+O122,P122)</f>
        <v>0</v>
      </c>
    </row>
    <row r="123" spans="14:17" x14ac:dyDescent="0.75">
      <c r="N123" s="11">
        <v>114</v>
      </c>
      <c r="O123" s="11">
        <f t="shared" si="7"/>
        <v>22</v>
      </c>
      <c r="P123" s="11">
        <f t="shared" si="8"/>
        <v>4</v>
      </c>
      <c r="Q123" s="12" cm="1">
        <f t="array" ref="Q123">INDEX('Treatment-ConceptMap'!U107:Y361,1+O123,P123)</f>
        <v>0</v>
      </c>
    </row>
    <row r="124" spans="14:17" x14ac:dyDescent="0.75">
      <c r="N124" s="11">
        <v>115</v>
      </c>
      <c r="O124" s="11">
        <f t="shared" si="7"/>
        <v>22</v>
      </c>
      <c r="P124" s="11">
        <f t="shared" si="8"/>
        <v>5</v>
      </c>
      <c r="Q124" s="12" cm="1">
        <f t="array" ref="Q124">INDEX('Treatment-ConceptMap'!U108:Y362,1+O124,P124)</f>
        <v>0</v>
      </c>
    </row>
    <row r="125" spans="14:17" x14ac:dyDescent="0.75">
      <c r="N125" s="11">
        <v>116</v>
      </c>
      <c r="O125" s="11">
        <f t="shared" si="7"/>
        <v>23</v>
      </c>
      <c r="P125" s="11">
        <f t="shared" si="8"/>
        <v>1</v>
      </c>
      <c r="Q125" s="12" cm="1">
        <f t="array" ref="Q125">INDEX('Treatment-ConceptMap'!U109:Y363,1+O125,P125)</f>
        <v>0</v>
      </c>
    </row>
    <row r="126" spans="14:17" x14ac:dyDescent="0.75">
      <c r="N126" s="11">
        <v>117</v>
      </c>
      <c r="O126" s="11">
        <f t="shared" si="7"/>
        <v>23</v>
      </c>
      <c r="P126" s="11">
        <f t="shared" si="8"/>
        <v>2</v>
      </c>
      <c r="Q126" s="12" cm="1">
        <f t="array" ref="Q126">INDEX('Treatment-ConceptMap'!U110:Y364,1+O126,P126)</f>
        <v>0</v>
      </c>
    </row>
    <row r="127" spans="14:17" x14ac:dyDescent="0.75">
      <c r="N127" s="11">
        <v>118</v>
      </c>
      <c r="O127" s="11">
        <f t="shared" si="7"/>
        <v>23</v>
      </c>
      <c r="P127" s="11">
        <f t="shared" si="8"/>
        <v>3</v>
      </c>
      <c r="Q127" s="12" cm="1">
        <f t="array" ref="Q127">INDEX('Treatment-ConceptMap'!U111:Y365,1+O127,P127)</f>
        <v>0</v>
      </c>
    </row>
    <row r="128" spans="14:17" x14ac:dyDescent="0.75">
      <c r="N128" s="11">
        <v>119</v>
      </c>
      <c r="O128" s="11">
        <f t="shared" si="7"/>
        <v>23</v>
      </c>
      <c r="P128" s="11">
        <f t="shared" si="8"/>
        <v>4</v>
      </c>
      <c r="Q128" s="12" cm="1">
        <f t="array" ref="Q128">INDEX('Treatment-ConceptMap'!U112:Y366,1+O128,P128)</f>
        <v>0</v>
      </c>
    </row>
    <row r="129" spans="14:17" x14ac:dyDescent="0.75">
      <c r="N129" s="11">
        <v>120</v>
      </c>
      <c r="O129" s="11">
        <f t="shared" si="7"/>
        <v>23</v>
      </c>
      <c r="P129" s="11">
        <f t="shared" si="8"/>
        <v>5</v>
      </c>
      <c r="Q129" s="12" cm="1">
        <f t="array" ref="Q129">INDEX('Treatment-ConceptMap'!U113:Y367,1+O129,P129)</f>
        <v>0</v>
      </c>
    </row>
    <row r="130" spans="14:17" x14ac:dyDescent="0.75">
      <c r="N130" s="11">
        <v>121</v>
      </c>
      <c r="O130" s="11">
        <f t="shared" si="7"/>
        <v>24</v>
      </c>
      <c r="P130" s="11">
        <f t="shared" si="8"/>
        <v>1</v>
      </c>
      <c r="Q130" s="12" cm="1">
        <f t="array" ref="Q130">INDEX('Treatment-ConceptMap'!U114:Y368,1+O130,P130)</f>
        <v>0</v>
      </c>
    </row>
    <row r="131" spans="14:17" x14ac:dyDescent="0.75">
      <c r="N131" s="11">
        <v>122</v>
      </c>
      <c r="O131" s="11">
        <f t="shared" si="7"/>
        <v>24</v>
      </c>
      <c r="P131" s="11">
        <f t="shared" si="8"/>
        <v>2</v>
      </c>
      <c r="Q131" s="12" cm="1">
        <f t="array" ref="Q131">INDEX('Treatment-ConceptMap'!U115:Y369,1+O131,P131)</f>
        <v>0</v>
      </c>
    </row>
    <row r="132" spans="14:17" x14ac:dyDescent="0.75">
      <c r="N132" s="11">
        <v>123</v>
      </c>
      <c r="O132" s="11">
        <f t="shared" si="7"/>
        <v>24</v>
      </c>
      <c r="P132" s="11">
        <f t="shared" si="8"/>
        <v>3</v>
      </c>
      <c r="Q132" s="12" cm="1">
        <f t="array" ref="Q132">INDEX('Treatment-ConceptMap'!U116:Y370,1+O132,P132)</f>
        <v>0</v>
      </c>
    </row>
    <row r="133" spans="14:17" x14ac:dyDescent="0.75">
      <c r="N133" s="11">
        <v>124</v>
      </c>
      <c r="O133" s="11">
        <f t="shared" si="7"/>
        <v>24</v>
      </c>
      <c r="P133" s="11">
        <f t="shared" si="8"/>
        <v>4</v>
      </c>
      <c r="Q133" s="12" cm="1">
        <f t="array" ref="Q133">INDEX('Treatment-ConceptMap'!U117:Y371,1+O133,P133)</f>
        <v>0</v>
      </c>
    </row>
    <row r="134" spans="14:17" x14ac:dyDescent="0.75">
      <c r="N134" s="11">
        <v>125</v>
      </c>
      <c r="O134" s="11">
        <f t="shared" si="7"/>
        <v>24</v>
      </c>
      <c r="P134" s="11">
        <f t="shared" si="8"/>
        <v>5</v>
      </c>
      <c r="Q134" s="12" cm="1">
        <f t="array" ref="Q134">INDEX('Treatment-ConceptMap'!U118:Y372,1+O134,P134)</f>
        <v>0</v>
      </c>
    </row>
    <row r="135" spans="14:17" x14ac:dyDescent="0.75">
      <c r="N135" s="11">
        <v>126</v>
      </c>
      <c r="O135" s="11">
        <f t="shared" si="7"/>
        <v>25</v>
      </c>
      <c r="P135" s="11">
        <f t="shared" si="8"/>
        <v>1</v>
      </c>
      <c r="Q135" s="12" cm="1">
        <f t="array" ref="Q135">INDEX('Treatment-ConceptMap'!U119:Y373,1+O135,P135)</f>
        <v>0</v>
      </c>
    </row>
    <row r="136" spans="14:17" x14ac:dyDescent="0.75">
      <c r="N136" s="11">
        <v>127</v>
      </c>
      <c r="O136" s="11">
        <f t="shared" si="7"/>
        <v>25</v>
      </c>
      <c r="P136" s="11">
        <f t="shared" si="8"/>
        <v>2</v>
      </c>
      <c r="Q136" s="12" cm="1">
        <f t="array" ref="Q136">INDEX('Treatment-ConceptMap'!U120:Y374,1+O136,P136)</f>
        <v>0</v>
      </c>
    </row>
    <row r="137" spans="14:17" x14ac:dyDescent="0.75">
      <c r="N137" s="11">
        <v>128</v>
      </c>
      <c r="O137" s="11">
        <f t="shared" si="7"/>
        <v>25</v>
      </c>
      <c r="P137" s="11">
        <f t="shared" si="8"/>
        <v>3</v>
      </c>
      <c r="Q137" s="12" cm="1">
        <f t="array" ref="Q137">INDEX('Treatment-ConceptMap'!U121:Y375,1+O137,P137)</f>
        <v>0</v>
      </c>
    </row>
    <row r="138" spans="14:17" x14ac:dyDescent="0.75">
      <c r="N138" s="11">
        <v>129</v>
      </c>
      <c r="O138" s="11">
        <f t="shared" si="7"/>
        <v>25</v>
      </c>
      <c r="P138" s="11">
        <f t="shared" si="8"/>
        <v>4</v>
      </c>
      <c r="Q138" s="12" cm="1">
        <f t="array" ref="Q138">INDEX('Treatment-ConceptMap'!U122:Y376,1+O138,P138)</f>
        <v>0</v>
      </c>
    </row>
    <row r="139" spans="14:17" x14ac:dyDescent="0.75">
      <c r="N139" s="11">
        <v>130</v>
      </c>
      <c r="O139" s="11">
        <f t="shared" ref="O139:O184" si="9">IF(MOD(N139,$O$3)=0,N139/$O$3-1,INT(N139/$O$3))</f>
        <v>25</v>
      </c>
      <c r="P139" s="11">
        <f t="shared" ref="P139:P184" si="10">IF(MOD(N139,$O$3)=0,$O$3,MOD(N139,$O$3))</f>
        <v>5</v>
      </c>
      <c r="Q139" s="12" cm="1">
        <f t="array" ref="Q139">INDEX('Treatment-ConceptMap'!U123:Y377,1+O139,P139)</f>
        <v>0</v>
      </c>
    </row>
    <row r="140" spans="14:17" x14ac:dyDescent="0.75">
      <c r="N140" s="11">
        <v>131</v>
      </c>
      <c r="O140" s="11">
        <f t="shared" si="9"/>
        <v>26</v>
      </c>
      <c r="P140" s="11">
        <f t="shared" si="10"/>
        <v>1</v>
      </c>
      <c r="Q140" s="12" cm="1">
        <f t="array" ref="Q140">INDEX('Treatment-ConceptMap'!U124:Y378,1+O140,P140)</f>
        <v>0</v>
      </c>
    </row>
    <row r="141" spans="14:17" x14ac:dyDescent="0.75">
      <c r="N141" s="11">
        <v>132</v>
      </c>
      <c r="O141" s="11">
        <f t="shared" si="9"/>
        <v>26</v>
      </c>
      <c r="P141" s="11">
        <f t="shared" si="10"/>
        <v>2</v>
      </c>
      <c r="Q141" s="12" cm="1">
        <f t="array" ref="Q141">INDEX('Treatment-ConceptMap'!U125:Y379,1+O141,P141)</f>
        <v>0</v>
      </c>
    </row>
    <row r="142" spans="14:17" x14ac:dyDescent="0.75">
      <c r="N142" s="11">
        <v>133</v>
      </c>
      <c r="O142" s="11">
        <f t="shared" si="9"/>
        <v>26</v>
      </c>
      <c r="P142" s="11">
        <f t="shared" si="10"/>
        <v>3</v>
      </c>
      <c r="Q142" s="12" cm="1">
        <f t="array" ref="Q142">INDEX('Treatment-ConceptMap'!U126:Y380,1+O142,P142)</f>
        <v>0</v>
      </c>
    </row>
    <row r="143" spans="14:17" x14ac:dyDescent="0.75">
      <c r="N143" s="11">
        <v>134</v>
      </c>
      <c r="O143" s="11">
        <f t="shared" si="9"/>
        <v>26</v>
      </c>
      <c r="P143" s="11">
        <f t="shared" si="10"/>
        <v>4</v>
      </c>
      <c r="Q143" s="12" cm="1">
        <f t="array" ref="Q143">INDEX('Treatment-ConceptMap'!U127:Y381,1+O143,P143)</f>
        <v>0</v>
      </c>
    </row>
    <row r="144" spans="14:17" x14ac:dyDescent="0.75">
      <c r="N144" s="11">
        <v>135</v>
      </c>
      <c r="O144" s="11">
        <f t="shared" si="9"/>
        <v>26</v>
      </c>
      <c r="P144" s="11">
        <f t="shared" si="10"/>
        <v>5</v>
      </c>
      <c r="Q144" s="12" cm="1">
        <f t="array" ref="Q144">INDEX('Treatment-ConceptMap'!U128:Y382,1+O144,P144)</f>
        <v>0</v>
      </c>
    </row>
    <row r="145" spans="14:17" x14ac:dyDescent="0.75">
      <c r="N145" s="11">
        <v>136</v>
      </c>
      <c r="O145" s="11">
        <f t="shared" si="9"/>
        <v>27</v>
      </c>
      <c r="P145" s="11">
        <f t="shared" si="10"/>
        <v>1</v>
      </c>
      <c r="Q145" s="12" cm="1">
        <f t="array" ref="Q145">INDEX('Treatment-ConceptMap'!U129:Y383,1+O145,P145)</f>
        <v>0</v>
      </c>
    </row>
    <row r="146" spans="14:17" x14ac:dyDescent="0.75">
      <c r="N146" s="11">
        <v>137</v>
      </c>
      <c r="O146" s="11">
        <f t="shared" si="9"/>
        <v>27</v>
      </c>
      <c r="P146" s="11">
        <f t="shared" si="10"/>
        <v>2</v>
      </c>
      <c r="Q146" s="12" cm="1">
        <f t="array" ref="Q146">INDEX('Treatment-ConceptMap'!U130:Y384,1+O146,P146)</f>
        <v>0</v>
      </c>
    </row>
    <row r="147" spans="14:17" x14ac:dyDescent="0.75">
      <c r="N147" s="11">
        <v>138</v>
      </c>
      <c r="O147" s="11">
        <f t="shared" si="9"/>
        <v>27</v>
      </c>
      <c r="P147" s="11">
        <f t="shared" si="10"/>
        <v>3</v>
      </c>
      <c r="Q147" s="12" cm="1">
        <f t="array" ref="Q147">INDEX('Treatment-ConceptMap'!U131:Y385,1+O147,P147)</f>
        <v>0</v>
      </c>
    </row>
    <row r="148" spans="14:17" x14ac:dyDescent="0.75">
      <c r="N148" s="11">
        <v>139</v>
      </c>
      <c r="O148" s="11">
        <f t="shared" si="9"/>
        <v>27</v>
      </c>
      <c r="P148" s="11">
        <f t="shared" si="10"/>
        <v>4</v>
      </c>
      <c r="Q148" s="12" cm="1">
        <f t="array" ref="Q148">INDEX('Treatment-ConceptMap'!U132:Y386,1+O148,P148)</f>
        <v>0</v>
      </c>
    </row>
    <row r="149" spans="14:17" x14ac:dyDescent="0.75">
      <c r="N149" s="11">
        <v>140</v>
      </c>
      <c r="O149" s="11">
        <f t="shared" si="9"/>
        <v>27</v>
      </c>
      <c r="P149" s="11">
        <f t="shared" si="10"/>
        <v>5</v>
      </c>
      <c r="Q149" s="12" cm="1">
        <f t="array" ref="Q149">INDEX('Treatment-ConceptMap'!U133:Y387,1+O149,P149)</f>
        <v>0</v>
      </c>
    </row>
    <row r="150" spans="14:17" x14ac:dyDescent="0.75">
      <c r="N150" s="11">
        <v>141</v>
      </c>
      <c r="O150" s="11">
        <f t="shared" si="9"/>
        <v>28</v>
      </c>
      <c r="P150" s="11">
        <f t="shared" si="10"/>
        <v>1</v>
      </c>
      <c r="Q150" s="12" cm="1">
        <f t="array" ref="Q150">INDEX('Treatment-ConceptMap'!U134:Y388,1+O150,P150)</f>
        <v>0</v>
      </c>
    </row>
    <row r="151" spans="14:17" x14ac:dyDescent="0.75">
      <c r="N151" s="11">
        <v>142</v>
      </c>
      <c r="O151" s="11">
        <f t="shared" si="9"/>
        <v>28</v>
      </c>
      <c r="P151" s="11">
        <f t="shared" si="10"/>
        <v>2</v>
      </c>
      <c r="Q151" s="12" cm="1">
        <f t="array" ref="Q151">INDEX('Treatment-ConceptMap'!U135:Y389,1+O151,P151)</f>
        <v>0</v>
      </c>
    </row>
    <row r="152" spans="14:17" x14ac:dyDescent="0.75">
      <c r="N152" s="11">
        <v>143</v>
      </c>
      <c r="O152" s="11">
        <f t="shared" si="9"/>
        <v>28</v>
      </c>
      <c r="P152" s="11">
        <f t="shared" si="10"/>
        <v>3</v>
      </c>
      <c r="Q152" s="12" cm="1">
        <f t="array" ref="Q152">INDEX('Treatment-ConceptMap'!U136:Y390,1+O152,P152)</f>
        <v>0</v>
      </c>
    </row>
    <row r="153" spans="14:17" x14ac:dyDescent="0.75">
      <c r="N153" s="11">
        <v>144</v>
      </c>
      <c r="O153" s="11">
        <f t="shared" si="9"/>
        <v>28</v>
      </c>
      <c r="P153" s="11">
        <f t="shared" si="10"/>
        <v>4</v>
      </c>
      <c r="Q153" s="12" cm="1">
        <f t="array" ref="Q153">INDEX('Treatment-ConceptMap'!U137:Y391,1+O153,P153)</f>
        <v>0</v>
      </c>
    </row>
    <row r="154" spans="14:17" x14ac:dyDescent="0.75">
      <c r="N154" s="11">
        <v>145</v>
      </c>
      <c r="O154" s="11">
        <f t="shared" si="9"/>
        <v>28</v>
      </c>
      <c r="P154" s="11">
        <f t="shared" si="10"/>
        <v>5</v>
      </c>
      <c r="Q154" s="12" cm="1">
        <f t="array" ref="Q154">INDEX('Treatment-ConceptMap'!U138:Y392,1+O154,P154)</f>
        <v>0</v>
      </c>
    </row>
    <row r="155" spans="14:17" x14ac:dyDescent="0.75">
      <c r="N155" s="11">
        <v>146</v>
      </c>
      <c r="O155" s="11">
        <f t="shared" si="9"/>
        <v>29</v>
      </c>
      <c r="P155" s="11">
        <f t="shared" si="10"/>
        <v>1</v>
      </c>
      <c r="Q155" s="12" cm="1">
        <f t="array" ref="Q155">INDEX('Treatment-ConceptMap'!U139:Y393,1+O155,P155)</f>
        <v>0</v>
      </c>
    </row>
    <row r="156" spans="14:17" x14ac:dyDescent="0.75">
      <c r="N156" s="11">
        <v>147</v>
      </c>
      <c r="O156" s="11">
        <f t="shared" si="9"/>
        <v>29</v>
      </c>
      <c r="P156" s="11">
        <f t="shared" si="10"/>
        <v>2</v>
      </c>
      <c r="Q156" s="12" cm="1">
        <f t="array" ref="Q156">INDEX('Treatment-ConceptMap'!U140:Y394,1+O156,P156)</f>
        <v>0</v>
      </c>
    </row>
    <row r="157" spans="14:17" x14ac:dyDescent="0.75">
      <c r="N157" s="11">
        <v>148</v>
      </c>
      <c r="O157" s="11">
        <f t="shared" si="9"/>
        <v>29</v>
      </c>
      <c r="P157" s="11">
        <f t="shared" si="10"/>
        <v>3</v>
      </c>
      <c r="Q157" s="12" cm="1">
        <f t="array" ref="Q157">INDEX('Treatment-ConceptMap'!U141:Y395,1+O157,P157)</f>
        <v>0</v>
      </c>
    </row>
    <row r="158" spans="14:17" x14ac:dyDescent="0.75">
      <c r="N158" s="11">
        <v>149</v>
      </c>
      <c r="O158" s="11">
        <f t="shared" si="9"/>
        <v>29</v>
      </c>
      <c r="P158" s="11">
        <f t="shared" si="10"/>
        <v>4</v>
      </c>
      <c r="Q158" s="12" cm="1">
        <f t="array" ref="Q158">INDEX('Treatment-ConceptMap'!U142:Y396,1+O158,P158)</f>
        <v>0</v>
      </c>
    </row>
    <row r="159" spans="14:17" x14ac:dyDescent="0.75">
      <c r="N159" s="11">
        <v>150</v>
      </c>
      <c r="O159" s="11">
        <f t="shared" si="9"/>
        <v>29</v>
      </c>
      <c r="P159" s="11">
        <f t="shared" si="10"/>
        <v>5</v>
      </c>
      <c r="Q159" s="12" cm="1">
        <f t="array" ref="Q159">INDEX('Treatment-ConceptMap'!U143:Y397,1+O159,P159)</f>
        <v>0</v>
      </c>
    </row>
    <row r="160" spans="14:17" x14ac:dyDescent="0.75">
      <c r="N160" s="11">
        <v>151</v>
      </c>
      <c r="O160" s="11">
        <f t="shared" si="9"/>
        <v>30</v>
      </c>
      <c r="P160" s="11">
        <f t="shared" si="10"/>
        <v>1</v>
      </c>
      <c r="Q160" s="12" cm="1">
        <f t="array" ref="Q160">INDEX('Treatment-ConceptMap'!U144:Y398,1+O160,P160)</f>
        <v>0</v>
      </c>
    </row>
    <row r="161" spans="14:17" x14ac:dyDescent="0.75">
      <c r="N161" s="11">
        <v>152</v>
      </c>
      <c r="O161" s="11">
        <f t="shared" si="9"/>
        <v>30</v>
      </c>
      <c r="P161" s="11">
        <f t="shared" si="10"/>
        <v>2</v>
      </c>
      <c r="Q161" s="12" cm="1">
        <f t="array" ref="Q161">INDEX('Treatment-ConceptMap'!U145:Y399,1+O161,P161)</f>
        <v>0</v>
      </c>
    </row>
    <row r="162" spans="14:17" x14ac:dyDescent="0.75">
      <c r="N162" s="11">
        <v>153</v>
      </c>
      <c r="O162" s="11">
        <f t="shared" si="9"/>
        <v>30</v>
      </c>
      <c r="P162" s="11">
        <f t="shared" si="10"/>
        <v>3</v>
      </c>
      <c r="Q162" s="12" cm="1">
        <f t="array" ref="Q162">INDEX('Treatment-ConceptMap'!U146:Y400,1+O162,P162)</f>
        <v>0</v>
      </c>
    </row>
    <row r="163" spans="14:17" x14ac:dyDescent="0.75">
      <c r="N163" s="11">
        <v>154</v>
      </c>
      <c r="O163" s="11">
        <f t="shared" si="9"/>
        <v>30</v>
      </c>
      <c r="P163" s="11">
        <f t="shared" si="10"/>
        <v>4</v>
      </c>
      <c r="Q163" s="12" cm="1">
        <f t="array" ref="Q163">INDEX('Treatment-ConceptMap'!U147:Y401,1+O163,P163)</f>
        <v>0</v>
      </c>
    </row>
    <row r="164" spans="14:17" x14ac:dyDescent="0.75">
      <c r="N164" s="11">
        <v>155</v>
      </c>
      <c r="O164" s="11">
        <f t="shared" si="9"/>
        <v>30</v>
      </c>
      <c r="P164" s="11">
        <f t="shared" si="10"/>
        <v>5</v>
      </c>
      <c r="Q164" s="12" cm="1">
        <f t="array" ref="Q164">INDEX('Treatment-ConceptMap'!U148:Y402,1+O164,P164)</f>
        <v>0</v>
      </c>
    </row>
    <row r="165" spans="14:17" x14ac:dyDescent="0.75">
      <c r="N165" s="11">
        <v>156</v>
      </c>
      <c r="O165" s="11">
        <f t="shared" si="9"/>
        <v>31</v>
      </c>
      <c r="P165" s="11">
        <f t="shared" si="10"/>
        <v>1</v>
      </c>
      <c r="Q165" s="12" cm="1">
        <f t="array" ref="Q165">INDEX('Treatment-ConceptMap'!U149:Y403,1+O165,P165)</f>
        <v>0</v>
      </c>
    </row>
    <row r="166" spans="14:17" x14ac:dyDescent="0.75">
      <c r="N166" s="11">
        <v>157</v>
      </c>
      <c r="O166" s="11">
        <f t="shared" si="9"/>
        <v>31</v>
      </c>
      <c r="P166" s="11">
        <f t="shared" si="10"/>
        <v>2</v>
      </c>
      <c r="Q166" s="12" cm="1">
        <f t="array" ref="Q166">INDEX('Treatment-ConceptMap'!U150:Y404,1+O166,P166)</f>
        <v>0</v>
      </c>
    </row>
    <row r="167" spans="14:17" x14ac:dyDescent="0.75">
      <c r="N167" s="11">
        <v>158</v>
      </c>
      <c r="O167" s="11">
        <f t="shared" si="9"/>
        <v>31</v>
      </c>
      <c r="P167" s="11">
        <f t="shared" si="10"/>
        <v>3</v>
      </c>
      <c r="Q167" s="12" cm="1">
        <f t="array" ref="Q167">INDEX('Treatment-ConceptMap'!U151:Y405,1+O167,P167)</f>
        <v>0</v>
      </c>
    </row>
    <row r="168" spans="14:17" x14ac:dyDescent="0.75">
      <c r="N168" s="11">
        <v>159</v>
      </c>
      <c r="O168" s="11">
        <f t="shared" si="9"/>
        <v>31</v>
      </c>
      <c r="P168" s="11">
        <f t="shared" si="10"/>
        <v>4</v>
      </c>
      <c r="Q168" s="12" cm="1">
        <f t="array" ref="Q168">INDEX('Treatment-ConceptMap'!U152:Y406,1+O168,P168)</f>
        <v>0</v>
      </c>
    </row>
    <row r="169" spans="14:17" x14ac:dyDescent="0.75">
      <c r="N169" s="11">
        <v>160</v>
      </c>
      <c r="O169" s="11">
        <f t="shared" si="9"/>
        <v>31</v>
      </c>
      <c r="P169" s="11">
        <f t="shared" si="10"/>
        <v>5</v>
      </c>
      <c r="Q169" s="12" cm="1">
        <f t="array" ref="Q169">INDEX('Treatment-ConceptMap'!U153:Y407,1+O169,P169)</f>
        <v>0</v>
      </c>
    </row>
    <row r="170" spans="14:17" x14ac:dyDescent="0.75">
      <c r="N170" s="11">
        <v>161</v>
      </c>
      <c r="O170" s="11">
        <f t="shared" si="9"/>
        <v>32</v>
      </c>
      <c r="P170" s="11">
        <f t="shared" si="10"/>
        <v>1</v>
      </c>
      <c r="Q170" s="12" cm="1">
        <f t="array" ref="Q170">INDEX('Treatment-ConceptMap'!U154:Y408,1+O170,P170)</f>
        <v>0</v>
      </c>
    </row>
    <row r="171" spans="14:17" x14ac:dyDescent="0.75">
      <c r="N171" s="11">
        <v>162</v>
      </c>
      <c r="O171" s="11">
        <f t="shared" si="9"/>
        <v>32</v>
      </c>
      <c r="P171" s="11">
        <f t="shared" si="10"/>
        <v>2</v>
      </c>
      <c r="Q171" s="12" cm="1">
        <f t="array" ref="Q171">INDEX('Treatment-ConceptMap'!U155:Y409,1+O171,P171)</f>
        <v>0</v>
      </c>
    </row>
    <row r="172" spans="14:17" x14ac:dyDescent="0.75">
      <c r="N172" s="11">
        <v>163</v>
      </c>
      <c r="O172" s="11">
        <f t="shared" si="9"/>
        <v>32</v>
      </c>
      <c r="P172" s="11">
        <f t="shared" si="10"/>
        <v>3</v>
      </c>
      <c r="Q172" s="12" cm="1">
        <f t="array" ref="Q172">INDEX('Treatment-ConceptMap'!U156:Y410,1+O172,P172)</f>
        <v>0</v>
      </c>
    </row>
    <row r="173" spans="14:17" x14ac:dyDescent="0.75">
      <c r="N173" s="11">
        <v>164</v>
      </c>
      <c r="O173" s="11">
        <f t="shared" si="9"/>
        <v>32</v>
      </c>
      <c r="P173" s="11">
        <f t="shared" si="10"/>
        <v>4</v>
      </c>
      <c r="Q173" s="12" cm="1">
        <f t="array" ref="Q173">INDEX('Treatment-ConceptMap'!U157:Y411,1+O173,P173)</f>
        <v>0</v>
      </c>
    </row>
    <row r="174" spans="14:17" x14ac:dyDescent="0.75">
      <c r="N174" s="11">
        <v>165</v>
      </c>
      <c r="O174" s="11">
        <f t="shared" si="9"/>
        <v>32</v>
      </c>
      <c r="P174" s="11">
        <f t="shared" si="10"/>
        <v>5</v>
      </c>
      <c r="Q174" s="12" cm="1">
        <f t="array" ref="Q174">INDEX('Treatment-ConceptMap'!U158:Y412,1+O174,P174)</f>
        <v>0</v>
      </c>
    </row>
    <row r="175" spans="14:17" x14ac:dyDescent="0.75">
      <c r="N175" s="11">
        <v>166</v>
      </c>
      <c r="O175" s="11">
        <f t="shared" si="9"/>
        <v>33</v>
      </c>
      <c r="P175" s="11">
        <f t="shared" si="10"/>
        <v>1</v>
      </c>
      <c r="Q175" s="12" cm="1">
        <f t="array" ref="Q175">INDEX('Treatment-ConceptMap'!U159:Y413,1+O175,P175)</f>
        <v>0</v>
      </c>
    </row>
    <row r="176" spans="14:17" x14ac:dyDescent="0.75">
      <c r="N176" s="11">
        <v>167</v>
      </c>
      <c r="O176" s="11">
        <f t="shared" si="9"/>
        <v>33</v>
      </c>
      <c r="P176" s="11">
        <f t="shared" si="10"/>
        <v>2</v>
      </c>
      <c r="Q176" s="12" cm="1">
        <f t="array" ref="Q176">INDEX('Treatment-ConceptMap'!U160:Y414,1+O176,P176)</f>
        <v>0</v>
      </c>
    </row>
    <row r="177" spans="14:17" x14ac:dyDescent="0.75">
      <c r="N177" s="11">
        <v>168</v>
      </c>
      <c r="O177" s="11">
        <f t="shared" si="9"/>
        <v>33</v>
      </c>
      <c r="P177" s="11">
        <f t="shared" si="10"/>
        <v>3</v>
      </c>
      <c r="Q177" s="12" cm="1">
        <f t="array" ref="Q177">INDEX('Treatment-ConceptMap'!U161:Y415,1+O177,P177)</f>
        <v>0</v>
      </c>
    </row>
    <row r="178" spans="14:17" x14ac:dyDescent="0.75">
      <c r="N178" s="11">
        <v>169</v>
      </c>
      <c r="O178" s="11">
        <f t="shared" si="9"/>
        <v>33</v>
      </c>
      <c r="P178" s="11">
        <f t="shared" si="10"/>
        <v>4</v>
      </c>
      <c r="Q178" s="12" cm="1">
        <f t="array" ref="Q178">INDEX('Treatment-ConceptMap'!U162:Y416,1+O178,P178)</f>
        <v>0</v>
      </c>
    </row>
    <row r="179" spans="14:17" x14ac:dyDescent="0.75">
      <c r="N179" s="11">
        <v>170</v>
      </c>
      <c r="O179" s="11">
        <f t="shared" si="9"/>
        <v>33</v>
      </c>
      <c r="P179" s="11">
        <f t="shared" si="10"/>
        <v>5</v>
      </c>
      <c r="Q179" s="12" cm="1">
        <f t="array" ref="Q179">INDEX('Treatment-ConceptMap'!U163:Y417,1+O179,P179)</f>
        <v>0</v>
      </c>
    </row>
    <row r="180" spans="14:17" x14ac:dyDescent="0.75">
      <c r="N180" s="11">
        <v>171</v>
      </c>
      <c r="O180" s="11">
        <f t="shared" si="9"/>
        <v>34</v>
      </c>
      <c r="P180" s="11">
        <f t="shared" si="10"/>
        <v>1</v>
      </c>
      <c r="Q180" s="12" cm="1">
        <f t="array" ref="Q180">INDEX('Treatment-ConceptMap'!U164:Y418,1+O180,P180)</f>
        <v>0</v>
      </c>
    </row>
    <row r="181" spans="14:17" x14ac:dyDescent="0.75">
      <c r="N181" s="11">
        <v>172</v>
      </c>
      <c r="O181" s="11">
        <f t="shared" si="9"/>
        <v>34</v>
      </c>
      <c r="P181" s="11">
        <f t="shared" si="10"/>
        <v>2</v>
      </c>
      <c r="Q181" s="12" cm="1">
        <f t="array" ref="Q181">INDEX('Treatment-ConceptMap'!U165:Y419,1+O181,P181)</f>
        <v>0</v>
      </c>
    </row>
    <row r="182" spans="14:17" x14ac:dyDescent="0.75">
      <c r="N182" s="11">
        <v>173</v>
      </c>
      <c r="O182" s="11">
        <f t="shared" si="9"/>
        <v>34</v>
      </c>
      <c r="P182" s="11">
        <f t="shared" si="10"/>
        <v>3</v>
      </c>
      <c r="Q182" s="12" cm="1">
        <f t="array" ref="Q182">INDEX('Treatment-ConceptMap'!U166:Y420,1+O182,P182)</f>
        <v>0</v>
      </c>
    </row>
    <row r="183" spans="14:17" x14ac:dyDescent="0.75">
      <c r="N183" s="11">
        <v>174</v>
      </c>
      <c r="O183" s="11">
        <f t="shared" si="9"/>
        <v>34</v>
      </c>
      <c r="P183" s="11">
        <f t="shared" si="10"/>
        <v>4</v>
      </c>
      <c r="Q183" s="12" cm="1">
        <f t="array" ref="Q183">INDEX('Treatment-ConceptMap'!U167:Y421,1+O183,P183)</f>
        <v>0</v>
      </c>
    </row>
    <row r="184" spans="14:17" x14ac:dyDescent="0.75">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157</v>
      </c>
    </row>
    <row r="3" spans="2:7" x14ac:dyDescent="0.75">
      <c r="B3" s="25" t="s">
        <v>21</v>
      </c>
    </row>
    <row r="4" spans="2:7" x14ac:dyDescent="0.75">
      <c r="B4" s="54" t="s">
        <v>158</v>
      </c>
    </row>
    <row r="5" spans="2:7" x14ac:dyDescent="0.75">
      <c r="B5" s="54" t="s">
        <v>139</v>
      </c>
    </row>
    <row r="6" spans="2:7" x14ac:dyDescent="0.75">
      <c r="B6" s="54" t="s">
        <v>130</v>
      </c>
    </row>
    <row r="7" spans="2:7" x14ac:dyDescent="0.75">
      <c r="B7" s="54" t="s">
        <v>159</v>
      </c>
    </row>
    <row r="8" spans="2:7" x14ac:dyDescent="0.75">
      <c r="B8" s="54" t="s">
        <v>160</v>
      </c>
    </row>
    <row r="9" spans="2:7" x14ac:dyDescent="0.75">
      <c r="B9" s="54" t="s">
        <v>161</v>
      </c>
    </row>
    <row r="10" spans="2:7" x14ac:dyDescent="0.75">
      <c r="B10" s="54" t="s">
        <v>131</v>
      </c>
    </row>
    <row r="11" spans="2:7" x14ac:dyDescent="0.75">
      <c r="B11" s="54" t="s">
        <v>132</v>
      </c>
    </row>
    <row r="12" spans="2:7" x14ac:dyDescent="0.75">
      <c r="B12" s="54" t="s">
        <v>162</v>
      </c>
    </row>
    <row r="13" spans="2:7" x14ac:dyDescent="0.75">
      <c r="B13" s="54" t="s">
        <v>163</v>
      </c>
    </row>
    <row r="14" spans="2:7" x14ac:dyDescent="0.75">
      <c r="B14" s="58" t="s">
        <v>153</v>
      </c>
    </row>
    <row r="15" spans="2:7" x14ac:dyDescent="0.75">
      <c r="B15" s="58" t="s">
        <v>154</v>
      </c>
    </row>
    <row r="16" spans="2:7" x14ac:dyDescent="0.75">
      <c r="B16" s="54"/>
    </row>
    <row r="17" spans="2:7" x14ac:dyDescent="0.75">
      <c r="B17" s="57" t="s">
        <v>155</v>
      </c>
    </row>
    <row r="18" spans="2:7" x14ac:dyDescent="0.75">
      <c r="B18" s="57" t="s">
        <v>156</v>
      </c>
    </row>
    <row r="19" spans="2:7" x14ac:dyDescent="0.75">
      <c r="B19" s="59"/>
    </row>
    <row r="20" spans="2:7" x14ac:dyDescent="0.75">
      <c r="B20" s="12" t="str">
        <f>IF('Treatment-ConceptMap'!Q10=0,"//---END",'Treatment-ConceptMap'!Q10)</f>
        <v>* group[=].element[+].code = #Treatment</v>
      </c>
    </row>
    <row r="21" spans="2:7" x14ac:dyDescent="0.75">
      <c r="B21" s="12" t="str">
        <f>IF('Treatment-ConceptMap'!Q11=0,"//---END",'Treatment-ConceptMap'!Q11)</f>
        <v>* group[=].element[=].display = ##34#Treatment##34#</v>
      </c>
    </row>
    <row r="22" spans="2:7" x14ac:dyDescent="0.75">
      <c r="B22" s="12" t="e">
        <f>IF('Treatment-ConceptMap'!Q12=0,"//---END",'Treatment-ConceptMap'!Q12)</f>
        <v>#REF!</v>
      </c>
    </row>
    <row r="23" spans="2:7" x14ac:dyDescent="0.75">
      <c r="B23" s="12" t="e">
        <f>IF('Treatment-ConceptMap'!Q13=0,"//---END",'Treatment-ConceptMap'!Q13)</f>
        <v>#REF!</v>
      </c>
    </row>
    <row r="24" spans="2:7" x14ac:dyDescent="0.75">
      <c r="B24" s="12" t="str">
        <f>IF('Treatment-ConceptMap'!Q14=0,"//---END",'Treatment-ConceptMap'!Q14)</f>
        <v>* group[=].element[=].target.equivalence = #equivalent</v>
      </c>
    </row>
    <row r="25" spans="2:7" x14ac:dyDescent="0.75">
      <c r="B25" s="12" t="str">
        <f>IF('Treatment-ConceptMap'!Q15=0,"//---END",'Treatment-ConceptMap'!Q15)</f>
        <v>* group[=].element[+].code = #Treatment.surgery</v>
      </c>
      <c r="G25" s="7"/>
    </row>
    <row r="26" spans="2:7" x14ac:dyDescent="0.75">
      <c r="B26" s="12" t="str">
        <f>IF('Treatment-ConceptMap'!Q16=0,"//---END",'Treatment-ConceptMap'!Q16)</f>
        <v>* group[=].element[=].display = ##34#Surgery ##34#</v>
      </c>
    </row>
    <row r="27" spans="2:7" x14ac:dyDescent="0.75">
      <c r="B27" s="12" t="e">
        <f>IF('Treatment-ConceptMap'!Q17=0,"//---END",'Treatment-ConceptMap'!Q17)</f>
        <v>#REF!</v>
      </c>
    </row>
    <row r="28" spans="2:7" x14ac:dyDescent="0.75">
      <c r="B28" s="12" t="e">
        <f>IF('Treatment-ConceptMap'!Q18=0,"//---END",'Treatment-ConceptMap'!Q18)</f>
        <v>#REF!</v>
      </c>
    </row>
    <row r="29" spans="2:7" x14ac:dyDescent="0.75">
      <c r="B29" s="12" t="str">
        <f>IF('Treatment-ConceptMap'!Q19=0,"//---END",'Treatment-ConceptMap'!Q19)</f>
        <v>* group[=].element[=].target.equivalence = #relatedto</v>
      </c>
    </row>
    <row r="30" spans="2:7" x14ac:dyDescent="0.75">
      <c r="B30" s="12" t="str">
        <f>IF('Treatment-ConceptMap'!Q20=0,"//---END",'Treatment-ConceptMap'!Q20)</f>
        <v>* group[=].element[+].code = #Treatment.surgeryPerformed</v>
      </c>
    </row>
    <row r="31" spans="2:7" x14ac:dyDescent="0.75">
      <c r="B31" s="12" t="str">
        <f>IF('Treatment-ConceptMap'!Q21=0,"//---END",'Treatment-ConceptMap'!Q21)</f>
        <v>* group[=].element[=].display = ##34#Surgery performed##34#</v>
      </c>
    </row>
    <row r="32" spans="2:7" x14ac:dyDescent="0.75">
      <c r="B32" s="12" t="e">
        <f>IF('Treatment-ConceptMap'!Q22=0,"//---END",'Treatment-ConceptMap'!Q22)</f>
        <v>#REF!</v>
      </c>
    </row>
    <row r="33" spans="2:2" x14ac:dyDescent="0.75">
      <c r="B33" s="12" t="e">
        <f>IF('Treatment-ConceptMap'!Q23=0,"//---END",'Treatment-ConceptMap'!Q23)</f>
        <v>#REF!</v>
      </c>
    </row>
    <row r="34" spans="2:2" x14ac:dyDescent="0.75">
      <c r="B34" s="12" t="str">
        <f>IF('Treatment-ConceptMap'!Q24=0,"//---END",'Treatment-ConceptMap'!Q24)</f>
        <v>* group[=].element[=].target.equivalence = #equivalent</v>
      </c>
    </row>
    <row r="35" spans="2:2" x14ac:dyDescent="0.75">
      <c r="B35" s="12" t="str">
        <f>IF('Treatment-ConceptMap'!Q25=0,"//---END",'Treatment-ConceptMap'!Q25)</f>
        <v>* group[=].element[+].code = #Treatment.surgeryIntention</v>
      </c>
    </row>
    <row r="36" spans="2:2" x14ac:dyDescent="0.75">
      <c r="B36" s="12" t="str">
        <f>IF('Treatment-ConceptMap'!Q26=0,"//---END",'Treatment-ConceptMap'!Q26)</f>
        <v>* group[=].element[=].display = ##34#Surgery intention##34#</v>
      </c>
    </row>
    <row r="37" spans="2:2" x14ac:dyDescent="0.75">
      <c r="B37" s="12" t="str">
        <f>IF('Treatment-ConceptMap'!Q27=0,"//---END",'Treatment-ConceptMap'!Q27)</f>
        <v>//-- unmatched</v>
      </c>
    </row>
    <row r="38" spans="2:2" x14ac:dyDescent="0.75">
      <c r="B38" s="12" t="str">
        <f>IF('Treatment-ConceptMap'!Q28=0,"//---END",'Treatment-ConceptMap'!Q28)</f>
        <v>//-- unmatched</v>
      </c>
    </row>
    <row r="39" spans="2:2" x14ac:dyDescent="0.75">
      <c r="B39" s="12" t="str">
        <f>IF('Treatment-ConceptMap'!Q29=0,"//---END",'Treatment-ConceptMap'!Q29)</f>
        <v>* group[=].element[=].target.equivalence = #unmatched</v>
      </c>
    </row>
    <row r="40" spans="2:2" x14ac:dyDescent="0.75">
      <c r="B40" s="12" t="str">
        <f>IF('Treatment-ConceptMap'!Q30=0,"//---END",'Treatment-ConceptMap'!Q30)</f>
        <v>* group[=].element[+].code = #Treatment.tumorSurgeryApproach</v>
      </c>
    </row>
    <row r="41" spans="2:2" x14ac:dyDescent="0.75">
      <c r="B41" s="12" t="str">
        <f>IF('Treatment-ConceptMap'!Q31=0,"//---END",'Treatment-ConceptMap'!Q31)</f>
        <v>* group[=].element[=].display = ##34#Tumor surgery approach##34#</v>
      </c>
    </row>
    <row r="42" spans="2:2" x14ac:dyDescent="0.75">
      <c r="B42" s="12" t="str">
        <f>IF('Treatment-ConceptMap'!Q32=0,"//---END",'Treatment-ConceptMap'!Q32)</f>
        <v>//-- unmatched</v>
      </c>
    </row>
    <row r="43" spans="2:2" x14ac:dyDescent="0.75">
      <c r="B43" s="12" t="str">
        <f>IF('Treatment-ConceptMap'!Q33=0,"//---END",'Treatment-ConceptMap'!Q33)</f>
        <v>//-- unmatched</v>
      </c>
    </row>
    <row r="44" spans="2:2" x14ac:dyDescent="0.75">
      <c r="B44" s="12" t="str">
        <f>IF('Treatment-ConceptMap'!Q34=0,"//---END",'Treatment-ConceptMap'!Q34)</f>
        <v>* group[=].element[=].target.equivalence = #unmatched</v>
      </c>
    </row>
    <row r="45" spans="2:2" x14ac:dyDescent="0.75">
      <c r="B45" s="12" t="str">
        <f>IF('Treatment-ConceptMap'!Q35=0,"//---END",'Treatment-ConceptMap'!Q35)</f>
        <v>* group[=].element[+].code = #Treatment.tumorSurgeryDevice</v>
      </c>
    </row>
    <row r="46" spans="2:2" x14ac:dyDescent="0.75">
      <c r="B46" s="12" t="str">
        <f>IF('Treatment-ConceptMap'!Q36=0,"//---END",'Treatment-ConceptMap'!Q36)</f>
        <v>* group[=].element[=].display = ##34#Tumor surgery device##34#</v>
      </c>
    </row>
    <row r="47" spans="2:2" x14ac:dyDescent="0.75">
      <c r="B47" s="12" t="e">
        <f>IF('Treatment-ConceptMap'!Q37=0,"//---END",'Treatment-ConceptMap'!Q37)</f>
        <v>#REF!</v>
      </c>
    </row>
    <row r="48" spans="2:2" x14ac:dyDescent="0.75">
      <c r="B48" s="12" t="e">
        <f>IF('Treatment-ConceptMap'!Q38=0,"//---END",'Treatment-ConceptMap'!Q38)</f>
        <v>#REF!</v>
      </c>
    </row>
    <row r="49" spans="2:2" x14ac:dyDescent="0.75">
      <c r="B49" s="12" t="str">
        <f>IF('Treatment-ConceptMap'!Q39=0,"//---END",'Treatment-ConceptMap'!Q39)</f>
        <v>* group[=].element[=].target.equivalence = #narrower</v>
      </c>
    </row>
    <row r="50" spans="2:2" x14ac:dyDescent="0.75">
      <c r="B50" s="12" t="str">
        <f>IF('Treatment-ConceptMap'!Q40=0,"//---END",'Treatment-ConceptMap'!Q40)</f>
        <v>* group[=].element[+].code = #Treatment.surgicalProcedure</v>
      </c>
    </row>
    <row r="51" spans="2:2" x14ac:dyDescent="0.75">
      <c r="B51" s="12" t="str">
        <f>IF('Treatment-ConceptMap'!Q41=0,"//---END",'Treatment-ConceptMap'!Q41)</f>
        <v>* group[=].element[=].display = ##34#Surgical procedure##34#</v>
      </c>
    </row>
    <row r="52" spans="2:2" x14ac:dyDescent="0.75">
      <c r="B52" s="12" t="e">
        <f>IF('Treatment-ConceptMap'!Q42=0,"//---END",'Treatment-ConceptMap'!Q42)</f>
        <v>#REF!</v>
      </c>
    </row>
    <row r="53" spans="2:2" x14ac:dyDescent="0.75">
      <c r="B53" s="12" t="e">
        <f>IF('Treatment-ConceptMap'!Q43=0,"//---END",'Treatment-ConceptMap'!Q43)</f>
        <v>#REF!</v>
      </c>
    </row>
    <row r="54" spans="2:2" x14ac:dyDescent="0.75">
      <c r="B54" s="12" t="str">
        <f>IF('Treatment-ConceptMap'!Q44=0,"//---END",'Treatment-ConceptMap'!Q44)</f>
        <v>* group[=].element[=].target.equivalence = #wider</v>
      </c>
    </row>
    <row r="55" spans="2:2" x14ac:dyDescent="0.75">
      <c r="B55" s="12" t="str">
        <f>IF('Treatment-ConceptMap'!Q45=0,"//---END",'Treatment-ConceptMap'!Q45)</f>
        <v>* group[=].element[+].code = #Treatment.surgicalProcedure.surgicalProcedureNasopharynx</v>
      </c>
    </row>
    <row r="56" spans="2:2" x14ac:dyDescent="0.75">
      <c r="B56" s="12" t="str">
        <f>IF('Treatment-ConceptMap'!Q46=0,"//---END",'Treatment-ConceptMap'!Q46)</f>
        <v>* group[=].element[=].display = ##34#Surgical procedure Nasopharynx##34#</v>
      </c>
    </row>
    <row r="57" spans="2:2" x14ac:dyDescent="0.75">
      <c r="B57" s="12" t="str">
        <f>IF('Treatment-ConceptMap'!Q47=0,"//---END",'Treatment-ConceptMap'!Q47)</f>
        <v>//-- unmatched</v>
      </c>
    </row>
    <row r="58" spans="2:2" x14ac:dyDescent="0.75">
      <c r="B58" s="12" t="str">
        <f>IF('Treatment-ConceptMap'!Q48=0,"//---END",'Treatment-ConceptMap'!Q48)</f>
        <v>//-- unmatched</v>
      </c>
    </row>
    <row r="59" spans="2:2" x14ac:dyDescent="0.75">
      <c r="B59" s="12" t="str">
        <f>IF('Treatment-ConceptMap'!Q49=0,"//---END",'Treatment-ConceptMap'!Q49)</f>
        <v>* group[=].element[=].target.equivalence = #unmatched</v>
      </c>
    </row>
    <row r="60" spans="2:2" x14ac:dyDescent="0.75">
      <c r="B60" s="12" t="str">
        <f>IF('Treatment-ConceptMap'!Q50=0,"//---END",'Treatment-ConceptMap'!Q50)</f>
        <v>//---END</v>
      </c>
    </row>
    <row r="61" spans="2:2" x14ac:dyDescent="0.75">
      <c r="B61" s="12" t="str">
        <f>IF('Treatment-ConceptMap'!Q51=0,"//---END",'Treatment-ConceptMap'!Q51)</f>
        <v>//---END</v>
      </c>
    </row>
    <row r="62" spans="2:2" x14ac:dyDescent="0.75">
      <c r="B62" s="12" t="str">
        <f>IF('Treatment-ConceptMap'!Q52=0,"//---END",'Treatment-ConceptMap'!Q52)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47"/>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8" t="e">
        <f>#REF!</f>
        <v>#REF!</v>
      </c>
      <c r="L1" t="s">
        <v>91</v>
      </c>
    </row>
    <row r="2" spans="4:13" x14ac:dyDescent="0.75">
      <c r="I2" s="40" t="e">
        <f>#REF!</f>
        <v>#REF!</v>
      </c>
      <c r="J2" s="40" t="e">
        <f>#REF!</f>
        <v>#REF!</v>
      </c>
      <c r="K2" s="40" t="e">
        <f>#REF!</f>
        <v>#REF!</v>
      </c>
      <c r="L2" s="42" t="s">
        <v>92</v>
      </c>
      <c r="M2" s="42" t="s">
        <v>2</v>
      </c>
    </row>
    <row r="3" spans="4:13" ht="29.5" x14ac:dyDescent="0.75">
      <c r="D3" t="e">
        <f>#REF!</f>
        <v>#REF!</v>
      </c>
      <c r="E3" t="e">
        <f>#REF!</f>
        <v>#REF!</v>
      </c>
      <c r="H3" t="e">
        <f>#REF!</f>
        <v>#REF!</v>
      </c>
      <c r="I3" t="e">
        <f>SUBSTITUTE(#REF!,"_",".")</f>
        <v>#REF!</v>
      </c>
      <c r="J3" t="e">
        <f>#REF!&amp;" ["&amp;#REF!&amp;"]"</f>
        <v>#REF!</v>
      </c>
      <c r="K3" s="2" t="e">
        <f>IF(#REF!="",#REF!,#REF!)&amp;IF(#REF!="","",CHAR(10)&amp;CHAR(13)&amp;"ConceptualDomain: "&amp;#REF!)&amp;CHAR(10)&amp;CHAR(13)&amp;#REF!</f>
        <v>#REF!</v>
      </c>
      <c r="L3" s="39" t="e">
        <f>IF(LEN(#REF!)=9,"1","0")</f>
        <v>#REF!</v>
      </c>
      <c r="M3" t="e">
        <f>IF(#REF!="String","string",IF(#REF!="Date","date",IF(#REF!="Float","decimal",#REF!)))</f>
        <v>#REF!</v>
      </c>
    </row>
    <row r="4" spans="4:13" ht="44.25" x14ac:dyDescent="0.75">
      <c r="D4" t="e">
        <f>#REF!</f>
        <v>#REF!</v>
      </c>
      <c r="E4" t="e">
        <f>#REF!</f>
        <v>#REF!</v>
      </c>
      <c r="H4" t="e">
        <f>#REF!</f>
        <v>#REF!</v>
      </c>
      <c r="I4" t="e">
        <f>SUBSTITUTE(#REF!,"_",".")</f>
        <v>#REF!</v>
      </c>
      <c r="J4" t="e">
        <f>#REF!&amp;" ["&amp;#REF!&amp;"]"</f>
        <v>#REF!</v>
      </c>
      <c r="K4" s="2" t="e">
        <f>IF(#REF!="",#REF!,#REF!)&amp;IF(#REF!="","",CHAR(10)&amp;CHAR(13)&amp;"ConceptualDomain: "&amp;#REF!)&amp;CHAR(10)&amp;CHAR(13)&amp;#REF!</f>
        <v>#REF!</v>
      </c>
      <c r="L4" s="39" t="e">
        <f>IF(LEN(#REF!)=9,"1","0")</f>
        <v>#REF!</v>
      </c>
      <c r="M4" t="e">
        <f>IF(#REF!="String","string",IF(#REF!="Date","date",IF(#REF!="Float","decimal",#REF!)))</f>
        <v>#REF!</v>
      </c>
    </row>
    <row r="5" spans="4:13" ht="44.25" x14ac:dyDescent="0.75">
      <c r="D5" t="e">
        <f>#REF!</f>
        <v>#REF!</v>
      </c>
      <c r="E5" t="e">
        <f>#REF!</f>
        <v>#REF!</v>
      </c>
      <c r="H5" t="e">
        <f>#REF!</f>
        <v>#REF!</v>
      </c>
      <c r="I5" t="e">
        <f>SUBSTITUTE(#REF!,"_",".")</f>
        <v>#REF!</v>
      </c>
      <c r="J5" t="e">
        <f>#REF!&amp;" ["&amp;#REF!&amp;"]"</f>
        <v>#REF!</v>
      </c>
      <c r="K5" s="2" t="e">
        <f>IF(#REF!="",#REF!,#REF!)&amp;IF(#REF!="","",CHAR(10)&amp;CHAR(13)&amp;"ConceptualDomain: "&amp;#REF!)&amp;CHAR(10)&amp;CHAR(13)&amp;#REF!</f>
        <v>#REF!</v>
      </c>
      <c r="L5" s="39" t="e">
        <f>IF(LEN(#REF!)=9,"1","0")</f>
        <v>#REF!</v>
      </c>
      <c r="M5" t="e">
        <f>IF(#REF!="String","string",IF(#REF!="Date","date",IF(#REF!="Float","decimal",#REF!)))</f>
        <v>#REF!</v>
      </c>
    </row>
    <row r="6" spans="4:13" x14ac:dyDescent="0.75">
      <c r="D6" t="e">
        <f>#REF!</f>
        <v>#REF!</v>
      </c>
      <c r="E6" t="e">
        <f>#REF!</f>
        <v>#REF!</v>
      </c>
      <c r="H6" t="e">
        <f>#REF!</f>
        <v>#REF!</v>
      </c>
      <c r="I6" t="e">
        <f>SUBSTITUTE(#REF!,"_",".")</f>
        <v>#REF!</v>
      </c>
      <c r="J6" t="e">
        <f>#REF!&amp;" ["&amp;#REF!&amp;"]"</f>
        <v>#REF!</v>
      </c>
      <c r="K6" s="2" t="e">
        <f>IF(#REF!="",#REF!,#REF!)&amp;IF(#REF!="","",CHAR(10)&amp;CHAR(13)&amp;"ConceptualDomain: "&amp;#REF!)&amp;CHAR(10)&amp;CHAR(13)&amp;#REF!</f>
        <v>#REF!</v>
      </c>
      <c r="L6" s="39" t="e">
        <f>IF(LEN(#REF!)=9,"1","0")</f>
        <v>#REF!</v>
      </c>
      <c r="M6" t="e">
        <f>IF(#REF!="String","string",IF(#REF!="Date","date",IF(#REF!="Float","decimal",#REF!)))</f>
        <v>#REF!</v>
      </c>
    </row>
    <row r="7" spans="4:13" x14ac:dyDescent="0.75">
      <c r="D7" t="e">
        <f>#REF!</f>
        <v>#REF!</v>
      </c>
      <c r="E7" t="e">
        <f>#REF!</f>
        <v>#REF!</v>
      </c>
      <c r="H7" t="e">
        <f>#REF!</f>
        <v>#REF!</v>
      </c>
      <c r="I7" t="e">
        <f>SUBSTITUTE(#REF!,"_",".")</f>
        <v>#REF!</v>
      </c>
      <c r="J7" t="e">
        <f>#REF!&amp;" ["&amp;#REF!&amp;"]"</f>
        <v>#REF!</v>
      </c>
      <c r="K7" s="2" t="e">
        <f>IF(#REF!="",#REF!,#REF!)&amp;IF(#REF!="","",CHAR(10)&amp;CHAR(13)&amp;"ConceptualDomain: "&amp;#REF!)&amp;CHAR(10)&amp;CHAR(13)&amp;#REF!</f>
        <v>#REF!</v>
      </c>
      <c r="L7" s="39" t="e">
        <f>IF(LEN(#REF!)=9,"1","0")</f>
        <v>#REF!</v>
      </c>
      <c r="M7" t="e">
        <f>IF(#REF!="String","string",IF(#REF!="Date","date",IF(#REF!="Float","decimal",#REF!)))</f>
        <v>#REF!</v>
      </c>
    </row>
    <row r="8" spans="4:13" x14ac:dyDescent="0.75">
      <c r="D8" t="e">
        <f>#REF!</f>
        <v>#REF!</v>
      </c>
      <c r="E8" t="e">
        <f>#REF!</f>
        <v>#REF!</v>
      </c>
      <c r="H8" t="e">
        <f>#REF!</f>
        <v>#REF!</v>
      </c>
      <c r="I8" t="e">
        <f>SUBSTITUTE(#REF!,"_",".")</f>
        <v>#REF!</v>
      </c>
      <c r="J8" t="e">
        <f>#REF!&amp;" ["&amp;#REF!&amp;"]"</f>
        <v>#REF!</v>
      </c>
      <c r="K8" s="2" t="e">
        <f>IF(#REF!="",#REF!,#REF!)&amp;IF(#REF!="","",CHAR(10)&amp;CHAR(13)&amp;"ConceptualDomain: "&amp;#REF!)&amp;CHAR(10)&amp;CHAR(13)&amp;#REF!</f>
        <v>#REF!</v>
      </c>
      <c r="L8" s="39" t="e">
        <f>IF(LEN(#REF!)=9,"1","0")</f>
        <v>#REF!</v>
      </c>
      <c r="M8" t="e">
        <f>IF(#REF!="String","string",IF(#REF!="Date","date",IF(#REF!="Float","decimal",#REF!)))</f>
        <v>#REF!</v>
      </c>
    </row>
    <row r="9" spans="4:13" x14ac:dyDescent="0.75">
      <c r="D9" t="e">
        <f>#REF!</f>
        <v>#REF!</v>
      </c>
      <c r="E9" t="e">
        <f>#REF!</f>
        <v>#REF!</v>
      </c>
      <c r="H9" t="e">
        <f>#REF!</f>
        <v>#REF!</v>
      </c>
      <c r="I9" t="e">
        <f>SUBSTITUTE(#REF!,"_",".")</f>
        <v>#REF!</v>
      </c>
      <c r="J9" t="e">
        <f>#REF!&amp;" ["&amp;#REF!&amp;"]"</f>
        <v>#REF!</v>
      </c>
      <c r="K9" s="2" t="e">
        <f>IF(#REF!="",#REF!,#REF!)&amp;IF(#REF!="","",CHAR(10)&amp;CHAR(13)&amp;"ConceptualDomain: "&amp;#REF!)&amp;CHAR(10)&amp;CHAR(13)&amp;#REF!</f>
        <v>#REF!</v>
      </c>
      <c r="L9" s="39" t="e">
        <f>IF(LEN(#REF!)=9,"1","0")</f>
        <v>#REF!</v>
      </c>
      <c r="M9" t="e">
        <f>IF(#REF!="String","string",IF(#REF!="Date","date",IF(#REF!="Float","decimal",#REF!)))</f>
        <v>#REF!</v>
      </c>
    </row>
    <row r="10" spans="4:13" x14ac:dyDescent="0.75">
      <c r="D10" t="e">
        <f>#REF!</f>
        <v>#REF!</v>
      </c>
      <c r="E10" t="e">
        <f>#REF!</f>
        <v>#REF!</v>
      </c>
      <c r="H10" t="e">
        <f>#REF!</f>
        <v>#REF!</v>
      </c>
      <c r="I10" t="e">
        <f>SUBSTITUTE(#REF!,"_",".")</f>
        <v>#REF!</v>
      </c>
      <c r="J10" t="e">
        <f>#REF!&amp;" ["&amp;#REF!&amp;"]"</f>
        <v>#REF!</v>
      </c>
      <c r="K10" s="2" t="e">
        <f>IF(#REF!="",#REF!,#REF!)&amp;IF(#REF!="","",CHAR(10)&amp;CHAR(13)&amp;"ConceptualDomain: "&amp;#REF!)&amp;CHAR(10)&amp;CHAR(13)&amp;#REF!</f>
        <v>#REF!</v>
      </c>
      <c r="L10" s="39" t="e">
        <f>IF(LEN(#REF!)=9,"1","0")</f>
        <v>#REF!</v>
      </c>
      <c r="M10" t="e">
        <f>IF(#REF!="String","string",IF(#REF!="Date","date",IF(#REF!="Float","decimal",#REF!)))</f>
        <v>#REF!</v>
      </c>
    </row>
    <row r="11" spans="4:13" x14ac:dyDescent="0.75">
      <c r="D11" t="e">
        <f>#REF!</f>
        <v>#REF!</v>
      </c>
      <c r="E11" t="e">
        <f>#REF!</f>
        <v>#REF!</v>
      </c>
      <c r="H11" t="e">
        <f>#REF!</f>
        <v>#REF!</v>
      </c>
      <c r="I11" t="e">
        <f>SUBSTITUTE(#REF!,"_",".")</f>
        <v>#REF!</v>
      </c>
      <c r="J11" t="e">
        <f>#REF!&amp;" ["&amp;#REF!&amp;"]"</f>
        <v>#REF!</v>
      </c>
      <c r="K11" s="2" t="e">
        <f>IF(#REF!="",#REF!,#REF!)&amp;IF(#REF!="","",CHAR(10)&amp;CHAR(13)&amp;"ConceptualDomain: "&amp;#REF!)&amp;CHAR(10)&amp;CHAR(13)&amp;#REF!</f>
        <v>#REF!</v>
      </c>
      <c r="L11" s="39" t="e">
        <f>IF(LEN(#REF!)=9,"1","0")</f>
        <v>#REF!</v>
      </c>
      <c r="M11" t="e">
        <f>IF(#REF!="String","string",IF(#REF!="Date","date",IF(#REF!="Float","decimal",#REF!)))</f>
        <v>#REF!</v>
      </c>
    </row>
    <row r="12" spans="4:13" x14ac:dyDescent="0.75">
      <c r="D12" t="e">
        <f>#REF!</f>
        <v>#REF!</v>
      </c>
      <c r="E12" t="e">
        <f>#REF!</f>
        <v>#REF!</v>
      </c>
      <c r="H12" t="e">
        <f>#REF!</f>
        <v>#REF!</v>
      </c>
      <c r="I12" t="e">
        <f>SUBSTITUTE(#REF!,"_",".")</f>
        <v>#REF!</v>
      </c>
      <c r="J12" t="e">
        <f>#REF!&amp;" ["&amp;#REF!&amp;"]"</f>
        <v>#REF!</v>
      </c>
      <c r="K12" s="2" t="e">
        <f>IF(#REF!="",#REF!,#REF!)&amp;IF(#REF!="","",CHAR(10)&amp;CHAR(13)&amp;"ConceptualDomain: "&amp;#REF!)&amp;CHAR(10)&amp;CHAR(13)&amp;#REF!</f>
        <v>#REF!</v>
      </c>
      <c r="L12" s="39" t="e">
        <f>IF(LEN(#REF!)=9,"1","0")</f>
        <v>#REF!</v>
      </c>
      <c r="M12" t="e">
        <f>IF(#REF!="String","string",IF(#REF!="Date","date",IF(#REF!="Float","decimal",#REF!)))</f>
        <v>#REF!</v>
      </c>
    </row>
    <row r="13" spans="4:13" x14ac:dyDescent="0.75">
      <c r="D13" t="e">
        <f>#REF!</f>
        <v>#REF!</v>
      </c>
      <c r="E13" t="e">
        <f>#REF!</f>
        <v>#REF!</v>
      </c>
      <c r="H13" t="e">
        <f>#REF!</f>
        <v>#REF!</v>
      </c>
      <c r="I13" s="40" t="e">
        <f>#REF!</f>
        <v>#REF!</v>
      </c>
      <c r="J13" s="40" t="e">
        <f>#REF!</f>
        <v>#REF!</v>
      </c>
      <c r="K13" s="40" t="e">
        <f>#REF!</f>
        <v>#REF!</v>
      </c>
      <c r="L13" s="41">
        <v>1</v>
      </c>
      <c r="M13" s="42" t="s">
        <v>2</v>
      </c>
    </row>
    <row r="14" spans="4:13" x14ac:dyDescent="0.75">
      <c r="D14" t="e">
        <f>#REF!</f>
        <v>#REF!</v>
      </c>
      <c r="E14" t="e">
        <f>#REF!</f>
        <v>#REF!</v>
      </c>
      <c r="H14" t="e">
        <f>#REF!</f>
        <v>#REF!</v>
      </c>
      <c r="I14" t="e">
        <f>SUBSTITUTE(#REF!,"_",".")</f>
        <v>#REF!</v>
      </c>
      <c r="J14" t="e">
        <f>#REF!&amp;" ["&amp;#REF!&amp;"]"</f>
        <v>#REF!</v>
      </c>
      <c r="K14" s="2" t="e">
        <f>IF(#REF!="",#REF!,#REF!)&amp;IF(#REF!="","",CHAR(10)&amp;CHAR(13)&amp;"ConceptualDomain: "&amp;#REF!)&amp;CHAR(10)&amp;CHAR(13)&amp;#REF!</f>
        <v>#REF!</v>
      </c>
      <c r="L14" s="39" t="e">
        <f>IF(LEN(#REF!)=9,"1","0")</f>
        <v>#REF!</v>
      </c>
      <c r="M14" t="e">
        <f>IF(#REF!="String","string",IF(#REF!="Date","date",IF(#REF!="Float","decimal",#REF!)))</f>
        <v>#REF!</v>
      </c>
    </row>
    <row r="15" spans="4:13" x14ac:dyDescent="0.75">
      <c r="D15" t="e">
        <f>#REF!</f>
        <v>#REF!</v>
      </c>
      <c r="H15" t="e">
        <f>#REF!</f>
        <v>#REF!</v>
      </c>
      <c r="I15" t="e">
        <f>SUBSTITUTE(#REF!,"_",".")</f>
        <v>#REF!</v>
      </c>
      <c r="J15" t="e">
        <f>#REF!&amp;" ["&amp;#REF!&amp;"]"</f>
        <v>#REF!</v>
      </c>
      <c r="K15" s="2" t="e">
        <f>IF(#REF!="",#REF!,#REF!)&amp;IF(#REF!="","",CHAR(10)&amp;CHAR(13)&amp;"ConceptualDomain: "&amp;#REF!)&amp;CHAR(10)&amp;CHAR(13)&amp;#REF!</f>
        <v>#REF!</v>
      </c>
      <c r="L15" s="39" t="e">
        <f>IF(LEN(#REF!)=9,"1","0")</f>
        <v>#REF!</v>
      </c>
      <c r="M15" t="e">
        <f>IF(#REF!="String","string",IF(#REF!="Date","date",IF(#REF!="Float","decimal",#REF!)))</f>
        <v>#REF!</v>
      </c>
    </row>
    <row r="16" spans="4:13" x14ac:dyDescent="0.75">
      <c r="D16" t="e">
        <f>#REF!</f>
        <v>#REF!</v>
      </c>
      <c r="H16" t="e">
        <f>#REF!</f>
        <v>#REF!</v>
      </c>
      <c r="I16" s="40" t="s">
        <v>63</v>
      </c>
      <c r="J16" s="40" t="s">
        <v>63</v>
      </c>
      <c r="K16" s="40" t="s">
        <v>63</v>
      </c>
      <c r="L16" s="41">
        <v>0</v>
      </c>
      <c r="M16" s="42" t="s">
        <v>2</v>
      </c>
    </row>
    <row r="17" spans="4:13" x14ac:dyDescent="0.75">
      <c r="D17" t="e">
        <f>#REF!</f>
        <v>#REF!</v>
      </c>
      <c r="H17" t="e">
        <f>#REF!</f>
        <v>#REF!</v>
      </c>
      <c r="I17" t="e">
        <f>SUBSTITUTE(#REF!,"_",".")</f>
        <v>#REF!</v>
      </c>
      <c r="J17" t="e">
        <f>#REF!&amp;" ["&amp;#REF!&amp;"]"</f>
        <v>#REF!</v>
      </c>
      <c r="K17" s="2" t="e">
        <f>IF(#REF!="",#REF!,#REF!)&amp;IF(#REF!="","",CHAR(10)&amp;CHAR(13)&amp;"ConceptualDomain: "&amp;#REF!)&amp;CHAR(10)&amp;CHAR(13)&amp;#REF!</f>
        <v>#REF!</v>
      </c>
      <c r="L17" s="39" t="e">
        <f>IF(LEN(#REF!)=9,"1","0")</f>
        <v>#REF!</v>
      </c>
      <c r="M17" t="e">
        <f>IF(#REF!="String","string",IF(#REF!="Date","date",#REF!))</f>
        <v>#REF!</v>
      </c>
    </row>
    <row r="18" spans="4:13" x14ac:dyDescent="0.75">
      <c r="D18" t="e">
        <f>#REF!</f>
        <v>#REF!</v>
      </c>
      <c r="H18" t="e">
        <f>#REF!</f>
        <v>#REF!</v>
      </c>
      <c r="I18" t="e">
        <f>SUBSTITUTE(#REF!,"_",".")</f>
        <v>#REF!</v>
      </c>
      <c r="J18" t="e">
        <f>#REF!&amp;" ["&amp;#REF!&amp;"]"</f>
        <v>#REF!</v>
      </c>
      <c r="K18" s="2" t="e">
        <f>IF(#REF!="",#REF!,#REF!)&amp;IF(#REF!="","",CHAR(10)&amp;CHAR(13)&amp;"ConceptualDomain: "&amp;#REF!)&amp;CHAR(10)&amp;CHAR(13)&amp;#REF!</f>
        <v>#REF!</v>
      </c>
      <c r="L18" s="39" t="e">
        <f>IF(LEN(#REF!)=9,"1","0")</f>
        <v>#REF!</v>
      </c>
      <c r="M18" t="e">
        <f>IF(#REF!="String","string",IF(#REF!="Date","date",#REF!))</f>
        <v>#REF!</v>
      </c>
    </row>
    <row r="19" spans="4:13" x14ac:dyDescent="0.75">
      <c r="D19" t="e">
        <f>#REF!</f>
        <v>#REF!</v>
      </c>
      <c r="H19" t="e">
        <f>#REF!</f>
        <v>#REF!</v>
      </c>
      <c r="I19" t="e">
        <f>SUBSTITUTE(#REF!,"_",".")</f>
        <v>#REF!</v>
      </c>
      <c r="J19" t="e">
        <f>#REF!&amp;" ["&amp;#REF!&amp;"]"</f>
        <v>#REF!</v>
      </c>
      <c r="K19" s="2" t="e">
        <f>IF(#REF!="",#REF!,#REF!)&amp;IF(#REF!="","",CHAR(10)&amp;CHAR(13)&amp;"ConceptualDomain: "&amp;#REF!)&amp;CHAR(10)&amp;CHAR(13)&amp;#REF!</f>
        <v>#REF!</v>
      </c>
      <c r="L19" s="39" t="e">
        <f>IF(LEN(#REF!)=9,"1","0")</f>
        <v>#REF!</v>
      </c>
      <c r="M19" t="e">
        <f>IF(#REF!="String","string",IF(#REF!="Date","date",#REF!))</f>
        <v>#REF!</v>
      </c>
    </row>
    <row r="20" spans="4:13" x14ac:dyDescent="0.75">
      <c r="D20" t="e">
        <f>#REF!</f>
        <v>#REF!</v>
      </c>
      <c r="H20" t="e">
        <f>#REF!</f>
        <v>#REF!</v>
      </c>
      <c r="I20" s="40" t="s">
        <v>65</v>
      </c>
      <c r="J20" s="40" t="s">
        <v>65</v>
      </c>
      <c r="K20" s="40" t="s">
        <v>65</v>
      </c>
      <c r="L20" s="41">
        <v>0</v>
      </c>
      <c r="M20" s="42" t="s">
        <v>2</v>
      </c>
    </row>
    <row r="21" spans="4:13" x14ac:dyDescent="0.75">
      <c r="D21" t="e">
        <f>#REF!</f>
        <v>#REF!</v>
      </c>
      <c r="H21" t="e">
        <f>#REF!</f>
        <v>#REF!</v>
      </c>
      <c r="I21" t="e">
        <f>SUBSTITUTE(#REF!,"_",".")</f>
        <v>#REF!</v>
      </c>
      <c r="J21" t="e">
        <f>#REF!&amp;" ["&amp;#REF!&amp;"]"</f>
        <v>#REF!</v>
      </c>
      <c r="K21" s="2" t="e">
        <f>IF(#REF!="",#REF!,#REF!)&amp;IF(#REF!="","",CHAR(10)&amp;CHAR(13)&amp;"ConceptualDomain: "&amp;#REF!)&amp;CHAR(10)&amp;CHAR(13)&amp;#REF!</f>
        <v>#REF!</v>
      </c>
      <c r="L21" s="39" t="e">
        <f>IF(LEN(#REF!)=9,"1","0")</f>
        <v>#REF!</v>
      </c>
      <c r="M21" t="e">
        <f>IF(#REF!="String","string",IF(#REF!="Date","date",#REF!))</f>
        <v>#REF!</v>
      </c>
    </row>
    <row r="22" spans="4:13" x14ac:dyDescent="0.75">
      <c r="D22" t="e">
        <f>#REF!</f>
        <v>#REF!</v>
      </c>
      <c r="H22" t="e">
        <f>#REF!</f>
        <v>#REF!</v>
      </c>
      <c r="I22" t="e">
        <f>SUBSTITUTE(#REF!,"_",".")</f>
        <v>#REF!</v>
      </c>
      <c r="J22" t="e">
        <f>#REF!&amp;" ["&amp;#REF!&amp;"]"</f>
        <v>#REF!</v>
      </c>
      <c r="K22" s="2" t="e">
        <f>IF(#REF!="",#REF!,#REF!)&amp;IF(#REF!="","",CHAR(10)&amp;CHAR(13)&amp;"ConceptualDomain: "&amp;#REF!)&amp;CHAR(10)&amp;CHAR(13)&amp;#REF!</f>
        <v>#REF!</v>
      </c>
      <c r="L22" s="39" t="e">
        <f>IF(LEN(#REF!)=9,"1","0")</f>
        <v>#REF!</v>
      </c>
      <c r="M22" t="e">
        <f>IF(#REF!="String","string",IF(#REF!="Date","date",#REF!))</f>
        <v>#REF!</v>
      </c>
    </row>
    <row r="23" spans="4:13" x14ac:dyDescent="0.75">
      <c r="D23" t="e">
        <f>#REF!</f>
        <v>#REF!</v>
      </c>
      <c r="H23" t="e">
        <f>#REF!</f>
        <v>#REF!</v>
      </c>
      <c r="I23" s="40" t="s">
        <v>66</v>
      </c>
      <c r="J23" s="40" t="s">
        <v>66</v>
      </c>
      <c r="K23" s="40" t="s">
        <v>66</v>
      </c>
      <c r="L23" s="41">
        <v>1</v>
      </c>
      <c r="M23" s="42" t="s">
        <v>2</v>
      </c>
    </row>
    <row r="24" spans="4:13" x14ac:dyDescent="0.75">
      <c r="D24" t="e">
        <f>#REF!</f>
        <v>#REF!</v>
      </c>
      <c r="H24" t="e">
        <f>#REF!</f>
        <v>#REF!</v>
      </c>
      <c r="I24" t="e">
        <f>SUBSTITUTE(#REF!,"_",".")</f>
        <v>#REF!</v>
      </c>
      <c r="J24" t="e">
        <f>#REF!&amp;" ["&amp;#REF!&amp;"]"</f>
        <v>#REF!</v>
      </c>
      <c r="K24" s="2" t="e">
        <f>IF(#REF!="",#REF!,#REF!)&amp;IF(#REF!="","",CHAR(10)&amp;CHAR(13)&amp;"ConceptualDomain: "&amp;#REF!)&amp;CHAR(10)&amp;CHAR(13)&amp;#REF!</f>
        <v>#REF!</v>
      </c>
      <c r="L24" s="39" t="e">
        <f>IF(LEN(#REF!)=9,"1","0")</f>
        <v>#REF!</v>
      </c>
      <c r="M24" t="e">
        <f>IF(#REF!="String","string",IF(#REF!="Date","date",#REF!))</f>
        <v>#REF!</v>
      </c>
    </row>
    <row r="25" spans="4:13" x14ac:dyDescent="0.75">
      <c r="D25" t="e">
        <f>#REF!</f>
        <v>#REF!</v>
      </c>
      <c r="H25" t="e">
        <f>#REF!</f>
        <v>#REF!</v>
      </c>
      <c r="I25" t="e">
        <f>SUBSTITUTE(#REF!,"_",".")</f>
        <v>#REF!</v>
      </c>
      <c r="J25" t="e">
        <f>#REF!&amp;" ["&amp;#REF!&amp;"]"</f>
        <v>#REF!</v>
      </c>
      <c r="K25" s="2" t="e">
        <f>IF(#REF!="",#REF!,#REF!)&amp;IF(#REF!="","",CHAR(10)&amp;CHAR(13)&amp;"ConceptualDomain: "&amp;#REF!)&amp;CHAR(10)&amp;CHAR(13)&amp;#REF!</f>
        <v>#REF!</v>
      </c>
      <c r="L25" s="39" t="e">
        <f>IF(LEN(#REF!)=9,"1","0")</f>
        <v>#REF!</v>
      </c>
      <c r="M25" t="e">
        <f>IF(#REF!="String","string",IF(#REF!="Date","date",#REF!))</f>
        <v>#REF!</v>
      </c>
    </row>
    <row r="26" spans="4:13" x14ac:dyDescent="0.75">
      <c r="D26" t="e">
        <f>#REF!</f>
        <v>#REF!</v>
      </c>
      <c r="H26" t="e">
        <f>#REF!</f>
        <v>#REF!</v>
      </c>
      <c r="I26" t="e">
        <f>SUBSTITUTE(#REF!,"_",".")</f>
        <v>#REF!</v>
      </c>
      <c r="J26" t="e">
        <f>#REF!&amp;" ["&amp;#REF!&amp;"]"</f>
        <v>#REF!</v>
      </c>
      <c r="K26" s="2" t="e">
        <f>IF(#REF!="",#REF!,#REF!)&amp;IF(#REF!="","",CHAR(10)&amp;CHAR(13)&amp;"ConceptualDomain: "&amp;#REF!)&amp;CHAR(10)&amp;CHAR(13)&amp;#REF!</f>
        <v>#REF!</v>
      </c>
      <c r="L26" s="39" t="e">
        <f>IF(LEN(#REF!)=9,"1","0")</f>
        <v>#REF!</v>
      </c>
      <c r="M26" t="e">
        <f>IF(#REF!="String","string",IF(#REF!="Date","date",#REF!))</f>
        <v>#REF!</v>
      </c>
    </row>
    <row r="27" spans="4:13" x14ac:dyDescent="0.75">
      <c r="D27" t="e">
        <f>#REF!</f>
        <v>#REF!</v>
      </c>
      <c r="H27" t="e">
        <f>#REF!</f>
        <v>#REF!</v>
      </c>
      <c r="I27" t="e">
        <f>SUBSTITUTE(#REF!,"_",".")</f>
        <v>#REF!</v>
      </c>
      <c r="J27" t="e">
        <f>#REF!&amp;" ["&amp;#REF!&amp;"]"</f>
        <v>#REF!</v>
      </c>
      <c r="K27" s="2" t="e">
        <f>IF(#REF!="",#REF!,#REF!)&amp;IF(#REF!="","",CHAR(10)&amp;CHAR(13)&amp;"ConceptualDomain: "&amp;#REF!)&amp;CHAR(10)&amp;CHAR(13)&amp;#REF!</f>
        <v>#REF!</v>
      </c>
      <c r="L27" s="39" t="e">
        <f>IF(LEN(#REF!)=9,"1","0")</f>
        <v>#REF!</v>
      </c>
      <c r="M27" t="e">
        <f>IF(#REF!="String","string",IF(#REF!="Date","date",#REF!))</f>
        <v>#REF!</v>
      </c>
    </row>
    <row r="28" spans="4:13" x14ac:dyDescent="0.75">
      <c r="D28" t="e">
        <f>#REF!</f>
        <v>#REF!</v>
      </c>
      <c r="H28" t="e">
        <f>#REF!</f>
        <v>#REF!</v>
      </c>
      <c r="I28" t="e">
        <f>SUBSTITUTE(#REF!,"_",".")</f>
        <v>#REF!</v>
      </c>
      <c r="J28" t="e">
        <f>#REF!&amp;" ["&amp;#REF!&amp;"]"</f>
        <v>#REF!</v>
      </c>
      <c r="K28" s="2" t="e">
        <f>IF(#REF!="",#REF!,#REF!)&amp;IF(#REF!="","",CHAR(10)&amp;CHAR(13)&amp;"ConceptualDomain: "&amp;#REF!)&amp;CHAR(10)&amp;CHAR(13)&amp;#REF!</f>
        <v>#REF!</v>
      </c>
      <c r="L28" s="39" t="e">
        <f>IF(LEN(#REF!)=9,"1","0")</f>
        <v>#REF!</v>
      </c>
      <c r="M28" t="e">
        <f>IF(#REF!="String","string",IF(#REF!="Date","date",IF(#REF!="Integer","integer",#REF!)))</f>
        <v>#REF!</v>
      </c>
    </row>
    <row r="29" spans="4:13" x14ac:dyDescent="0.75">
      <c r="D29" t="e">
        <f>#REF!</f>
        <v>#REF!</v>
      </c>
      <c r="H29" t="e">
        <f>#REF!</f>
        <v>#REF!</v>
      </c>
      <c r="I29" t="e">
        <f>SUBSTITUTE(#REF!,"_",".")</f>
        <v>#REF!</v>
      </c>
      <c r="J29" t="e">
        <f>#REF!&amp;" ["&amp;#REF!&amp;"]"</f>
        <v>#REF!</v>
      </c>
      <c r="K29" s="2" t="e">
        <f>IF(#REF!="",#REF!,#REF!)&amp;IF(#REF!="","",CHAR(10)&amp;CHAR(13)&amp;"ConceptualDomain: "&amp;#REF!)&amp;CHAR(10)&amp;CHAR(13)&amp;#REF!</f>
        <v>#REF!</v>
      </c>
      <c r="L29" s="39" t="e">
        <f>IF(LEN(#REF!)=9,"1","0")</f>
        <v>#REF!</v>
      </c>
      <c r="M29" t="e">
        <f>IF(#REF!="String","string",IF(#REF!="Date","date",IF(#REF!="Integer","integer",#REF!)))</f>
        <v>#REF!</v>
      </c>
    </row>
    <row r="30" spans="4:13" x14ac:dyDescent="0.75">
      <c r="D30" t="e">
        <f>#REF!</f>
        <v>#REF!</v>
      </c>
      <c r="H30" t="e">
        <f>#REF!</f>
        <v>#REF!</v>
      </c>
      <c r="I30" t="e">
        <f>SUBSTITUTE(#REF!,"_",".")</f>
        <v>#REF!</v>
      </c>
      <c r="J30" t="e">
        <f>#REF!&amp;" ["&amp;#REF!&amp;"]"</f>
        <v>#REF!</v>
      </c>
      <c r="K30" s="2" t="e">
        <f>IF(#REF!="",#REF!,#REF!)&amp;IF(#REF!="","",CHAR(10)&amp;CHAR(13)&amp;"ConceptualDomain: "&amp;#REF!)&amp;CHAR(10)&amp;CHAR(13)&amp;#REF!</f>
        <v>#REF!</v>
      </c>
      <c r="L30" s="39" t="e">
        <f>IF(LEN(#REF!)=9,"1","0")</f>
        <v>#REF!</v>
      </c>
      <c r="M30" t="e">
        <f>IF(#REF!="String","string",IF(#REF!="Date","date",IF(#REF!="Integer","integer",#REF!)))</f>
        <v>#REF!</v>
      </c>
    </row>
    <row r="31" spans="4:13" x14ac:dyDescent="0.75">
      <c r="D31" t="e">
        <f>#REF!</f>
        <v>#REF!</v>
      </c>
      <c r="H31" t="e">
        <f>#REF!</f>
        <v>#REF!</v>
      </c>
      <c r="I31" t="e">
        <f>SUBSTITUTE(#REF!,"_",".")</f>
        <v>#REF!</v>
      </c>
      <c r="J31" t="e">
        <f>#REF!&amp;" ["&amp;#REF!&amp;"]"</f>
        <v>#REF!</v>
      </c>
      <c r="K31" s="2" t="e">
        <f>IF(#REF!="",#REF!,#REF!)&amp;IF(#REF!="","",CHAR(10)&amp;CHAR(13)&amp;"ConceptualDomain: "&amp;#REF!)&amp;CHAR(10)&amp;CHAR(13)&amp;#REF!</f>
        <v>#REF!</v>
      </c>
      <c r="L31" s="39" t="e">
        <f>IF(LEN(#REF!)=9,"1","0")</f>
        <v>#REF!</v>
      </c>
      <c r="M31" t="e">
        <f>IF(#REF!="String","string",IF(#REF!="Date","date",IF(#REF!="Integer","integer",#REF!)))</f>
        <v>#REF!</v>
      </c>
    </row>
    <row r="32" spans="4:13" x14ac:dyDescent="0.75">
      <c r="D32" t="e">
        <f>#REF!</f>
        <v>#REF!</v>
      </c>
      <c r="H32" t="e">
        <f>#REF!</f>
        <v>#REF!</v>
      </c>
      <c r="I32" t="e">
        <f>SUBSTITUTE(#REF!,"_",".")</f>
        <v>#REF!</v>
      </c>
      <c r="J32" t="e">
        <f>#REF!&amp;" ["&amp;#REF!&amp;"]"</f>
        <v>#REF!</v>
      </c>
      <c r="K32" s="2" t="e">
        <f>IF(#REF!="",#REF!,#REF!)&amp;IF(#REF!="","",CHAR(10)&amp;CHAR(13)&amp;"ConceptualDomain: "&amp;#REF!)&amp;CHAR(10)&amp;CHAR(13)&amp;#REF!</f>
        <v>#REF!</v>
      </c>
      <c r="L32" s="39" t="e">
        <f>IF(LEN(#REF!)=9,"1","0")</f>
        <v>#REF!</v>
      </c>
      <c r="M32" t="e">
        <f>IF(#REF!="String","string",IF(#REF!="Date","date",IF(#REF!="Integer","integer",#REF!)))</f>
        <v>#REF!</v>
      </c>
    </row>
    <row r="33" spans="4:13" x14ac:dyDescent="0.75">
      <c r="D33" t="e">
        <f>#REF!</f>
        <v>#REF!</v>
      </c>
      <c r="I33" t="e">
        <f>SUBSTITUTE(#REF!,"_",".")</f>
        <v>#REF!</v>
      </c>
      <c r="J33" t="e">
        <f>#REF!&amp;" ["&amp;#REF!&amp;"]"</f>
        <v>#REF!</v>
      </c>
      <c r="K33" s="2" t="e">
        <f>IF(#REF!="",#REF!,#REF!)&amp;IF(#REF!="","",CHAR(10)&amp;CHAR(13)&amp;"ConceptualDomain: "&amp;#REF!)&amp;CHAR(10)&amp;CHAR(13)&amp;#REF!</f>
        <v>#REF!</v>
      </c>
      <c r="L33" s="39" t="e">
        <f>IF(LEN(#REF!)=9,"1","0")</f>
        <v>#REF!</v>
      </c>
      <c r="M33" t="e">
        <f>IF(#REF!="String","string",IF(#REF!="Date","date",IF(#REF!="Integer","integer",#REF!)))</f>
        <v>#REF!</v>
      </c>
    </row>
    <row r="34" spans="4:13" x14ac:dyDescent="0.75">
      <c r="D34" t="e">
        <f>#REF!</f>
        <v>#REF!</v>
      </c>
      <c r="H34" t="e">
        <f>#REF!</f>
        <v>#REF!</v>
      </c>
      <c r="I34" t="e">
        <f>SUBSTITUTE(#REF!,"_",".")</f>
        <v>#REF!</v>
      </c>
      <c r="J34" t="e">
        <f>#REF!&amp;" ["&amp;#REF!&amp;"]"</f>
        <v>#REF!</v>
      </c>
      <c r="K34" s="2" t="e">
        <f>IF(#REF!="",#REF!,#REF!)&amp;IF(#REF!="","",CHAR(10)&amp;CHAR(13)&amp;"ConceptualDomain: "&amp;#REF!)&amp;CHAR(10)&amp;CHAR(13)&amp;#REF!</f>
        <v>#REF!</v>
      </c>
      <c r="L34" s="39" t="e">
        <f>IF(LEN(#REF!)=9,"1","0")</f>
        <v>#REF!</v>
      </c>
      <c r="M34" t="e">
        <f>IF(#REF!="String","string",IF(#REF!="Date","date",IF(#REF!="Integer","integer",#REF!)))</f>
        <v>#REF!</v>
      </c>
    </row>
    <row r="35" spans="4:13" x14ac:dyDescent="0.75">
      <c r="D35" t="e">
        <f>#REF!</f>
        <v>#REF!</v>
      </c>
      <c r="H35" t="e">
        <f>#REF!</f>
        <v>#REF!</v>
      </c>
      <c r="I35" t="e">
        <f>SUBSTITUTE(#REF!,"_",".")</f>
        <v>#REF!</v>
      </c>
      <c r="J35" t="e">
        <f>#REF!&amp;" ["&amp;#REF!&amp;"]"</f>
        <v>#REF!</v>
      </c>
      <c r="K35" s="2" t="e">
        <f>IF(#REF!="",#REF!,#REF!)&amp;IF(#REF!="","",CHAR(10)&amp;CHAR(13)&amp;"ConceptualDomain: "&amp;#REF!)&amp;CHAR(10)&amp;CHAR(13)&amp;#REF!</f>
        <v>#REF!</v>
      </c>
      <c r="L35" s="39" t="e">
        <f>IF(LEN(#REF!)=9,"1","0")</f>
        <v>#REF!</v>
      </c>
      <c r="M35" t="e">
        <f>IF(#REF!="String","string",IF(#REF!="Date","date",IF(#REF!="Integer","integer",#REF!)))</f>
        <v>#REF!</v>
      </c>
    </row>
    <row r="36" spans="4:13" x14ac:dyDescent="0.75">
      <c r="D36" t="e">
        <f>#REF!</f>
        <v>#REF!</v>
      </c>
      <c r="H36" t="e">
        <f>#REF!</f>
        <v>#REF!</v>
      </c>
      <c r="I36" t="e">
        <f>SUBSTITUTE(#REF!,"_",".")</f>
        <v>#REF!</v>
      </c>
      <c r="J36" t="e">
        <f>#REF!&amp;" ["&amp;#REF!&amp;"]"</f>
        <v>#REF!</v>
      </c>
      <c r="K36" s="2" t="e">
        <f>IF(#REF!="",#REF!,#REF!)&amp;IF(#REF!="","",CHAR(10)&amp;CHAR(13)&amp;"ConceptualDomain: "&amp;#REF!)&amp;CHAR(10)&amp;CHAR(13)&amp;#REF!</f>
        <v>#REF!</v>
      </c>
      <c r="L36" s="39" t="e">
        <f>IF(LEN(#REF!)=9,"1","0")</f>
        <v>#REF!</v>
      </c>
      <c r="M36" t="e">
        <f>IF(#REF!="String","string",IF(#REF!="Date","date",IF(#REF!="Integer","integer",#REF!)))</f>
        <v>#REF!</v>
      </c>
    </row>
    <row r="37" spans="4:13" x14ac:dyDescent="0.75">
      <c r="D37" t="e">
        <f>#REF!</f>
        <v>#REF!</v>
      </c>
      <c r="H37" t="e">
        <f>#REF!</f>
        <v>#REF!</v>
      </c>
      <c r="I37" s="40" t="s">
        <v>68</v>
      </c>
      <c r="J37" s="40" t="s">
        <v>68</v>
      </c>
      <c r="K37" s="40" t="s">
        <v>68</v>
      </c>
      <c r="L37" s="41">
        <v>0</v>
      </c>
      <c r="M37" s="42" t="s">
        <v>2</v>
      </c>
    </row>
    <row r="38" spans="4:13" x14ac:dyDescent="0.75">
      <c r="D38" t="e">
        <f>#REF!</f>
        <v>#REF!</v>
      </c>
      <c r="H38" t="e">
        <f>#REF!</f>
        <v>#REF!</v>
      </c>
      <c r="I38" t="e">
        <f>SUBSTITUTE(#REF!,"_",".")</f>
        <v>#REF!</v>
      </c>
      <c r="J38" t="e">
        <f>#REF!&amp;" ["&amp;#REF!&amp;"]"</f>
        <v>#REF!</v>
      </c>
      <c r="K38" s="2" t="e">
        <f>IF(#REF!="",#REF!,#REF!)&amp;IF(#REF!="","",CHAR(10)&amp;CHAR(13)&amp;"ConceptualDomain: "&amp;#REF!)&amp;CHAR(10)&amp;CHAR(13)&amp;#REF!</f>
        <v>#REF!</v>
      </c>
      <c r="L38" s="39" t="e">
        <f>IF(LEN(#REF!)=9,"1","0")</f>
        <v>#REF!</v>
      </c>
      <c r="M38" t="e">
        <f>IF(#REF!="String","string",IF(#REF!="Date","date",IF(#REF!="Integer","integer",#REF!)))</f>
        <v>#REF!</v>
      </c>
    </row>
    <row r="39" spans="4:13" x14ac:dyDescent="0.75">
      <c r="D39" t="e">
        <f>#REF!</f>
        <v>#REF!</v>
      </c>
      <c r="H39" t="e">
        <f>#REF!</f>
        <v>#REF!</v>
      </c>
      <c r="I39" t="e">
        <f>SUBSTITUTE(#REF!,"_",".")</f>
        <v>#REF!</v>
      </c>
      <c r="J39" t="e">
        <f>#REF!&amp;" ["&amp;#REF!&amp;"]"</f>
        <v>#REF!</v>
      </c>
      <c r="K39" s="2" t="e">
        <f>IF(#REF!="",#REF!,#REF!)&amp;IF(#REF!="","",CHAR(10)&amp;CHAR(13)&amp;"ConceptualDomain: "&amp;#REF!)&amp;CHAR(10)&amp;CHAR(13)&amp;#REF!</f>
        <v>#REF!</v>
      </c>
      <c r="L39" s="39" t="e">
        <f>IF(LEN(#REF!)=9,"1","0")</f>
        <v>#REF!</v>
      </c>
      <c r="M39" t="e">
        <f>IF(#REF!="String","string",IF(#REF!="Date","date",IF(#REF!="Integer","integer",#REF!)))</f>
        <v>#REF!</v>
      </c>
    </row>
    <row r="40" spans="4:13" x14ac:dyDescent="0.75">
      <c r="D40" t="e">
        <f>#REF!</f>
        <v>#REF!</v>
      </c>
      <c r="H40" t="e">
        <f>#REF!</f>
        <v>#REF!</v>
      </c>
      <c r="I40" t="e">
        <f>SUBSTITUTE(#REF!,"_",".")</f>
        <v>#REF!</v>
      </c>
      <c r="J40" t="e">
        <f>#REF!&amp;" ["&amp;#REF!&amp;"]"</f>
        <v>#REF!</v>
      </c>
      <c r="K40" s="2" t="e">
        <f>IF(#REF!="",#REF!,#REF!)&amp;IF(#REF!="","",CHAR(10)&amp;CHAR(13)&amp;"ConceptualDomain: "&amp;#REF!)&amp;CHAR(10)&amp;CHAR(13)&amp;#REF!</f>
        <v>#REF!</v>
      </c>
      <c r="L40" s="39" t="e">
        <f>IF(LEN(#REF!)=9,"1","0")</f>
        <v>#REF!</v>
      </c>
      <c r="M40" t="e">
        <f>IF(#REF!="String","string",IF(#REF!="Date","date",IF(#REF!="Integer","integer",#REF!)))</f>
        <v>#REF!</v>
      </c>
    </row>
    <row r="41" spans="4:13" x14ac:dyDescent="0.75">
      <c r="D41" t="e">
        <f>#REF!</f>
        <v>#REF!</v>
      </c>
      <c r="H41" t="e">
        <f>#REF!</f>
        <v>#REF!</v>
      </c>
      <c r="I41" t="e">
        <f>SUBSTITUTE(#REF!,"_",".")</f>
        <v>#REF!</v>
      </c>
      <c r="J41" t="e">
        <f>#REF!&amp;" ["&amp;#REF!&amp;"]"</f>
        <v>#REF!</v>
      </c>
      <c r="K41" s="2" t="e">
        <f>IF(#REF!="",#REF!,#REF!)&amp;IF(#REF!="","",CHAR(10)&amp;CHAR(13)&amp;"ConceptualDomain: "&amp;#REF!)&amp;CHAR(10)&amp;CHAR(13)&amp;#REF!</f>
        <v>#REF!</v>
      </c>
      <c r="L41" s="39" t="e">
        <f>IF(LEN(#REF!)=9,"1","0")</f>
        <v>#REF!</v>
      </c>
      <c r="M41" t="e">
        <f>IF(#REF!="String","string",IF(#REF!="Date","date",IF(#REF!="Integer","integer",#REF!)))</f>
        <v>#REF!</v>
      </c>
    </row>
    <row r="42" spans="4:13" x14ac:dyDescent="0.75">
      <c r="D42" t="e">
        <f>#REF!</f>
        <v>#REF!</v>
      </c>
      <c r="H42" t="e">
        <f>#REF!</f>
        <v>#REF!</v>
      </c>
      <c r="I42" t="e">
        <f>SUBSTITUTE(#REF!,"_",".")</f>
        <v>#REF!</v>
      </c>
      <c r="J42" t="e">
        <f>#REF!&amp;" ["&amp;#REF!&amp;"]"</f>
        <v>#REF!</v>
      </c>
      <c r="K42" s="2" t="e">
        <f>IF(#REF!="",#REF!,#REF!)&amp;IF(#REF!="","",CHAR(10)&amp;CHAR(13)&amp;"ConceptualDomain: "&amp;#REF!)&amp;CHAR(10)&amp;CHAR(13)&amp;#REF!</f>
        <v>#REF!</v>
      </c>
      <c r="L42" s="39" t="e">
        <f>IF(LEN(#REF!)=9,"1","0")</f>
        <v>#REF!</v>
      </c>
      <c r="M42" t="e">
        <f>IF(#REF!="String","string",IF(#REF!="Date","date",IF(#REF!="Integer","integer",#REF!)))</f>
        <v>#REF!</v>
      </c>
    </row>
    <row r="43" spans="4:13" x14ac:dyDescent="0.75">
      <c r="D43" t="e">
        <f>#REF!</f>
        <v>#REF!</v>
      </c>
      <c r="H43" t="e">
        <f>#REF!</f>
        <v>#REF!</v>
      </c>
      <c r="I43" s="40" t="s">
        <v>70</v>
      </c>
      <c r="J43" s="40" t="s">
        <v>70</v>
      </c>
      <c r="K43" s="40" t="s">
        <v>70</v>
      </c>
      <c r="L43" s="41">
        <v>0</v>
      </c>
      <c r="M43" s="42" t="s">
        <v>2</v>
      </c>
    </row>
    <row r="44" spans="4:13" x14ac:dyDescent="0.75">
      <c r="D44" t="e">
        <f>#REF!</f>
        <v>#REF!</v>
      </c>
      <c r="H44" t="e">
        <f>#REF!</f>
        <v>#REF!</v>
      </c>
      <c r="I44" t="e">
        <f>SUBSTITUTE(#REF!,"_",".")</f>
        <v>#REF!</v>
      </c>
      <c r="J44" t="e">
        <f>#REF!&amp;" ["&amp;#REF!&amp;"]"</f>
        <v>#REF!</v>
      </c>
      <c r="K44" s="2" t="e">
        <f>IF(#REF!="",#REF!,#REF!)&amp;IF(#REF!="","",CHAR(10)&amp;CHAR(13)&amp;"ConceptualDomain: "&amp;#REF!)&amp;CHAR(10)&amp;CHAR(13)&amp;#REF!</f>
        <v>#REF!</v>
      </c>
      <c r="L44" s="39" t="e">
        <f>IF(LEN(#REF!)=9,"1","0")</f>
        <v>#REF!</v>
      </c>
      <c r="M44" t="e">
        <f>IF(#REF!="String","string",IF(#REF!="Date","date",IF(#REF!="Integer","integer",#REF!)))</f>
        <v>#REF!</v>
      </c>
    </row>
    <row r="45" spans="4:13" x14ac:dyDescent="0.75">
      <c r="D45" t="e">
        <f>#REF!</f>
        <v>#REF!</v>
      </c>
      <c r="H45" t="e">
        <f>#REF!</f>
        <v>#REF!</v>
      </c>
      <c r="I45" t="e">
        <f>SUBSTITUTE(#REF!,"_",".")</f>
        <v>#REF!</v>
      </c>
      <c r="J45" t="e">
        <f>#REF!&amp;" ["&amp;#REF!&amp;"]"</f>
        <v>#REF!</v>
      </c>
      <c r="K45" s="2" t="e">
        <f>IF(#REF!="",#REF!,#REF!)&amp;IF(#REF!="","",CHAR(10)&amp;CHAR(13)&amp;"ConceptualDomain: "&amp;#REF!)&amp;CHAR(10)&amp;CHAR(13)&amp;#REF!</f>
        <v>#REF!</v>
      </c>
      <c r="L45" s="39" t="e">
        <f>IF(LEN(#REF!)=9,"1","0")</f>
        <v>#REF!</v>
      </c>
      <c r="M45" t="e">
        <f>IF(#REF!="String","string",IF(#REF!="Date","date",IF(#REF!="Integer","integer",#REF!)))</f>
        <v>#REF!</v>
      </c>
    </row>
    <row r="46" spans="4:13" x14ac:dyDescent="0.75">
      <c r="D46" t="e">
        <f>#REF!</f>
        <v>#REF!</v>
      </c>
      <c r="I46" t="e">
        <f>SUBSTITUTE(#REF!,"_",".")</f>
        <v>#REF!</v>
      </c>
      <c r="J46" t="e">
        <f>#REF!&amp;" ["&amp;#REF!&amp;"]"</f>
        <v>#REF!</v>
      </c>
      <c r="K46" s="2" t="e">
        <f>IF(#REF!="",#REF!,#REF!)&amp;IF(#REF!="","",CHAR(10)&amp;CHAR(13)&amp;"ConceptualDomain: "&amp;#REF!)&amp;CHAR(10)&amp;CHAR(13)&amp;#REF!</f>
        <v>#REF!</v>
      </c>
      <c r="L46" s="39" t="e">
        <f>IF(LEN(#REF!)=9,"1","0")</f>
        <v>#REF!</v>
      </c>
      <c r="M46" t="e">
        <f>IF(#REF!="String","string",IF(#REF!="Date","date",IF(#REF!="Integer","integer",#REF!)))</f>
        <v>#REF!</v>
      </c>
    </row>
    <row r="47" spans="4:13" x14ac:dyDescent="0.75">
      <c r="D47" t="e">
        <f>#REF!</f>
        <v>#REF!</v>
      </c>
      <c r="H47" t="e">
        <f>#REF!</f>
        <v>#REF!</v>
      </c>
      <c r="I47" s="40" t="s">
        <v>71</v>
      </c>
      <c r="J47" s="40" t="s">
        <v>71</v>
      </c>
      <c r="K47" s="40" t="s">
        <v>71</v>
      </c>
      <c r="L47" s="41">
        <v>0</v>
      </c>
      <c r="M47" s="42" t="s">
        <v>2</v>
      </c>
    </row>
    <row r="48" spans="4:13" x14ac:dyDescent="0.75">
      <c r="D48" t="e">
        <f>#REF!</f>
        <v>#REF!</v>
      </c>
      <c r="H48" t="e">
        <f>#REF!</f>
        <v>#REF!</v>
      </c>
      <c r="I48" t="e">
        <f>SUBSTITUTE(#REF!,"_",".")</f>
        <v>#REF!</v>
      </c>
      <c r="J48" t="e">
        <f>#REF!&amp;" ["&amp;#REF!&amp;"]"</f>
        <v>#REF!</v>
      </c>
      <c r="K48" s="2" t="e">
        <f>IF(#REF!="",#REF!,#REF!)&amp;IF(#REF!="","",CHAR(10)&amp;CHAR(13)&amp;"ConceptualDomain: "&amp;#REF!)&amp;CHAR(10)&amp;CHAR(13)&amp;#REF!</f>
        <v>#REF!</v>
      </c>
      <c r="L48" s="39" t="e">
        <f>IF(LEN(#REF!)=9,"1","0")</f>
        <v>#REF!</v>
      </c>
      <c r="M48" t="e">
        <f>IF(#REF!="String","string",IF(#REF!="Date","date",IF(#REF!="Integer","integer",#REF!)))</f>
        <v>#REF!</v>
      </c>
    </row>
    <row r="49" spans="4:13" x14ac:dyDescent="0.75">
      <c r="D49" t="e">
        <f>#REF!</f>
        <v>#REF!</v>
      </c>
      <c r="I49" t="e">
        <f>SUBSTITUTE(#REF!,"_",".")</f>
        <v>#REF!</v>
      </c>
      <c r="J49" t="e">
        <f>#REF!&amp;" ["&amp;#REF!&amp;"]"</f>
        <v>#REF!</v>
      </c>
      <c r="K49" s="2" t="e">
        <f>IF(#REF!="",#REF!,#REF!)&amp;IF(#REF!="","",CHAR(10)&amp;CHAR(13)&amp;"ConceptualDomain: "&amp;#REF!)&amp;CHAR(10)&amp;CHAR(13)&amp;#REF!</f>
        <v>#REF!</v>
      </c>
      <c r="L49" s="39" t="e">
        <f>IF(LEN(#REF!)=9,"1","0")</f>
        <v>#REF!</v>
      </c>
      <c r="M49" t="e">
        <f>IF(#REF!="String","string",IF(#REF!="Date","date",IF(#REF!="Integer","integer",#REF!)))</f>
        <v>#REF!</v>
      </c>
    </row>
    <row r="50" spans="4:13" x14ac:dyDescent="0.75">
      <c r="D50" t="e">
        <f>#REF!</f>
        <v>#REF!</v>
      </c>
      <c r="I50" s="40" t="s">
        <v>73</v>
      </c>
      <c r="J50" s="40" t="s">
        <v>73</v>
      </c>
      <c r="K50" s="40" t="s">
        <v>73</v>
      </c>
      <c r="L50" s="41">
        <v>0</v>
      </c>
      <c r="M50" s="42" t="s">
        <v>2</v>
      </c>
    </row>
    <row r="51" spans="4:13" x14ac:dyDescent="0.75">
      <c r="D51" t="e">
        <f>#REF!</f>
        <v>#REF!</v>
      </c>
      <c r="H51" t="e">
        <f>#REF!</f>
        <v>#REF!</v>
      </c>
      <c r="I51" t="e">
        <f>SUBSTITUTE(#REF!,"_",".")</f>
        <v>#REF!</v>
      </c>
      <c r="J51" t="e">
        <f>#REF!&amp;" ["&amp;#REF!&amp;"]"</f>
        <v>#REF!</v>
      </c>
      <c r="K51" s="2" t="e">
        <f>IF(#REF!="",#REF!,#REF!)&amp;IF(#REF!="","",CHAR(10)&amp;CHAR(13)&amp;"ConceptualDomain: "&amp;#REF!)&amp;CHAR(10)&amp;CHAR(13)&amp;#REF!</f>
        <v>#REF!</v>
      </c>
      <c r="L51" s="39" t="e">
        <f>IF(LEN(#REF!)=9,"1","0")</f>
        <v>#REF!</v>
      </c>
      <c r="M51" t="e">
        <f>IF(#REF!="String","string",IF(#REF!="Date","date",IF(#REF!="Integer","integer",#REF!)))</f>
        <v>#REF!</v>
      </c>
    </row>
    <row r="52" spans="4:13" x14ac:dyDescent="0.75">
      <c r="D52" t="e">
        <f>#REF!</f>
        <v>#REF!</v>
      </c>
      <c r="H52" t="e">
        <f>#REF!</f>
        <v>#REF!</v>
      </c>
      <c r="I52" t="e">
        <f>SUBSTITUTE(#REF!,"_",".")</f>
        <v>#REF!</v>
      </c>
      <c r="J52" t="e">
        <f>#REF!&amp;" ["&amp;#REF!&amp;"]"</f>
        <v>#REF!</v>
      </c>
      <c r="K52" s="2" t="e">
        <f>IF(#REF!="",#REF!,#REF!)&amp;IF(#REF!="","",CHAR(10)&amp;CHAR(13)&amp;"ConceptualDomain: "&amp;#REF!)&amp;CHAR(10)&amp;CHAR(13)&amp;#REF!</f>
        <v>#REF!</v>
      </c>
      <c r="L52" s="39" t="e">
        <f>IF(LEN(#REF!)=9,"1","0")</f>
        <v>#REF!</v>
      </c>
      <c r="M52" t="e">
        <f>IF(#REF!="String","string",IF(#REF!="Date","date",IF(#REF!="Integer","integer",#REF!)))</f>
        <v>#REF!</v>
      </c>
    </row>
    <row r="53" spans="4:13" x14ac:dyDescent="0.75">
      <c r="D53" t="e">
        <f>#REF!</f>
        <v>#REF!</v>
      </c>
      <c r="H53" t="e">
        <f>#REF!</f>
        <v>#REF!</v>
      </c>
      <c r="I53" t="e">
        <f>SUBSTITUTE(#REF!,"_",".")</f>
        <v>#REF!</v>
      </c>
      <c r="J53" t="e">
        <f>#REF!&amp;" ["&amp;#REF!&amp;"]"</f>
        <v>#REF!</v>
      </c>
      <c r="K53" s="2" t="e">
        <f>IF(#REF!="",#REF!,#REF!)&amp;IF(#REF!="","",CHAR(10)&amp;CHAR(13)&amp;"ConceptualDomain: "&amp;#REF!)&amp;CHAR(10)&amp;CHAR(13)&amp;#REF!</f>
        <v>#REF!</v>
      </c>
      <c r="L53" s="39" t="e">
        <f>IF(LEN(#REF!)=9,"1","0")</f>
        <v>#REF!</v>
      </c>
      <c r="M53" t="e">
        <f>IF(#REF!="String","string",IF(#REF!="Date","date",IF(#REF!="Integer","integer",#REF!)))</f>
        <v>#REF!</v>
      </c>
    </row>
    <row r="54" spans="4:13" x14ac:dyDescent="0.75">
      <c r="D54" t="e">
        <f>#REF!</f>
        <v>#REF!</v>
      </c>
      <c r="I54" s="40" t="s">
        <v>74</v>
      </c>
      <c r="J54" s="40" t="s">
        <v>74</v>
      </c>
      <c r="K54" s="40" t="s">
        <v>74</v>
      </c>
      <c r="L54" s="41">
        <v>0</v>
      </c>
      <c r="M54" s="42" t="s">
        <v>2</v>
      </c>
    </row>
    <row r="55" spans="4:13" x14ac:dyDescent="0.75">
      <c r="D55" t="e">
        <f>#REF!</f>
        <v>#REF!</v>
      </c>
      <c r="H55" t="e">
        <f>#REF!</f>
        <v>#REF!</v>
      </c>
      <c r="I55" t="e">
        <f>SUBSTITUTE(#REF!,"_",".")</f>
        <v>#REF!</v>
      </c>
      <c r="J55" t="e">
        <f>#REF!&amp;" ["&amp;#REF!&amp;"]"</f>
        <v>#REF!</v>
      </c>
      <c r="K55" s="2" t="e">
        <f>IF(#REF!="",#REF!,#REF!)&amp;IF(#REF!="","",CHAR(10)&amp;CHAR(13)&amp;"ConceptualDomain: "&amp;#REF!)&amp;CHAR(10)&amp;CHAR(13)&amp;#REF!</f>
        <v>#REF!</v>
      </c>
      <c r="L55" s="39" t="e">
        <f>IF(LEN(#REF!)=9,"1","0")</f>
        <v>#REF!</v>
      </c>
      <c r="M55" t="e">
        <f>IF(#REF!="String","string",IF(#REF!="Date","date",IF(#REF!="Integer","integer",#REF!)))</f>
        <v>#REF!</v>
      </c>
    </row>
    <row r="56" spans="4:13" x14ac:dyDescent="0.75">
      <c r="D56" t="e">
        <f>#REF!</f>
        <v>#REF!</v>
      </c>
      <c r="I56" t="e">
        <f>SUBSTITUTE(#REF!,"_",".")</f>
        <v>#REF!</v>
      </c>
      <c r="J56" t="e">
        <f>#REF!&amp;" ["&amp;#REF!&amp;"]"</f>
        <v>#REF!</v>
      </c>
      <c r="K56" s="2" t="e">
        <f>IF(#REF!="",#REF!,#REF!)&amp;IF(#REF!="","",CHAR(10)&amp;CHAR(13)&amp;"ConceptualDomain: "&amp;#REF!)&amp;CHAR(10)&amp;CHAR(13)&amp;#REF!</f>
        <v>#REF!</v>
      </c>
      <c r="L56" s="39" t="e">
        <f>IF(LEN(#REF!)=9,"1","0")</f>
        <v>#REF!</v>
      </c>
      <c r="M56" t="e">
        <f>IF(#REF!="String","string",IF(#REF!="Date","date",IF(#REF!="Integer","integer",#REF!)))</f>
        <v>#REF!</v>
      </c>
    </row>
    <row r="57" spans="4:13" x14ac:dyDescent="0.75">
      <c r="D57" t="e">
        <f>#REF!</f>
        <v>#REF!</v>
      </c>
      <c r="I57" t="e">
        <f>SUBSTITUTE(#REF!,"_",".")</f>
        <v>#REF!</v>
      </c>
      <c r="J57" t="e">
        <f>#REF!&amp;" ["&amp;#REF!&amp;"]"</f>
        <v>#REF!</v>
      </c>
      <c r="K57" s="2" t="e">
        <f>IF(#REF!="",#REF!,#REF!)&amp;IF(#REF!="","",CHAR(10)&amp;CHAR(13)&amp;"ConceptualDomain: "&amp;#REF!)&amp;CHAR(10)&amp;CHAR(13)&amp;#REF!</f>
        <v>#REF!</v>
      </c>
      <c r="L57" s="39" t="e">
        <f>IF(LEN(#REF!)=9,"1","0")</f>
        <v>#REF!</v>
      </c>
      <c r="M57" t="e">
        <f>IF(#REF!="String","string",IF(#REF!="Date","date",IF(#REF!="Integer","integer",#REF!)))</f>
        <v>#REF!</v>
      </c>
    </row>
    <row r="58" spans="4:13" x14ac:dyDescent="0.75">
      <c r="D58" t="e">
        <f>#REF!</f>
        <v>#REF!</v>
      </c>
      <c r="I58" t="e">
        <f>SUBSTITUTE(#REF!,"_",".")</f>
        <v>#REF!</v>
      </c>
      <c r="J58" t="e">
        <f>#REF!&amp;" ["&amp;#REF!&amp;"]"</f>
        <v>#REF!</v>
      </c>
      <c r="K58" s="2" t="e">
        <f>IF(#REF!="",#REF!,#REF!)&amp;IF(#REF!="","",CHAR(10)&amp;CHAR(13)&amp;"ConceptualDomain: "&amp;#REF!)&amp;CHAR(10)&amp;CHAR(13)&amp;#REF!</f>
        <v>#REF!</v>
      </c>
      <c r="L58" s="39" t="e">
        <f>IF(LEN(#REF!)=9,"1","0")</f>
        <v>#REF!</v>
      </c>
      <c r="M58" t="e">
        <f>IF(#REF!="String","string",IF(#REF!="Date","date",IF(#REF!="Integer","integer",#REF!)))</f>
        <v>#REF!</v>
      </c>
    </row>
    <row r="59" spans="4:13" x14ac:dyDescent="0.75">
      <c r="D59" t="e">
        <f>#REF!</f>
        <v>#REF!</v>
      </c>
      <c r="I59" t="e">
        <f>SUBSTITUTE(#REF!,"_",".")</f>
        <v>#REF!</v>
      </c>
      <c r="J59" t="e">
        <f>#REF!&amp;" ["&amp;#REF!&amp;"]"</f>
        <v>#REF!</v>
      </c>
      <c r="K59" s="2" t="e">
        <f>IF(#REF!="",#REF!,#REF!)&amp;IF(#REF!="","",CHAR(10)&amp;CHAR(13)&amp;"ConceptualDomain: "&amp;#REF!)&amp;CHAR(10)&amp;CHAR(13)&amp;#REF!</f>
        <v>#REF!</v>
      </c>
      <c r="L59" s="39" t="e">
        <f>IF(LEN(#REF!)=9,"1","0")</f>
        <v>#REF!</v>
      </c>
      <c r="M59" t="e">
        <f>IF(#REF!="String","string",IF(#REF!="Date","date",IF(#REF!="Integer","integer",#REF!)))</f>
        <v>#REF!</v>
      </c>
    </row>
    <row r="60" spans="4:13" x14ac:dyDescent="0.75">
      <c r="D60" t="e">
        <f>#REF!</f>
        <v>#REF!</v>
      </c>
      <c r="I60" t="e">
        <f>SUBSTITUTE(#REF!,"_",".")</f>
        <v>#REF!</v>
      </c>
      <c r="J60" t="e">
        <f>#REF!&amp;" ["&amp;#REF!&amp;"]"</f>
        <v>#REF!</v>
      </c>
      <c r="K60" s="2" t="e">
        <f>IF(#REF!="",#REF!,#REF!)&amp;IF(#REF!="","",CHAR(10)&amp;CHAR(13)&amp;"ConceptualDomain: "&amp;#REF!)&amp;CHAR(10)&amp;CHAR(13)&amp;#REF!</f>
        <v>#REF!</v>
      </c>
      <c r="L60" s="39" t="e">
        <f>IF(LEN(#REF!)=9,"1","0")</f>
        <v>#REF!</v>
      </c>
      <c r="M60" t="e">
        <f>IF(#REF!="String","string",IF(#REF!="Date","date",IF(#REF!="Integer","integer",#REF!)))</f>
        <v>#REF!</v>
      </c>
    </row>
    <row r="61" spans="4:13" x14ac:dyDescent="0.75">
      <c r="D61" t="e">
        <f>#REF!</f>
        <v>#REF!</v>
      </c>
      <c r="I61" t="e">
        <f>SUBSTITUTE(#REF!,"_",".")</f>
        <v>#REF!</v>
      </c>
      <c r="J61" t="e">
        <f>#REF!&amp;" ["&amp;#REF!&amp;"]"</f>
        <v>#REF!</v>
      </c>
      <c r="K61" s="2" t="e">
        <f>IF(#REF!="",#REF!,#REF!)&amp;IF(#REF!="","",CHAR(10)&amp;CHAR(13)&amp;"ConceptualDomain: "&amp;#REF!)&amp;CHAR(10)&amp;CHAR(13)&amp;#REF!</f>
        <v>#REF!</v>
      </c>
      <c r="L61" s="39" t="e">
        <f>IF(LEN(#REF!)=9,"1","0")</f>
        <v>#REF!</v>
      </c>
      <c r="M61" t="e">
        <f>IF(#REF!="String","string",IF(#REF!="Date","date",IF(#REF!="Integer","integer",#REF!)))</f>
        <v>#REF!</v>
      </c>
    </row>
    <row r="62" spans="4:13" x14ac:dyDescent="0.75">
      <c r="D62" t="e">
        <f>#REF!</f>
        <v>#REF!</v>
      </c>
      <c r="I62" t="e">
        <f>SUBSTITUTE(#REF!,"_",".")</f>
        <v>#REF!</v>
      </c>
      <c r="J62" t="e">
        <f>#REF!&amp;" ["&amp;#REF!&amp;"]"</f>
        <v>#REF!</v>
      </c>
      <c r="K62" s="2" t="e">
        <f>IF(#REF!="",#REF!,#REF!)&amp;IF(#REF!="","",CHAR(10)&amp;CHAR(13)&amp;"ConceptualDomain: "&amp;#REF!)&amp;CHAR(10)&amp;CHAR(13)&amp;#REF!</f>
        <v>#REF!</v>
      </c>
      <c r="L62" s="39" t="e">
        <f>IF(LEN(#REF!)=9,"1","0")</f>
        <v>#REF!</v>
      </c>
      <c r="M62" t="e">
        <f>IF(#REF!="String","string",IF(#REF!="Date","date",IF(#REF!="Integer","integer",#REF!)))</f>
        <v>#REF!</v>
      </c>
    </row>
    <row r="63" spans="4:13" x14ac:dyDescent="0.75">
      <c r="D63" t="e">
        <f>#REF!</f>
        <v>#REF!</v>
      </c>
      <c r="I63" t="e">
        <f>SUBSTITUTE(#REF!,"_",".")</f>
        <v>#REF!</v>
      </c>
      <c r="J63" t="e">
        <f>#REF!&amp;" ["&amp;#REF!&amp;"]"</f>
        <v>#REF!</v>
      </c>
      <c r="K63" s="2" t="e">
        <f>IF(#REF!="",#REF!,#REF!)&amp;IF(#REF!="","",CHAR(10)&amp;CHAR(13)&amp;"ConceptualDomain: "&amp;#REF!)&amp;CHAR(10)&amp;CHAR(13)&amp;#REF!</f>
        <v>#REF!</v>
      </c>
      <c r="L63" s="39" t="e">
        <f>IF(LEN(#REF!)=9,"1","0")</f>
        <v>#REF!</v>
      </c>
      <c r="M63" t="e">
        <f>IF(#REF!="String","string",IF(#REF!="Date","date",IF(#REF!="Integer","integer",#REF!)))</f>
        <v>#REF!</v>
      </c>
    </row>
    <row r="64" spans="4:13" x14ac:dyDescent="0.75">
      <c r="D64" t="e">
        <f>#REF!</f>
        <v>#REF!</v>
      </c>
      <c r="I64" t="e">
        <f>SUBSTITUTE(#REF!,"_",".")</f>
        <v>#REF!</v>
      </c>
      <c r="J64" t="e">
        <f>#REF!&amp;" ["&amp;#REF!&amp;"]"</f>
        <v>#REF!</v>
      </c>
      <c r="K64" s="2" t="e">
        <f>IF(#REF!="",#REF!,#REF!)&amp;IF(#REF!="","",CHAR(10)&amp;CHAR(13)&amp;"ConceptualDomain: "&amp;#REF!)&amp;CHAR(10)&amp;CHAR(13)&amp;#REF!</f>
        <v>#REF!</v>
      </c>
      <c r="L64" s="39" t="e">
        <f>IF(LEN(#REF!)=9,"1","0")</f>
        <v>#REF!</v>
      </c>
      <c r="M64" t="e">
        <f>IF(#REF!="String","string",IF(#REF!="Date","date",IF(#REF!="Integer","integer",#REF!)))</f>
        <v>#REF!</v>
      </c>
    </row>
    <row r="65" spans="4:13" x14ac:dyDescent="0.75">
      <c r="D65" t="e">
        <f>#REF!</f>
        <v>#REF!</v>
      </c>
      <c r="I65" s="40" t="s">
        <v>75</v>
      </c>
      <c r="J65" s="40" t="s">
        <v>75</v>
      </c>
      <c r="K65" s="40" t="s">
        <v>75</v>
      </c>
      <c r="L65" s="41">
        <v>0</v>
      </c>
      <c r="M65" s="42" t="s">
        <v>2</v>
      </c>
    </row>
    <row r="66" spans="4:13" x14ac:dyDescent="0.75">
      <c r="D66" t="e">
        <f>#REF!</f>
        <v>#REF!</v>
      </c>
      <c r="H66" t="e">
        <f>#REF!</f>
        <v>#REF!</v>
      </c>
      <c r="I66" t="e">
        <f>SUBSTITUTE(#REF!,"_",".")</f>
        <v>#REF!</v>
      </c>
      <c r="J66" t="e">
        <f>#REF!&amp;" ["&amp;#REF!&amp;"]"</f>
        <v>#REF!</v>
      </c>
      <c r="K66" s="2" t="e">
        <f>IF(#REF!="",#REF!,#REF!)&amp;IF(#REF!="","",CHAR(10)&amp;CHAR(13)&amp;"ConceptualDomain: "&amp;#REF!)&amp;CHAR(10)&amp;CHAR(13)&amp;#REF!</f>
        <v>#REF!</v>
      </c>
      <c r="L66" s="39" t="e">
        <f>IF(LEN(#REF!)=9,"1","0")</f>
        <v>#REF!</v>
      </c>
      <c r="M66" t="e">
        <f>IF(#REF!="String","string",IF(#REF!="Date","date",IF(#REF!="Integer","integer",#REF!)))</f>
        <v>#REF!</v>
      </c>
    </row>
    <row r="67" spans="4:13" x14ac:dyDescent="0.75">
      <c r="D67" t="e">
        <f>#REF!</f>
        <v>#REF!</v>
      </c>
      <c r="H67" t="e">
        <f>#REF!</f>
        <v>#REF!</v>
      </c>
      <c r="I67" t="e">
        <f>SUBSTITUTE(#REF!,"_",".")</f>
        <v>#REF!</v>
      </c>
      <c r="J67" t="e">
        <f>#REF!&amp;" ["&amp;#REF!&amp;"]"</f>
        <v>#REF!</v>
      </c>
      <c r="K67" s="2" t="e">
        <f>IF(#REF!="",#REF!,#REF!)&amp;IF(#REF!="","",CHAR(10)&amp;CHAR(13)&amp;"ConceptualDomain: "&amp;#REF!)&amp;CHAR(10)&amp;CHAR(13)&amp;#REF!</f>
        <v>#REF!</v>
      </c>
      <c r="L67" s="39" t="e">
        <f>IF(LEN(#REF!)=9,"1","0")</f>
        <v>#REF!</v>
      </c>
      <c r="M67" t="e">
        <f>IF(#REF!="String","string",IF(#REF!="Date","date",IF(#REF!="Integer","integer",#REF!)))</f>
        <v>#REF!</v>
      </c>
    </row>
    <row r="68" spans="4:13" x14ac:dyDescent="0.75">
      <c r="D68" t="e">
        <f>#REF!</f>
        <v>#REF!</v>
      </c>
      <c r="H68" t="e">
        <f>#REF!</f>
        <v>#REF!</v>
      </c>
      <c r="I68" t="e">
        <f>SUBSTITUTE(#REF!,"_",".")</f>
        <v>#REF!</v>
      </c>
      <c r="J68" t="e">
        <f>#REF!&amp;" ["&amp;#REF!&amp;"]"</f>
        <v>#REF!</v>
      </c>
      <c r="K68" s="2" t="e">
        <f>IF(#REF!="",#REF!,#REF!)&amp;IF(#REF!="","",CHAR(10)&amp;CHAR(13)&amp;"ConceptualDomain: "&amp;#REF!)&amp;CHAR(10)&amp;CHAR(13)&amp;#REF!</f>
        <v>#REF!</v>
      </c>
      <c r="L68" s="39" t="e">
        <f>IF(LEN(#REF!)=9,"1","0")</f>
        <v>#REF!</v>
      </c>
      <c r="M68" t="e">
        <f>IF(#REF!="String","string",IF(#REF!="Date","date",IF(#REF!="Integer","integer",#REF!)))</f>
        <v>#REF!</v>
      </c>
    </row>
    <row r="69" spans="4:13" x14ac:dyDescent="0.75">
      <c r="D69" t="e">
        <f>#REF!</f>
        <v>#REF!</v>
      </c>
      <c r="H69" t="e">
        <f>#REF!</f>
        <v>#REF!</v>
      </c>
      <c r="I69" t="e">
        <f>SUBSTITUTE(#REF!,"_",".")</f>
        <v>#REF!</v>
      </c>
      <c r="J69" t="e">
        <f>#REF!&amp;" ["&amp;#REF!&amp;"]"</f>
        <v>#REF!</v>
      </c>
      <c r="K69" s="2" t="e">
        <f>IF(#REF!="",#REF!,#REF!)&amp;IF(#REF!="","",CHAR(10)&amp;CHAR(13)&amp;"ConceptualDomain: "&amp;#REF!)&amp;CHAR(10)&amp;CHAR(13)&amp;#REF!</f>
        <v>#REF!</v>
      </c>
      <c r="L69" s="39" t="e">
        <f>IF(LEN(#REF!)=9,"1","0")</f>
        <v>#REF!</v>
      </c>
      <c r="M69" t="e">
        <f>IF(#REF!="String","string",IF(#REF!="Date","date",IF(#REF!="Integer","integer",#REF!)))</f>
        <v>#REF!</v>
      </c>
    </row>
    <row r="70" spans="4:13" x14ac:dyDescent="0.75">
      <c r="D70" t="e">
        <f>#REF!</f>
        <v>#REF!</v>
      </c>
      <c r="H70" t="e">
        <f>#REF!</f>
        <v>#REF!</v>
      </c>
      <c r="I70" s="40" t="s">
        <v>76</v>
      </c>
      <c r="J70" s="40" t="s">
        <v>76</v>
      </c>
      <c r="K70" s="40" t="s">
        <v>76</v>
      </c>
      <c r="L70" s="41">
        <v>0</v>
      </c>
      <c r="M70" s="42" t="s">
        <v>2</v>
      </c>
    </row>
    <row r="71" spans="4:13" x14ac:dyDescent="0.75">
      <c r="D71" t="e">
        <f>#REF!</f>
        <v>#REF!</v>
      </c>
      <c r="H71" t="e">
        <f>#REF!</f>
        <v>#REF!</v>
      </c>
      <c r="I71" t="e">
        <f>SUBSTITUTE(#REF!,"_",".")</f>
        <v>#REF!</v>
      </c>
      <c r="J71" t="e">
        <f>#REF!&amp;" ["&amp;#REF!&amp;"]"</f>
        <v>#REF!</v>
      </c>
      <c r="K71" s="2" t="e">
        <f>IF(#REF!="",#REF!,#REF!)&amp;IF(#REF!="","",CHAR(10)&amp;CHAR(13)&amp;"ConceptualDomain: "&amp;#REF!)&amp;CHAR(10)&amp;CHAR(13)&amp;#REF!</f>
        <v>#REF!</v>
      </c>
      <c r="L71" s="39" t="e">
        <f>IF(LEN(#REF!)=9,"1","0")</f>
        <v>#REF!</v>
      </c>
      <c r="M71" t="e">
        <f>IF(#REF!="String","string",IF(#REF!="Date","date",IF(#REF!="Integer","integer",#REF!)))</f>
        <v>#REF!</v>
      </c>
    </row>
    <row r="72" spans="4:13" x14ac:dyDescent="0.75">
      <c r="D72" t="e">
        <f>#REF!</f>
        <v>#REF!</v>
      </c>
      <c r="H72" t="e">
        <f>#REF!</f>
        <v>#REF!</v>
      </c>
      <c r="I72" t="e">
        <f>SUBSTITUTE(#REF!,"_",".")</f>
        <v>#REF!</v>
      </c>
      <c r="J72" t="e">
        <f>#REF!&amp;" ["&amp;#REF!&amp;"]"</f>
        <v>#REF!</v>
      </c>
      <c r="K72" s="2" t="e">
        <f>IF(#REF!="",#REF!,#REF!)&amp;IF(#REF!="","",CHAR(10)&amp;CHAR(13)&amp;"ConceptualDomain: "&amp;#REF!)&amp;CHAR(10)&amp;CHAR(13)&amp;#REF!</f>
        <v>#REF!</v>
      </c>
      <c r="L72" s="39" t="e">
        <f>IF(LEN(#REF!)=9,"1","0")</f>
        <v>#REF!</v>
      </c>
      <c r="M72" t="e">
        <f>IF(#REF!="String","string",IF(#REF!="Date","date",IF(#REF!="Integer","integer",#REF!)))</f>
        <v>#REF!</v>
      </c>
    </row>
    <row r="73" spans="4:13" x14ac:dyDescent="0.75">
      <c r="D73" t="e">
        <f>#REF!</f>
        <v>#REF!</v>
      </c>
      <c r="I73" s="40" t="s">
        <v>78</v>
      </c>
      <c r="J73" s="40" t="s">
        <v>78</v>
      </c>
      <c r="K73" s="40" t="s">
        <v>78</v>
      </c>
      <c r="L73" s="41">
        <v>0</v>
      </c>
      <c r="M73" s="42" t="s">
        <v>2</v>
      </c>
    </row>
    <row r="74" spans="4:13" x14ac:dyDescent="0.75">
      <c r="D74" t="e">
        <f>#REF!</f>
        <v>#REF!</v>
      </c>
      <c r="H74" t="e">
        <f>#REF!</f>
        <v>#REF!</v>
      </c>
      <c r="I74" t="e">
        <f>SUBSTITUTE(#REF!,"_",".")</f>
        <v>#REF!</v>
      </c>
      <c r="J74" t="e">
        <f>#REF!&amp;" ["&amp;#REF!&amp;"]"</f>
        <v>#REF!</v>
      </c>
      <c r="K74" s="2" t="e">
        <f>IF(#REF!="",#REF!,#REF!)&amp;IF(#REF!="","",CHAR(10)&amp;CHAR(13)&amp;"ConceptualDomain: "&amp;#REF!)&amp;CHAR(10)&amp;CHAR(13)&amp;#REF!</f>
        <v>#REF!</v>
      </c>
      <c r="L74" s="39" t="e">
        <f>IF(LEN(#REF!)=9,"1","0")</f>
        <v>#REF!</v>
      </c>
      <c r="M74" t="e">
        <f>IF(#REF!="String","string",IF(#REF!="Date","date",IF(#REF!="Integer","integer",#REF!)))</f>
        <v>#REF!</v>
      </c>
    </row>
    <row r="75" spans="4:13" x14ac:dyDescent="0.75">
      <c r="D75" t="e">
        <f>#REF!</f>
        <v>#REF!</v>
      </c>
      <c r="H75" t="e">
        <f>#REF!</f>
        <v>#REF!</v>
      </c>
      <c r="I75" t="e">
        <f>SUBSTITUTE(#REF!,"_",".")</f>
        <v>#REF!</v>
      </c>
      <c r="J75" t="e">
        <f>#REF!&amp;" ["&amp;#REF!&amp;"]"</f>
        <v>#REF!</v>
      </c>
      <c r="K75" s="2" t="e">
        <f>IF(#REF!="",#REF!,#REF!)&amp;IF(#REF!="","",CHAR(10)&amp;CHAR(13)&amp;"ConceptualDomain: "&amp;#REF!)&amp;CHAR(10)&amp;CHAR(13)&amp;#REF!</f>
        <v>#REF!</v>
      </c>
      <c r="L75" s="39" t="e">
        <f>IF(LEN(#REF!)=9,"1","0")</f>
        <v>#REF!</v>
      </c>
      <c r="M75" t="e">
        <f>IF(#REF!="String","string",IF(#REF!="Date","date",IF(#REF!="Integer","integer",#REF!)))</f>
        <v>#REF!</v>
      </c>
    </row>
    <row r="76" spans="4:13" x14ac:dyDescent="0.75">
      <c r="D76" t="e">
        <f>#REF!</f>
        <v>#REF!</v>
      </c>
      <c r="H76" t="e">
        <f>#REF!</f>
        <v>#REF!</v>
      </c>
      <c r="I76" t="e">
        <f>SUBSTITUTE(#REF!,"_",".")</f>
        <v>#REF!</v>
      </c>
      <c r="J76" t="e">
        <f>#REF!&amp;" ["&amp;#REF!&amp;"]"</f>
        <v>#REF!</v>
      </c>
      <c r="K76" s="2" t="e">
        <f>IF(#REF!="",#REF!,#REF!)&amp;IF(#REF!="","",CHAR(10)&amp;CHAR(13)&amp;"ConceptualDomain: "&amp;#REF!)&amp;CHAR(10)&amp;CHAR(13)&amp;#REF!</f>
        <v>#REF!</v>
      </c>
      <c r="L76" s="39" t="e">
        <f>IF(LEN(#REF!)=9,"1","0")</f>
        <v>#REF!</v>
      </c>
      <c r="M76" t="e">
        <f>IF(#REF!="String","string",IF(#REF!="Date","date",IF(#REF!="Integer","integer",#REF!)))</f>
        <v>#REF!</v>
      </c>
    </row>
    <row r="77" spans="4:13" x14ac:dyDescent="0.75">
      <c r="D77" t="e">
        <f>#REF!</f>
        <v>#REF!</v>
      </c>
      <c r="I77" t="e">
        <f>SUBSTITUTE(#REF!,"_",".")</f>
        <v>#REF!</v>
      </c>
      <c r="J77" t="e">
        <f>#REF!&amp;" ["&amp;#REF!&amp;"]"</f>
        <v>#REF!</v>
      </c>
      <c r="K77" s="2" t="e">
        <f>IF(#REF!="",#REF!,#REF!)&amp;IF(#REF!="","",CHAR(10)&amp;CHAR(13)&amp;"ConceptualDomain: "&amp;#REF!)&amp;CHAR(10)&amp;CHAR(13)&amp;#REF!</f>
        <v>#REF!</v>
      </c>
      <c r="L77" s="39" t="e">
        <f>IF(LEN(#REF!)=9,"1","0")</f>
        <v>#REF!</v>
      </c>
      <c r="M77" t="e">
        <f>IF(#REF!="String","string",IF(#REF!="Date","date",IF(#REF!="Integer","integer",#REF!)))</f>
        <v>#REF!</v>
      </c>
    </row>
    <row r="78" spans="4:13" x14ac:dyDescent="0.75">
      <c r="D78" t="e">
        <f>#REF!</f>
        <v>#REF!</v>
      </c>
      <c r="I78" t="e">
        <f>SUBSTITUTE(#REF!,"_",".")</f>
        <v>#REF!</v>
      </c>
      <c r="J78" t="e">
        <f>#REF!&amp;" ["&amp;#REF!&amp;"]"</f>
        <v>#REF!</v>
      </c>
      <c r="K78" s="2" t="e">
        <f>IF(#REF!="",#REF!,#REF!)&amp;IF(#REF!="","",CHAR(10)&amp;CHAR(13)&amp;"ConceptualDomain: "&amp;#REF!)&amp;CHAR(10)&amp;CHAR(13)&amp;#REF!</f>
        <v>#REF!</v>
      </c>
      <c r="L78" s="39" t="e">
        <f>IF(LEN(#REF!)=9,"1","0")</f>
        <v>#REF!</v>
      </c>
      <c r="M78" t="e">
        <f>IF(#REF!="String","string",IF(#REF!="Date","date",IF(#REF!="Integer","integer",#REF!)))</f>
        <v>#REF!</v>
      </c>
    </row>
    <row r="79" spans="4:13" x14ac:dyDescent="0.75">
      <c r="D79" t="e">
        <f>#REF!</f>
        <v>#REF!</v>
      </c>
      <c r="I79" t="e">
        <f>SUBSTITUTE(#REF!,"_",".")</f>
        <v>#REF!</v>
      </c>
      <c r="J79" t="e">
        <f>#REF!&amp;" ["&amp;#REF!&amp;"]"</f>
        <v>#REF!</v>
      </c>
      <c r="K79" s="2" t="e">
        <f>IF(#REF!="",#REF!,#REF!)&amp;IF(#REF!="","",CHAR(10)&amp;CHAR(13)&amp;"ConceptualDomain: "&amp;#REF!)&amp;CHAR(10)&amp;CHAR(13)&amp;#REF!</f>
        <v>#REF!</v>
      </c>
      <c r="L79" s="39" t="e">
        <f>IF(LEN(#REF!)=9,"1","0")</f>
        <v>#REF!</v>
      </c>
      <c r="M79" t="e">
        <f>IF(#REF!="String","string",IF(#REF!="Date","date",IF(#REF!="Integer","integer",#REF!)))</f>
        <v>#REF!</v>
      </c>
    </row>
    <row r="80" spans="4:13" x14ac:dyDescent="0.75">
      <c r="D80" t="e">
        <f>#REF!</f>
        <v>#REF!</v>
      </c>
      <c r="I80" t="e">
        <f>SUBSTITUTE(#REF!,"_",".")</f>
        <v>#REF!</v>
      </c>
      <c r="J80" t="e">
        <f>#REF!&amp;" ["&amp;#REF!&amp;"]"</f>
        <v>#REF!</v>
      </c>
      <c r="K80" s="2" t="e">
        <f>IF(#REF!="",#REF!,#REF!)&amp;IF(#REF!="","",CHAR(10)&amp;CHAR(13)&amp;"ConceptualDomain: "&amp;#REF!)&amp;CHAR(10)&amp;CHAR(13)&amp;#REF!</f>
        <v>#REF!</v>
      </c>
      <c r="L80" s="39" t="e">
        <f>IF(LEN(#REF!)=9,"1","0")</f>
        <v>#REF!</v>
      </c>
      <c r="M80" t="e">
        <f>IF(#REF!="String","string",IF(#REF!="Date","date",IF(#REF!="Integer","integer",#REF!)))</f>
        <v>#REF!</v>
      </c>
    </row>
    <row r="81" spans="4:13" x14ac:dyDescent="0.75">
      <c r="D81" t="e">
        <f>#REF!</f>
        <v>#REF!</v>
      </c>
      <c r="I81" t="e">
        <f>SUBSTITUTE(#REF!,"_",".")</f>
        <v>#REF!</v>
      </c>
      <c r="J81" t="e">
        <f>#REF!&amp;" ["&amp;#REF!&amp;"]"</f>
        <v>#REF!</v>
      </c>
      <c r="K81" s="2" t="e">
        <f>IF(#REF!="",#REF!,#REF!)&amp;IF(#REF!="","",CHAR(10)&amp;CHAR(13)&amp;"ConceptualDomain: "&amp;#REF!)&amp;CHAR(10)&amp;CHAR(13)&amp;#REF!</f>
        <v>#REF!</v>
      </c>
      <c r="L81" s="39" t="e">
        <f>IF(LEN(#REF!)=9,"1","0")</f>
        <v>#REF!</v>
      </c>
      <c r="M81" t="e">
        <f>IF(#REF!="String","string",IF(#REF!="Date","date",IF(#REF!="Integer","integer",#REF!)))</f>
        <v>#REF!</v>
      </c>
    </row>
    <row r="82" spans="4:13" x14ac:dyDescent="0.75">
      <c r="D82" t="e">
        <f>#REF!</f>
        <v>#REF!</v>
      </c>
      <c r="I82" s="40" t="s">
        <v>79</v>
      </c>
      <c r="J82" s="40" t="s">
        <v>79</v>
      </c>
      <c r="K82" s="40" t="s">
        <v>79</v>
      </c>
      <c r="L82" s="41">
        <v>1</v>
      </c>
      <c r="M82" s="42" t="s">
        <v>2</v>
      </c>
    </row>
    <row r="83" spans="4:13" x14ac:dyDescent="0.75">
      <c r="D83" t="e">
        <f>#REF!</f>
        <v>#REF!</v>
      </c>
      <c r="H83" t="e">
        <f>#REF!</f>
        <v>#REF!</v>
      </c>
      <c r="I83" t="e">
        <f>SUBSTITUTE(#REF!,"_",".")</f>
        <v>#REF!</v>
      </c>
      <c r="J83" t="e">
        <f>#REF!&amp;" ["&amp;#REF!&amp;"]"</f>
        <v>#REF!</v>
      </c>
      <c r="K83" s="2" t="e">
        <f>IF(#REF!="",#REF!,#REF!)&amp;IF(#REF!="","",CHAR(10)&amp;CHAR(13)&amp;"ConceptualDomain: "&amp;#REF!)&amp;CHAR(10)&amp;CHAR(13)&amp;#REF!</f>
        <v>#REF!</v>
      </c>
      <c r="L83" s="39" t="e">
        <f>IF(LEN(#REF!)=9,"1","0")</f>
        <v>#REF!</v>
      </c>
      <c r="M83" t="e">
        <f>IF(#REF!="String","string",IF(#REF!="Date","date",IF(#REF!="Integer","integer",#REF!)))</f>
        <v>#REF!</v>
      </c>
    </row>
    <row r="84" spans="4:13" x14ac:dyDescent="0.75">
      <c r="D84" t="e">
        <f>#REF!</f>
        <v>#REF!</v>
      </c>
      <c r="H84" t="e">
        <f>#REF!</f>
        <v>#REF!</v>
      </c>
      <c r="I84" t="e">
        <f>SUBSTITUTE(#REF!,"_",".")</f>
        <v>#REF!</v>
      </c>
      <c r="J84" t="e">
        <f>#REF!&amp;" ["&amp;#REF!&amp;"]"</f>
        <v>#REF!</v>
      </c>
      <c r="K84" s="2" t="e">
        <f>IF(#REF!="",#REF!,#REF!)&amp;IF(#REF!="","",CHAR(10)&amp;CHAR(13)&amp;"ConceptualDomain: "&amp;#REF!)&amp;CHAR(10)&amp;CHAR(13)&amp;#REF!</f>
        <v>#REF!</v>
      </c>
      <c r="L84" s="39" t="e">
        <f>IF(LEN(#REF!)=9,"1","0")</f>
        <v>#REF!</v>
      </c>
      <c r="M84" t="e">
        <f>IF(#REF!="String","string",IF(#REF!="Date","date",IF(#REF!="Integer","integer",#REF!)))</f>
        <v>#REF!</v>
      </c>
    </row>
    <row r="85" spans="4:13" x14ac:dyDescent="0.75">
      <c r="D85" t="e">
        <f>#REF!</f>
        <v>#REF!</v>
      </c>
      <c r="I85" t="e">
        <f>SUBSTITUTE(#REF!,"_",".")</f>
        <v>#REF!</v>
      </c>
      <c r="J85" t="e">
        <f>#REF!&amp;" ["&amp;#REF!&amp;"]"</f>
        <v>#REF!</v>
      </c>
      <c r="K85" s="2" t="e">
        <f>IF(#REF!="",#REF!,#REF!)&amp;IF(#REF!="","",CHAR(10)&amp;CHAR(13)&amp;"ConceptualDomain: "&amp;#REF!)&amp;CHAR(10)&amp;CHAR(13)&amp;#REF!</f>
        <v>#REF!</v>
      </c>
      <c r="L85" s="39" t="e">
        <f>IF(LEN(#REF!)=9,"1","0")</f>
        <v>#REF!</v>
      </c>
      <c r="M85" t="e">
        <f>IF(#REF!="String","string",IF(#REF!="Date","date",IF(#REF!="Integer","integer",#REF!)))</f>
        <v>#REF!</v>
      </c>
    </row>
    <row r="86" spans="4:13" x14ac:dyDescent="0.75">
      <c r="D86" t="e">
        <f>#REF!</f>
        <v>#REF!</v>
      </c>
      <c r="I86" t="e">
        <f>SUBSTITUTE(#REF!,"_",".")</f>
        <v>#REF!</v>
      </c>
      <c r="J86" t="e">
        <f>#REF!&amp;" ["&amp;#REF!&amp;"]"</f>
        <v>#REF!</v>
      </c>
      <c r="K86" s="2" t="e">
        <f>IF(#REF!="",#REF!,#REF!)&amp;IF(#REF!="","",CHAR(10)&amp;CHAR(13)&amp;"ConceptualDomain: "&amp;#REF!)&amp;CHAR(10)&amp;CHAR(13)&amp;#REF!</f>
        <v>#REF!</v>
      </c>
      <c r="L86" s="39" t="e">
        <f>IF(LEN(#REF!)=9,"1","0")</f>
        <v>#REF!</v>
      </c>
      <c r="M86" t="e">
        <f>IF(#REF!="String","string",IF(#REF!="Date","date",IF(#REF!="Integer","integer",#REF!)))</f>
        <v>#REF!</v>
      </c>
    </row>
    <row r="87" spans="4:13" x14ac:dyDescent="0.75">
      <c r="D87" t="e">
        <f>#REF!</f>
        <v>#REF!</v>
      </c>
      <c r="I87" s="40" t="s">
        <v>80</v>
      </c>
      <c r="J87" s="40" t="s">
        <v>80</v>
      </c>
      <c r="K87" s="40" t="s">
        <v>80</v>
      </c>
      <c r="L87" s="41">
        <v>0</v>
      </c>
      <c r="M87" s="42" t="s">
        <v>2</v>
      </c>
    </row>
    <row r="88" spans="4:13" x14ac:dyDescent="0.75">
      <c r="D88" t="e">
        <f>#REF!</f>
        <v>#REF!</v>
      </c>
      <c r="H88" t="e">
        <f>#REF!</f>
        <v>#REF!</v>
      </c>
      <c r="I88" t="e">
        <f>SUBSTITUTE(#REF!,"_",".")</f>
        <v>#REF!</v>
      </c>
      <c r="J88" t="e">
        <f>#REF!&amp;" ["&amp;#REF!&amp;"]"</f>
        <v>#REF!</v>
      </c>
      <c r="K88" s="2" t="e">
        <f>IF(#REF!="",#REF!,#REF!)&amp;IF(#REF!="","",CHAR(10)&amp;CHAR(13)&amp;"ConceptualDomain: "&amp;#REF!)&amp;CHAR(10)&amp;CHAR(13)&amp;#REF!</f>
        <v>#REF!</v>
      </c>
      <c r="L88" s="39" t="e">
        <f>IF(LEN(#REF!)=9,"1","0")</f>
        <v>#REF!</v>
      </c>
      <c r="M88" t="e">
        <f>IF(#REF!="String","string",IF(#REF!="Date","date",IF(#REF!="Integer","integer",#REF!)))</f>
        <v>#REF!</v>
      </c>
    </row>
    <row r="89" spans="4:13" x14ac:dyDescent="0.75">
      <c r="D89" t="e">
        <f>#REF!</f>
        <v>#REF!</v>
      </c>
      <c r="I89" s="40" t="s">
        <v>81</v>
      </c>
      <c r="J89" s="40" t="s">
        <v>81</v>
      </c>
      <c r="K89" s="40" t="s">
        <v>81</v>
      </c>
      <c r="L89" s="41">
        <v>1</v>
      </c>
      <c r="M89" s="42" t="s">
        <v>2</v>
      </c>
    </row>
    <row r="90" spans="4:13" x14ac:dyDescent="0.75">
      <c r="D90" t="e">
        <f>#REF!</f>
        <v>#REF!</v>
      </c>
      <c r="H90" t="e">
        <f>#REF!</f>
        <v>#REF!</v>
      </c>
      <c r="I90" t="e">
        <f>SUBSTITUTE(#REF!,"_",".")</f>
        <v>#REF!</v>
      </c>
      <c r="J90" t="e">
        <f>#REF!&amp;" ["&amp;#REF!&amp;"]"</f>
        <v>#REF!</v>
      </c>
      <c r="K90" s="2" t="e">
        <f>IF(#REF!="",#REF!,#REF!)&amp;IF(#REF!="","",CHAR(10)&amp;CHAR(13)&amp;"ConceptualDomain: "&amp;#REF!)&amp;CHAR(10)&amp;CHAR(13)&amp;#REF!</f>
        <v>#REF!</v>
      </c>
      <c r="L90" s="39" t="e">
        <f>IF(LEN(#REF!)=9,"1","0")</f>
        <v>#REF!</v>
      </c>
      <c r="M90" t="e">
        <f>IF(#REF!="String","string",IF(#REF!="Date","date",IF(#REF!="Integer","integer",#REF!)))</f>
        <v>#REF!</v>
      </c>
    </row>
    <row r="91" spans="4:13" x14ac:dyDescent="0.75">
      <c r="D91" t="e">
        <f>#REF!</f>
        <v>#REF!</v>
      </c>
      <c r="H91" t="e">
        <f>#REF!</f>
        <v>#REF!</v>
      </c>
      <c r="I91" s="40" t="s">
        <v>82</v>
      </c>
      <c r="J91" s="40" t="s">
        <v>82</v>
      </c>
      <c r="K91" s="40" t="s">
        <v>82</v>
      </c>
      <c r="L91" s="41">
        <v>0</v>
      </c>
      <c r="M91" s="42" t="s">
        <v>2</v>
      </c>
    </row>
    <row r="92" spans="4:13" x14ac:dyDescent="0.75">
      <c r="D92" t="e">
        <f>#REF!</f>
        <v>#REF!</v>
      </c>
      <c r="H92" t="e">
        <f>#REF!</f>
        <v>#REF!</v>
      </c>
      <c r="I92" t="e">
        <f>SUBSTITUTE(#REF!,"_",".")</f>
        <v>#REF!</v>
      </c>
      <c r="J92" t="e">
        <f>#REF!&amp;" ["&amp;#REF!&amp;"]"</f>
        <v>#REF!</v>
      </c>
      <c r="K92" s="2" t="e">
        <f>IF(#REF!="",#REF!,#REF!)&amp;IF(#REF!="","",CHAR(10)&amp;CHAR(13)&amp;"ConceptualDomain: "&amp;#REF!)&amp;CHAR(10)&amp;CHAR(13)&amp;#REF!</f>
        <v>#REF!</v>
      </c>
      <c r="L92" s="39" t="e">
        <f>IF(LEN(#REF!)=9,"1","0")</f>
        <v>#REF!</v>
      </c>
      <c r="M92" t="e">
        <f>IF(#REF!="String","string",IF(#REF!="Date","date",IF(#REF!="Integer","integer",#REF!)))</f>
        <v>#REF!</v>
      </c>
    </row>
    <row r="93" spans="4:13" x14ac:dyDescent="0.75">
      <c r="D93" t="e">
        <f>#REF!</f>
        <v>#REF!</v>
      </c>
      <c r="I93" t="e">
        <f>SUBSTITUTE(#REF!,"_",".")</f>
        <v>#REF!</v>
      </c>
      <c r="J93" t="e">
        <f>#REF!&amp;" ["&amp;#REF!&amp;"]"</f>
        <v>#REF!</v>
      </c>
      <c r="K93" s="2" t="e">
        <f>IF(#REF!="",#REF!,#REF!)&amp;IF(#REF!="","",CHAR(10)&amp;CHAR(13)&amp;"ConceptualDomain: "&amp;#REF!)&amp;CHAR(10)&amp;CHAR(13)&amp;#REF!</f>
        <v>#REF!</v>
      </c>
      <c r="L93" s="39" t="e">
        <f>IF(LEN(#REF!)=9,"1","0")</f>
        <v>#REF!</v>
      </c>
      <c r="M93" t="e">
        <f>IF(#REF!="String","string",IF(#REF!="Date","date",IF(#REF!="Integer","integer",#REF!)))</f>
        <v>#REF!</v>
      </c>
    </row>
    <row r="94" spans="4:13" x14ac:dyDescent="0.75">
      <c r="D94" t="e">
        <f>#REF!</f>
        <v>#REF!</v>
      </c>
      <c r="H94" t="e">
        <f>#REF!</f>
        <v>#REF!</v>
      </c>
      <c r="I94" t="e">
        <f>SUBSTITUTE(#REF!,"_",".")</f>
        <v>#REF!</v>
      </c>
      <c r="J94" t="e">
        <f>#REF!&amp;" ["&amp;#REF!&amp;"]"</f>
        <v>#REF!</v>
      </c>
      <c r="K94" s="2" t="e">
        <f>IF(#REF!="",#REF!,#REF!)&amp;IF(#REF!="","",CHAR(10)&amp;CHAR(13)&amp;"ConceptualDomain: "&amp;#REF!)&amp;CHAR(10)&amp;CHAR(13)&amp;#REF!</f>
        <v>#REF!</v>
      </c>
      <c r="L94" s="39" t="e">
        <f>IF(LEN(#REF!)=9,"1","0")</f>
        <v>#REF!</v>
      </c>
      <c r="M94" t="e">
        <f>IF(#REF!="String","string",IF(#REF!="Date","date",IF(#REF!="Integer","integer",#REF!)))</f>
        <v>#REF!</v>
      </c>
    </row>
    <row r="95" spans="4:13" x14ac:dyDescent="0.75">
      <c r="D95" t="e">
        <f>#REF!</f>
        <v>#REF!</v>
      </c>
      <c r="H95" s="40"/>
      <c r="I95" s="40" t="s">
        <v>83</v>
      </c>
      <c r="J95" s="40" t="s">
        <v>83</v>
      </c>
      <c r="K95" s="40" t="s">
        <v>83</v>
      </c>
      <c r="L95" s="41">
        <v>1</v>
      </c>
      <c r="M95" s="42" t="s">
        <v>2</v>
      </c>
    </row>
    <row r="96" spans="4:13" x14ac:dyDescent="0.75">
      <c r="D96" t="e">
        <f>#REF!</f>
        <v>#REF!</v>
      </c>
      <c r="H96" t="e">
        <f>#REF!</f>
        <v>#REF!</v>
      </c>
      <c r="I96" t="e">
        <f>SUBSTITUTE(#REF!,"_",".")</f>
        <v>#REF!</v>
      </c>
      <c r="J96" t="e">
        <f>#REF!&amp;" ["&amp;#REF!&amp;"]"</f>
        <v>#REF!</v>
      </c>
      <c r="K96" s="2" t="e">
        <f>IF(#REF!="",#REF!,#REF!)&amp;IF(#REF!="","",CHAR(10)&amp;CHAR(13)&amp;"ConceptualDomain: "&amp;#REF!)&amp;CHAR(10)&amp;CHAR(13)&amp;#REF!</f>
        <v>#REF!</v>
      </c>
      <c r="L96" s="39" t="e">
        <f>IF(LEN(#REF!)=9,"1","0")</f>
        <v>#REF!</v>
      </c>
      <c r="M96" t="e">
        <f>IF(#REF!="String","string",IF(#REF!="Date","date",IF(#REF!="Integer","integer",#REF!)))</f>
        <v>#REF!</v>
      </c>
    </row>
    <row r="97" spans="4:13" x14ac:dyDescent="0.75">
      <c r="D97" t="e">
        <f>#REF!</f>
        <v>#REF!</v>
      </c>
      <c r="H97" t="e">
        <f>#REF!</f>
        <v>#REF!</v>
      </c>
      <c r="I97" t="e">
        <f>SUBSTITUTE(#REF!,"_",".")</f>
        <v>#REF!</v>
      </c>
      <c r="J97" t="e">
        <f>#REF!&amp;" ["&amp;#REF!&amp;"]"</f>
        <v>#REF!</v>
      </c>
      <c r="K97" s="2" t="e">
        <f>IF(#REF!="",#REF!,#REF!)&amp;IF(#REF!="","",CHAR(10)&amp;CHAR(13)&amp;"ConceptualDomain: "&amp;#REF!)&amp;CHAR(10)&amp;CHAR(13)&amp;#REF!</f>
        <v>#REF!</v>
      </c>
      <c r="L97" s="39" t="e">
        <f>IF(LEN(#REF!)=9,"1","0")</f>
        <v>#REF!</v>
      </c>
      <c r="M97" t="e">
        <f>IF(#REF!="String","string",IF(#REF!="Date","date",IF(#REF!="Integer","integer",#REF!)))</f>
        <v>#REF!</v>
      </c>
    </row>
    <row r="98" spans="4:13" x14ac:dyDescent="0.75">
      <c r="D98" t="e">
        <f>#REF!</f>
        <v>#REF!</v>
      </c>
      <c r="H98" t="e">
        <f>#REF!</f>
        <v>#REF!</v>
      </c>
      <c r="I98" t="e">
        <f>SUBSTITUTE(#REF!,"_",".")</f>
        <v>#REF!</v>
      </c>
      <c r="J98" t="e">
        <f>#REF!&amp;" ["&amp;#REF!&amp;"]"</f>
        <v>#REF!</v>
      </c>
      <c r="K98" s="2" t="e">
        <f>IF(#REF!="",#REF!,#REF!)&amp;IF(#REF!="","",CHAR(10)&amp;CHAR(13)&amp;"ConceptualDomain: "&amp;#REF!)&amp;CHAR(10)&amp;CHAR(13)&amp;#REF!</f>
        <v>#REF!</v>
      </c>
      <c r="L98" s="39" t="e">
        <f>IF(LEN(#REF!)=9,"1","0")</f>
        <v>#REF!</v>
      </c>
      <c r="M98" t="e">
        <f>IF(#REF!="String","string",IF(#REF!="Date","date",IF(#REF!="Integer","integer",#REF!)))</f>
        <v>#REF!</v>
      </c>
    </row>
    <row r="99" spans="4:13" x14ac:dyDescent="0.75">
      <c r="D99" t="e">
        <f>#REF!</f>
        <v>#REF!</v>
      </c>
      <c r="H99" t="e">
        <f>#REF!</f>
        <v>#REF!</v>
      </c>
      <c r="I99" t="e">
        <f>SUBSTITUTE(#REF!,"_",".")</f>
        <v>#REF!</v>
      </c>
      <c r="J99" t="e">
        <f>#REF!&amp;" ["&amp;#REF!&amp;"]"</f>
        <v>#REF!</v>
      </c>
      <c r="K99" s="2" t="e">
        <f>IF(#REF!="",#REF!,#REF!)&amp;IF(#REF!="","",CHAR(10)&amp;CHAR(13)&amp;"ConceptualDomain: "&amp;#REF!)&amp;CHAR(10)&amp;CHAR(13)&amp;#REF!</f>
        <v>#REF!</v>
      </c>
      <c r="L99" s="39" t="e">
        <f>IF(LEN(#REF!)=9,"1","0")</f>
        <v>#REF!</v>
      </c>
      <c r="M99" t="e">
        <f>IF(#REF!="String","string",IF(#REF!="Date","date",IF(#REF!="Integer","integer",#REF!)))</f>
        <v>#REF!</v>
      </c>
    </row>
    <row r="100" spans="4:13" x14ac:dyDescent="0.75">
      <c r="D100" t="e">
        <f>#REF!</f>
        <v>#REF!</v>
      </c>
      <c r="I100" s="40" t="s">
        <v>84</v>
      </c>
      <c r="J100" s="40" t="s">
        <v>84</v>
      </c>
      <c r="K100" s="40" t="s">
        <v>84</v>
      </c>
      <c r="L100" s="41">
        <v>0</v>
      </c>
      <c r="M100" s="42" t="s">
        <v>2</v>
      </c>
    </row>
    <row r="101" spans="4:13" x14ac:dyDescent="0.75">
      <c r="D101" t="e">
        <f>#REF!</f>
        <v>#REF!</v>
      </c>
      <c r="H101" t="e">
        <f>#REF!</f>
        <v>#REF!</v>
      </c>
      <c r="I101" t="e">
        <f>SUBSTITUTE(#REF!,"_",".")</f>
        <v>#REF!</v>
      </c>
      <c r="J101" t="e">
        <f>#REF!&amp;" ["&amp;#REF!&amp;"]"</f>
        <v>#REF!</v>
      </c>
      <c r="K101" s="2" t="e">
        <f>IF(#REF!="",#REF!,#REF!)&amp;IF(#REF!="","",CHAR(10)&amp;CHAR(13)&amp;"ConceptualDomain: "&amp;#REF!)&amp;CHAR(10)&amp;CHAR(13)&amp;#REF!</f>
        <v>#REF!</v>
      </c>
      <c r="L101" s="39" t="e">
        <f>IF(LEN(#REF!)=9,"1","0")</f>
        <v>#REF!</v>
      </c>
      <c r="M101" t="e">
        <f>IF(#REF!="String","string",IF(#REF!="Date","date",IF(#REF!="Integer","integer",#REF!)))</f>
        <v>#REF!</v>
      </c>
    </row>
    <row r="102" spans="4:13" x14ac:dyDescent="0.75">
      <c r="D102" t="e">
        <f>#REF!</f>
        <v>#REF!</v>
      </c>
      <c r="I102" t="e">
        <f>SUBSTITUTE(#REF!,"_",".")</f>
        <v>#REF!</v>
      </c>
      <c r="J102" t="e">
        <f>#REF!&amp;" ["&amp;#REF!&amp;"]"</f>
        <v>#REF!</v>
      </c>
      <c r="K102" s="2" t="e">
        <f>IF(#REF!="",#REF!,#REF!)&amp;IF(#REF!="","",CHAR(10)&amp;CHAR(13)&amp;"ConceptualDomain: "&amp;#REF!)&amp;CHAR(10)&amp;CHAR(13)&amp;#REF!</f>
        <v>#REF!</v>
      </c>
      <c r="L102" s="39" t="e">
        <f>IF(LEN(#REF!)=9,"1","0")</f>
        <v>#REF!</v>
      </c>
      <c r="M102" t="e">
        <f>IF(#REF!="String","string",IF(#REF!="Date","date",IF(#REF!="Integer","integer",#REF!)))</f>
        <v>#REF!</v>
      </c>
    </row>
    <row r="103" spans="4:13" x14ac:dyDescent="0.75">
      <c r="D103" t="e">
        <f>#REF!</f>
        <v>#REF!</v>
      </c>
      <c r="I103" t="e">
        <f>SUBSTITUTE(#REF!,"_",".")</f>
        <v>#REF!</v>
      </c>
      <c r="J103" t="e">
        <f>#REF!&amp;" ["&amp;#REF!&amp;"]"</f>
        <v>#REF!</v>
      </c>
      <c r="K103" s="2" t="e">
        <f>IF(#REF!="",#REF!,#REF!)&amp;IF(#REF!="","",CHAR(10)&amp;CHAR(13)&amp;"ConceptualDomain: "&amp;#REF!)&amp;CHAR(10)&amp;CHAR(13)&amp;#REF!</f>
        <v>#REF!</v>
      </c>
      <c r="L103" s="39" t="e">
        <f>IF(LEN(#REF!)=9,"1","0")</f>
        <v>#REF!</v>
      </c>
      <c r="M103" t="e">
        <f>IF(#REF!="String","string",IF(#REF!="Date","date",IF(#REF!="Integer","integer",#REF!)))</f>
        <v>#REF!</v>
      </c>
    </row>
    <row r="104" spans="4:13" x14ac:dyDescent="0.75">
      <c r="D104" t="e">
        <f>#REF!</f>
        <v>#REF!</v>
      </c>
      <c r="I104" s="40" t="s">
        <v>85</v>
      </c>
      <c r="J104" s="40" t="s">
        <v>85</v>
      </c>
      <c r="K104" s="40" t="s">
        <v>85</v>
      </c>
      <c r="L104" s="41">
        <v>1</v>
      </c>
      <c r="M104" s="42" t="s">
        <v>2</v>
      </c>
    </row>
    <row r="105" spans="4:13" x14ac:dyDescent="0.75">
      <c r="D105" t="e">
        <f>#REF!</f>
        <v>#REF!</v>
      </c>
      <c r="H105" t="e">
        <f>#REF!</f>
        <v>#REF!</v>
      </c>
      <c r="I105" t="e">
        <f>SUBSTITUTE(#REF!,"_",".")</f>
        <v>#REF!</v>
      </c>
      <c r="J105" t="e">
        <f>#REF!&amp;" ["&amp;#REF!&amp;"]"</f>
        <v>#REF!</v>
      </c>
      <c r="K105" s="2" t="e">
        <f>IF(#REF!="",#REF!,#REF!)&amp;IF(#REF!="","",CHAR(10)&amp;CHAR(13)&amp;"ConceptualDomain: "&amp;#REF!)&amp;CHAR(10)&amp;CHAR(13)&amp;#REF!</f>
        <v>#REF!</v>
      </c>
      <c r="L105" s="39" t="e">
        <f>IF(LEN(#REF!)=9,"1","0")</f>
        <v>#REF!</v>
      </c>
      <c r="M105" t="e">
        <f>IF(#REF!="String","string",IF(#REF!="Date","date",IF(#REF!="Integer","integer",#REF!)))</f>
        <v>#REF!</v>
      </c>
    </row>
    <row r="106" spans="4:13" x14ac:dyDescent="0.75">
      <c r="D106" t="e">
        <f>#REF!</f>
        <v>#REF!</v>
      </c>
      <c r="H106" t="e">
        <f>#REF!</f>
        <v>#REF!</v>
      </c>
      <c r="I106" t="e">
        <f>SUBSTITUTE(#REF!,"_",".")</f>
        <v>#REF!</v>
      </c>
      <c r="J106" t="e">
        <f>#REF!&amp;" ["&amp;#REF!&amp;"]"</f>
        <v>#REF!</v>
      </c>
      <c r="K106" s="2" t="e">
        <f>IF(#REF!="",#REF!,#REF!)&amp;IF(#REF!="","",CHAR(10)&amp;CHAR(13)&amp;"ConceptualDomain: "&amp;#REF!)&amp;CHAR(10)&amp;CHAR(13)&amp;#REF!</f>
        <v>#REF!</v>
      </c>
      <c r="L106" s="39" t="e">
        <f>IF(LEN(#REF!)=9,"1","0")</f>
        <v>#REF!</v>
      </c>
      <c r="M106" t="e">
        <f>IF(#REF!="String","string",IF(#REF!="Date","date",IF(#REF!="Integer","integer",#REF!)))</f>
        <v>#REF!</v>
      </c>
    </row>
    <row r="107" spans="4:13" x14ac:dyDescent="0.75">
      <c r="D107" t="e">
        <f>#REF!</f>
        <v>#REF!</v>
      </c>
      <c r="H107" t="e">
        <f>#REF!</f>
        <v>#REF!</v>
      </c>
      <c r="I107" t="e">
        <f>SUBSTITUTE(#REF!,"_",".")</f>
        <v>#REF!</v>
      </c>
      <c r="J107" t="e">
        <f>#REF!&amp;" ["&amp;#REF!&amp;"]"</f>
        <v>#REF!</v>
      </c>
      <c r="K107" s="2" t="e">
        <f>IF(#REF!="",#REF!,#REF!)&amp;IF(#REF!="","",CHAR(10)&amp;CHAR(13)&amp;"ConceptualDomain: "&amp;#REF!)&amp;CHAR(10)&amp;CHAR(13)&amp;#REF!</f>
        <v>#REF!</v>
      </c>
      <c r="L107" s="39" t="e">
        <f>IF(LEN(#REF!)=9,"1","0")</f>
        <v>#REF!</v>
      </c>
      <c r="M107" t="e">
        <f>IF(#REF!="String","string",IF(#REF!="Date","date",IF(#REF!="Integer","integer",#REF!)))</f>
        <v>#REF!</v>
      </c>
    </row>
    <row r="108" spans="4:13" x14ac:dyDescent="0.75">
      <c r="D108" t="e">
        <f>#REF!</f>
        <v>#REF!</v>
      </c>
      <c r="H108" t="e">
        <f>#REF!</f>
        <v>#REF!</v>
      </c>
      <c r="I108" t="e">
        <f>SUBSTITUTE(#REF!,"_",".")</f>
        <v>#REF!</v>
      </c>
      <c r="J108" t="e">
        <f>#REF!&amp;" ["&amp;#REF!&amp;"]"</f>
        <v>#REF!</v>
      </c>
      <c r="K108" s="2" t="e">
        <f>IF(#REF!="",#REF!,#REF!)&amp;IF(#REF!="","",CHAR(10)&amp;CHAR(13)&amp;"ConceptualDomain: "&amp;#REF!)&amp;CHAR(10)&amp;CHAR(13)&amp;#REF!</f>
        <v>#REF!</v>
      </c>
      <c r="L108" s="39" t="e">
        <f>IF(LEN(#REF!)=9,"1","0")</f>
        <v>#REF!</v>
      </c>
      <c r="M108" t="e">
        <f>IF(#REF!="String","string",IF(#REF!="Date","date",IF(#REF!="Integer","integer",#REF!)))</f>
        <v>#REF!</v>
      </c>
    </row>
    <row r="109" spans="4:13" x14ac:dyDescent="0.75">
      <c r="D109" t="e">
        <f>#REF!</f>
        <v>#REF!</v>
      </c>
      <c r="H109" t="e">
        <f>#REF!</f>
        <v>#REF!</v>
      </c>
      <c r="I109" t="e">
        <f>SUBSTITUTE(#REF!,"_",".")</f>
        <v>#REF!</v>
      </c>
      <c r="J109" t="e">
        <f>#REF!&amp;" ["&amp;#REF!&amp;"]"</f>
        <v>#REF!</v>
      </c>
      <c r="K109" s="2" t="e">
        <f>IF(#REF!="",#REF!,#REF!)&amp;IF(#REF!="","",CHAR(10)&amp;CHAR(13)&amp;"ConceptualDomain: "&amp;#REF!)&amp;CHAR(10)&amp;CHAR(13)&amp;#REF!</f>
        <v>#REF!</v>
      </c>
      <c r="L109" s="39" t="e">
        <f>IF(LEN(#REF!)=9,"1","0")</f>
        <v>#REF!</v>
      </c>
      <c r="M109" t="e">
        <f>IF(#REF!="String","string",IF(#REF!="Date","date",IF(#REF!="Integer","integer",#REF!)))</f>
        <v>#REF!</v>
      </c>
    </row>
    <row r="110" spans="4:13" x14ac:dyDescent="0.75">
      <c r="D110" t="e">
        <f>#REF!</f>
        <v>#REF!</v>
      </c>
      <c r="H110" t="e">
        <f>#REF!</f>
        <v>#REF!</v>
      </c>
      <c r="I110" s="40" t="e">
        <f>#REF!</f>
        <v>#REF!</v>
      </c>
      <c r="J110" s="40" t="e">
        <f>#REF!</f>
        <v>#REF!</v>
      </c>
      <c r="K110" s="40" t="e">
        <f>#REF!</f>
        <v>#REF!</v>
      </c>
      <c r="L110" s="41">
        <v>1</v>
      </c>
      <c r="M110" s="42" t="s">
        <v>2</v>
      </c>
    </row>
    <row r="111" spans="4:13" x14ac:dyDescent="0.75">
      <c r="D111" t="e">
        <f>#REF!</f>
        <v>#REF!</v>
      </c>
      <c r="H111" t="e">
        <f>#REF!</f>
        <v>#REF!</v>
      </c>
      <c r="I111" t="e">
        <f>SUBSTITUTE(#REF!,"_",".")</f>
        <v>#REF!</v>
      </c>
      <c r="J111" t="e">
        <f>#REF!&amp;" ["&amp;#REF!&amp;"]"</f>
        <v>#REF!</v>
      </c>
      <c r="K111" s="2" t="e">
        <f>IF(#REF!="",#REF!,#REF!)&amp;IF(#REF!="","",CHAR(10)&amp;CHAR(13)&amp;"ConceptualDomain: "&amp;#REF!)&amp;CHAR(10)&amp;CHAR(13)&amp;#REF!</f>
        <v>#REF!</v>
      </c>
      <c r="L111" s="39" t="e">
        <f>IF(LEN(#REF!)=9,"1","0")</f>
        <v>#REF!</v>
      </c>
      <c r="M111" t="e">
        <f>IF(#REF!="String","string",IF(#REF!="Date","date",IF(#REF!="Integer","integer",#REF!)))</f>
        <v>#REF!</v>
      </c>
    </row>
    <row r="112" spans="4:13" x14ac:dyDescent="0.75">
      <c r="D112" t="e">
        <f>#REF!</f>
        <v>#REF!</v>
      </c>
      <c r="H112" t="e">
        <f>#REF!</f>
        <v>#REF!</v>
      </c>
      <c r="I112" t="e">
        <f>SUBSTITUTE(#REF!,"_",".")</f>
        <v>#REF!</v>
      </c>
      <c r="J112" t="e">
        <f>#REF!&amp;" ["&amp;#REF!&amp;"]"</f>
        <v>#REF!</v>
      </c>
      <c r="K112" s="2" t="e">
        <f>IF(#REF!="",#REF!,#REF!)&amp;IF(#REF!="","",CHAR(10)&amp;CHAR(13)&amp;"ConceptualDomain: "&amp;#REF!)&amp;CHAR(10)&amp;CHAR(13)&amp;#REF!</f>
        <v>#REF!</v>
      </c>
      <c r="L112" s="39" t="e">
        <f>IF(LEN(#REF!)=9,"1","0")</f>
        <v>#REF!</v>
      </c>
      <c r="M112" t="e">
        <f>IF(#REF!="String","string",IF(#REF!="Date","date",IF(#REF!="Integer","integer",#REF!)))</f>
        <v>#REF!</v>
      </c>
    </row>
    <row r="113" spans="4:15" x14ac:dyDescent="0.75">
      <c r="D113" t="e">
        <f>#REF!</f>
        <v>#REF!</v>
      </c>
      <c r="H113" t="e">
        <f>#REF!</f>
        <v>#REF!</v>
      </c>
      <c r="I113" t="e">
        <f>SUBSTITUTE(#REF!,"_",".")</f>
        <v>#REF!</v>
      </c>
      <c r="J113" t="e">
        <f>#REF!&amp;" ["&amp;#REF!&amp;"]"</f>
        <v>#REF!</v>
      </c>
      <c r="K113" s="2" t="e">
        <f>IF(#REF!="",#REF!,#REF!)&amp;IF(#REF!="","",CHAR(10)&amp;CHAR(13)&amp;"ConceptualDomain: "&amp;#REF!)&amp;CHAR(10)&amp;CHAR(13)&amp;#REF!</f>
        <v>#REF!</v>
      </c>
      <c r="L113" s="39" t="e">
        <f>IF(LEN(#REF!)=9,"1","0")</f>
        <v>#REF!</v>
      </c>
      <c r="M113" t="e">
        <f>IF(#REF!="String","string",IF(#REF!="Date","date",IF(#REF!="Integer","integer",#REF!)))</f>
        <v>#REF!</v>
      </c>
    </row>
    <row r="114" spans="4:15" x14ac:dyDescent="0.75">
      <c r="D114" t="e">
        <f>#REF!</f>
        <v>#REF!</v>
      </c>
      <c r="I114" t="e">
        <f>SUBSTITUTE(#REF!,"_",".")</f>
        <v>#REF!</v>
      </c>
      <c r="J114" t="e">
        <f>#REF!&amp;" ["&amp;#REF!&amp;"]"</f>
        <v>#REF!</v>
      </c>
      <c r="K114" s="2" t="e">
        <f>IF(#REF!="",#REF!,#REF!)&amp;IF(#REF!="","",CHAR(10)&amp;CHAR(13)&amp;"ConceptualDomain: "&amp;#REF!)&amp;CHAR(10)&amp;CHAR(13)&amp;#REF!</f>
        <v>#REF!</v>
      </c>
      <c r="L114" s="39" t="e">
        <f>IF(LEN(#REF!)=9,"1","0")</f>
        <v>#REF!</v>
      </c>
      <c r="M114" t="e">
        <f>IF(#REF!="String","string",IF(#REF!="Date","date",IF(#REF!="Integer","integer",#REF!)))</f>
        <v>#REF!</v>
      </c>
    </row>
    <row r="115" spans="4:15" x14ac:dyDescent="0.75">
      <c r="D115" t="e">
        <f>#REF!</f>
        <v>#REF!</v>
      </c>
      <c r="H115" t="e">
        <f>#REF!</f>
        <v>#REF!</v>
      </c>
      <c r="I115" s="40" t="e">
        <f>#REF!</f>
        <v>#REF!</v>
      </c>
      <c r="J115" s="40" t="e">
        <f>#REF!</f>
        <v>#REF!</v>
      </c>
      <c r="K115" s="40" t="e">
        <f>#REF!</f>
        <v>#REF!</v>
      </c>
      <c r="L115" s="41">
        <v>1</v>
      </c>
      <c r="M115" s="42" t="s">
        <v>2</v>
      </c>
    </row>
    <row r="116" spans="4:15" x14ac:dyDescent="0.75">
      <c r="D116" t="e">
        <f>#REF!</f>
        <v>#REF!</v>
      </c>
      <c r="H116" t="e">
        <f>#REF!</f>
        <v>#REF!</v>
      </c>
      <c r="I116" t="e">
        <f>SUBSTITUTE(#REF!,"_",".")</f>
        <v>#REF!</v>
      </c>
      <c r="J116" t="e">
        <f>#REF!&amp;" ["&amp;#REF!&amp;"]"</f>
        <v>#REF!</v>
      </c>
      <c r="K116" s="2" t="e">
        <f>IF(#REF!="",#REF!,#REF!)&amp;IF(#REF!="","",CHAR(10)&amp;CHAR(13)&amp;"ConceptualDomain: "&amp;#REF!)&amp;CHAR(10)&amp;CHAR(13)&amp;#REF!</f>
        <v>#REF!</v>
      </c>
      <c r="L116" s="39" t="e">
        <f>IF(LEN(#REF!)=9,"1","0")</f>
        <v>#REF!</v>
      </c>
      <c r="M116" t="e">
        <f>IF(#REF!="String","string",IF(#REF!="Date","date",IF(#REF!="Float","decimal",IF(#REF!="Integer","integer",#REF!))))</f>
        <v>#REF!</v>
      </c>
    </row>
    <row r="117" spans="4:15" x14ac:dyDescent="0.75">
      <c r="D117" t="e">
        <f>#REF!</f>
        <v>#REF!</v>
      </c>
      <c r="H117" t="e">
        <f>#REF!</f>
        <v>#REF!</v>
      </c>
      <c r="I117" t="e">
        <f>SUBSTITUTE(#REF!,"_",".")</f>
        <v>#REF!</v>
      </c>
      <c r="J117" t="e">
        <f>#REF!&amp;" ["&amp;#REF!&amp;"]"</f>
        <v>#REF!</v>
      </c>
      <c r="K117" s="2" t="e">
        <f>IF(#REF!="",#REF!,#REF!)&amp;IF(#REF!="","",CHAR(10)&amp;CHAR(13)&amp;"ConceptualDomain: "&amp;#REF!)&amp;CHAR(10)&amp;CHAR(13)&amp;#REF!</f>
        <v>#REF!</v>
      </c>
      <c r="L117" s="39" t="e">
        <f>IF(LEN(#REF!)=9,"1","0")</f>
        <v>#REF!</v>
      </c>
      <c r="M117" t="e">
        <f>IF(#REF!="String","string",IF(#REF!="Date","date",IF(#REF!="Float","decimal",IF(#REF!="Integer","integer",#REF!))))</f>
        <v>#REF!</v>
      </c>
    </row>
    <row r="118" spans="4:15" x14ac:dyDescent="0.75">
      <c r="D118" t="e">
        <f>#REF!</f>
        <v>#REF!</v>
      </c>
      <c r="H118" t="e">
        <f>#REF!</f>
        <v>#REF!</v>
      </c>
      <c r="I118" t="e">
        <f>SUBSTITUTE(#REF!,"_",".")</f>
        <v>#REF!</v>
      </c>
      <c r="J118" t="e">
        <f>#REF!&amp;" ["&amp;#REF!&amp;"]"</f>
        <v>#REF!</v>
      </c>
      <c r="K118" s="2" t="e">
        <f>IF(#REF!="",#REF!,#REF!)&amp;IF(#REF!="","",CHAR(10)&amp;CHAR(13)&amp;"ConceptualDomain: "&amp;#REF!)&amp;CHAR(10)&amp;CHAR(13)&amp;#REF!</f>
        <v>#REF!</v>
      </c>
      <c r="L118" s="39" t="e">
        <f>IF(LEN(#REF!)=9,"1","0")</f>
        <v>#REF!</v>
      </c>
      <c r="M118" t="e">
        <f>IF(#REF!="String","string",IF(#REF!="Date","date",IF(#REF!="Float","decimal",IF(#REF!="Integer","integer",#REF!))))</f>
        <v>#REF!</v>
      </c>
    </row>
    <row r="119" spans="4:15" x14ac:dyDescent="0.75">
      <c r="D119" t="e">
        <f>#REF!</f>
        <v>#REF!</v>
      </c>
      <c r="H119" t="e">
        <f>#REF!</f>
        <v>#REF!</v>
      </c>
      <c r="I119" t="e">
        <f>SUBSTITUTE(#REF!,"_",".")</f>
        <v>#REF!</v>
      </c>
      <c r="J119" t="e">
        <f>#REF!&amp;" ["&amp;#REF!&amp;"]"</f>
        <v>#REF!</v>
      </c>
      <c r="K119" s="2" t="e">
        <f>IF(#REF!="",#REF!,#REF!)&amp;IF(#REF!="","",CHAR(10)&amp;CHAR(13)&amp;"ConceptualDomain: "&amp;#REF!)&amp;CHAR(10)&amp;CHAR(13)&amp;#REF!</f>
        <v>#REF!</v>
      </c>
      <c r="L119" s="39" t="e">
        <f>IF(LEN(#REF!)=9,"1","0")</f>
        <v>#REF!</v>
      </c>
      <c r="M119" t="e">
        <f>IF(#REF!="String","string",IF(#REF!="Date","date",IF(#REF!="Float","decimal",IF(#REF!="Integer","integer",#REF!))))</f>
        <v>#REF!</v>
      </c>
    </row>
    <row r="120" spans="4:15" x14ac:dyDescent="0.75">
      <c r="D120" t="e">
        <f>#REF!</f>
        <v>#REF!</v>
      </c>
      <c r="H120" t="e">
        <f>#REF!</f>
        <v>#REF!</v>
      </c>
      <c r="I120" t="e">
        <f>SUBSTITUTE(#REF!,"_",".")</f>
        <v>#REF!</v>
      </c>
      <c r="J120" t="e">
        <f>#REF!&amp;" ["&amp;#REF!&amp;"]"</f>
        <v>#REF!</v>
      </c>
      <c r="K120" s="2" t="e">
        <f>IF(#REF!="",#REF!,#REF!)&amp;IF(#REF!="","",CHAR(10)&amp;CHAR(13)&amp;"ConceptualDomain: "&amp;#REF!)&amp;CHAR(10)&amp;CHAR(13)&amp;#REF!</f>
        <v>#REF!</v>
      </c>
      <c r="L120" s="39" t="e">
        <f>IF(LEN(#REF!)=9,"1","0")</f>
        <v>#REF!</v>
      </c>
      <c r="M120" t="e">
        <f>IF(#REF!="String","string",IF(#REF!="Date","date",IF(#REF!="Float","decimal",IF(#REF!="Integer","integer",#REF!))))</f>
        <v>#REF!</v>
      </c>
    </row>
    <row r="121" spans="4:15" x14ac:dyDescent="0.75">
      <c r="D121" t="e">
        <f>#REF!</f>
        <v>#REF!</v>
      </c>
      <c r="H121" t="e">
        <f>#REF!</f>
        <v>#REF!</v>
      </c>
      <c r="I121" t="e">
        <f>SUBSTITUTE(#REF!,"_",".")</f>
        <v>#REF!</v>
      </c>
      <c r="J121" t="e">
        <f>#REF!&amp;" ["&amp;#REF!&amp;"]"</f>
        <v>#REF!</v>
      </c>
      <c r="K121" s="2" t="e">
        <f>IF(#REF!="",#REF!,#REF!)&amp;IF(#REF!="","",CHAR(10)&amp;CHAR(13)&amp;"ConceptualDomain: "&amp;#REF!)&amp;CHAR(10)&amp;CHAR(13)&amp;#REF!</f>
        <v>#REF!</v>
      </c>
      <c r="L121" s="39" t="e">
        <f>IF(LEN(#REF!)=9,"1","0")</f>
        <v>#REF!</v>
      </c>
      <c r="M121" t="e">
        <f>IF(#REF!="String","string",IF(#REF!="Date","date",IF(#REF!="Float","decimal",IF(#REF!="Integer","integer",#REF!))))</f>
        <v>#REF!</v>
      </c>
      <c r="O121">
        <v>102</v>
      </c>
    </row>
    <row r="122" spans="4:15" x14ac:dyDescent="0.75">
      <c r="D122" t="e">
        <f>#REF!</f>
        <v>#REF!</v>
      </c>
      <c r="I122" t="e">
        <f>SUBSTITUTE(#REF!,"_",".")</f>
        <v>#REF!</v>
      </c>
      <c r="J122" t="e">
        <f>#REF!&amp;" ["&amp;#REF!&amp;"]"</f>
        <v>#REF!</v>
      </c>
      <c r="K122" s="2" t="e">
        <f>IF(#REF!="",#REF!,#REF!)&amp;IF(#REF!="","",CHAR(10)&amp;CHAR(13)&amp;"ConceptualDomain: "&amp;#REF!)&amp;CHAR(10)&amp;CHAR(13)&amp;#REF!</f>
        <v>#REF!</v>
      </c>
      <c r="L122" s="39" t="e">
        <f>IF(LEN(#REF!)=9,"1","0")</f>
        <v>#REF!</v>
      </c>
      <c r="M122" t="e">
        <f>IF(#REF!="String","string",IF(#REF!="Date","date",IF(#REF!="Float","decimal",IF(#REF!="Integer","integer",#REF!))))</f>
        <v>#REF!</v>
      </c>
    </row>
    <row r="123" spans="4:15" x14ac:dyDescent="0.75">
      <c r="D123" t="e">
        <f>#REF!</f>
        <v>#REF!</v>
      </c>
      <c r="H123" t="e">
        <f>#REF!</f>
        <v>#REF!</v>
      </c>
      <c r="I123" t="e">
        <f>SUBSTITUTE(#REF!,"_",".")</f>
        <v>#REF!</v>
      </c>
      <c r="J123" t="e">
        <f>#REF!&amp;" ["&amp;#REF!&amp;"]"</f>
        <v>#REF!</v>
      </c>
      <c r="K123" s="2" t="e">
        <f>IF(#REF!="",#REF!,#REF!)&amp;IF(#REF!="","",CHAR(10)&amp;CHAR(13)&amp;"ConceptualDomain: "&amp;#REF!)&amp;CHAR(10)&amp;CHAR(13)&amp;#REF!</f>
        <v>#REF!</v>
      </c>
      <c r="L123" s="39" t="e">
        <f>IF(LEN(#REF!)=9,"1","0")</f>
        <v>#REF!</v>
      </c>
      <c r="M123" t="e">
        <f>IF(#REF!="String","string",IF(#REF!="Date","date",IF(#REF!="Float","decimal",IF(#REF!="Integer","integer",#REF!))))</f>
        <v>#REF!</v>
      </c>
    </row>
    <row r="124" spans="4:15" x14ac:dyDescent="0.75">
      <c r="D124" t="e">
        <f>#REF!</f>
        <v>#REF!</v>
      </c>
      <c r="H124" t="e">
        <f>#REF!</f>
        <v>#REF!</v>
      </c>
      <c r="I124" s="40" t="e">
        <f>#REF!</f>
        <v>#REF!</v>
      </c>
      <c r="J124" s="40" t="e">
        <f>#REF!</f>
        <v>#REF!</v>
      </c>
      <c r="K124" s="40" t="e">
        <f>#REF!</f>
        <v>#REF!</v>
      </c>
      <c r="L124" s="41">
        <v>1</v>
      </c>
      <c r="M124" s="42" t="s">
        <v>2</v>
      </c>
    </row>
    <row r="125" spans="4:15" x14ac:dyDescent="0.75">
      <c r="D125" t="e">
        <f>#REF!</f>
        <v>#REF!</v>
      </c>
      <c r="H125" t="e">
        <f>#REF!</f>
        <v>#REF!</v>
      </c>
      <c r="I125" t="e">
        <f>SUBSTITUTE(#REF!,"_",".")</f>
        <v>#REF!</v>
      </c>
      <c r="J125" t="e">
        <f>#REF!&amp;" ["&amp;#REF!&amp;"]"</f>
        <v>#REF!</v>
      </c>
      <c r="K125" s="2" t="e">
        <f>IF(#REF!="",#REF!,#REF!)&amp;IF(#REF!="","",CHAR(10)&amp;CHAR(13)&amp;"ConceptualDomain: "&amp;#REF!)&amp;CHAR(10)&amp;CHAR(13)&amp;#REF!</f>
        <v>#REF!</v>
      </c>
      <c r="L125" s="39" t="e">
        <f>IF(LEN(#REF!)=9,"1","0")</f>
        <v>#REF!</v>
      </c>
      <c r="M125" t="e">
        <f>IF(#REF!="String","string",IF(#REF!="Date","date",IF(#REF!="Float","decimal",IF(#REF!="Integer","integer",#REF!))))</f>
        <v>#REF!</v>
      </c>
    </row>
    <row r="126" spans="4:15" x14ac:dyDescent="0.75">
      <c r="D126" t="e">
        <f>#REF!</f>
        <v>#REF!</v>
      </c>
      <c r="H126" t="e">
        <f>#REF!</f>
        <v>#REF!</v>
      </c>
      <c r="I126" t="e">
        <f>SUBSTITUTE(#REF!,"_",".")</f>
        <v>#REF!</v>
      </c>
      <c r="J126" t="e">
        <f>#REF!&amp;" ["&amp;#REF!&amp;"]"</f>
        <v>#REF!</v>
      </c>
      <c r="K126" s="2" t="e">
        <f>IF(#REF!="",#REF!,#REF!)&amp;IF(#REF!="","",CHAR(10)&amp;CHAR(13)&amp;"ConceptualDomain: "&amp;#REF!)&amp;CHAR(10)&amp;CHAR(13)&amp;#REF!</f>
        <v>#REF!</v>
      </c>
      <c r="L126" s="39" t="e">
        <f>IF(LEN(#REF!)=9,"1","0")</f>
        <v>#REF!</v>
      </c>
      <c r="M126" t="e">
        <f>IF(#REF!="String","string",IF(#REF!="Date","date",IF(#REF!="Float","decimal",IF(#REF!="Integer","integer",#REF!))))</f>
        <v>#REF!</v>
      </c>
    </row>
    <row r="127" spans="4:15" x14ac:dyDescent="0.75">
      <c r="D127" t="e">
        <f>#REF!</f>
        <v>#REF!</v>
      </c>
      <c r="H127" t="e">
        <f>#REF!</f>
        <v>#REF!</v>
      </c>
      <c r="I127" t="e">
        <f>SUBSTITUTE(#REF!,"_",".")</f>
        <v>#REF!</v>
      </c>
      <c r="J127" t="e">
        <f>#REF!&amp;" ["&amp;#REF!&amp;"]"</f>
        <v>#REF!</v>
      </c>
      <c r="K127" s="2" t="e">
        <f>IF(#REF!="",#REF!,#REF!)&amp;IF(#REF!="","",CHAR(10)&amp;CHAR(13)&amp;"ConceptualDomain: "&amp;#REF!)&amp;CHAR(10)&amp;CHAR(13)&amp;#REF!</f>
        <v>#REF!</v>
      </c>
      <c r="L127" s="39" t="e">
        <f>IF(LEN(#REF!)=9,"1","0")</f>
        <v>#REF!</v>
      </c>
      <c r="M127" t="e">
        <f>IF(#REF!="String","string",IF(#REF!="Date","date",IF(#REF!="Float","decimal",IF(#REF!="Integer","integer",#REF!))))</f>
        <v>#REF!</v>
      </c>
    </row>
    <row r="128" spans="4:15" x14ac:dyDescent="0.75">
      <c r="D128" t="e">
        <f>#REF!</f>
        <v>#REF!</v>
      </c>
      <c r="I128" t="e">
        <f>SUBSTITUTE(#REF!,"_",".")</f>
        <v>#REF!</v>
      </c>
      <c r="J128" t="e">
        <f>#REF!&amp;" ["&amp;#REF!&amp;"]"</f>
        <v>#REF!</v>
      </c>
      <c r="K128" s="2" t="e">
        <f>IF(#REF!="",#REF!,#REF!)&amp;IF(#REF!="","",CHAR(10)&amp;CHAR(13)&amp;"ConceptualDomain: "&amp;#REF!)&amp;CHAR(10)&amp;CHAR(13)&amp;#REF!</f>
        <v>#REF!</v>
      </c>
      <c r="L128" s="39" t="e">
        <f>IF(LEN(#REF!)=9,"1","0")</f>
        <v>#REF!</v>
      </c>
      <c r="M128" t="e">
        <f>IF(#REF!="String","string",IF(#REF!="Date","date",IF(#REF!="Float","decimal",IF(#REF!="Integer","integer",#REF!))))</f>
        <v>#REF!</v>
      </c>
    </row>
    <row r="129" spans="4:15" x14ac:dyDescent="0.75">
      <c r="D129" t="e">
        <f>#REF!</f>
        <v>#REF!</v>
      </c>
      <c r="I129" t="e">
        <f>SUBSTITUTE(#REF!,"_",".")</f>
        <v>#REF!</v>
      </c>
      <c r="J129" t="e">
        <f>#REF!&amp;" ["&amp;#REF!&amp;"]"</f>
        <v>#REF!</v>
      </c>
      <c r="K129" s="2" t="e">
        <f>IF(#REF!="",#REF!,#REF!)&amp;IF(#REF!="","",CHAR(10)&amp;CHAR(13)&amp;"ConceptualDomain: "&amp;#REF!)&amp;CHAR(10)&amp;CHAR(13)&amp;#REF!</f>
        <v>#REF!</v>
      </c>
      <c r="L129" s="39" t="e">
        <f>IF(LEN(#REF!)=9,"1","0")</f>
        <v>#REF!</v>
      </c>
      <c r="M129" t="e">
        <f>IF(#REF!="String","string",IF(#REF!="Date","date",IF(#REF!="Float","decimal",IF(#REF!="Integer","integer",#REF!))))</f>
        <v>#REF!</v>
      </c>
    </row>
    <row r="130" spans="4:15" x14ac:dyDescent="0.75">
      <c r="D130" t="e">
        <f>#REF!</f>
        <v>#REF!</v>
      </c>
      <c r="H130" t="e">
        <f>#REF!</f>
        <v>#REF!</v>
      </c>
      <c r="I130" s="40" t="e">
        <f>#REF!</f>
        <v>#REF!</v>
      </c>
      <c r="J130" s="40" t="e">
        <f>#REF!</f>
        <v>#REF!</v>
      </c>
      <c r="K130" s="40" t="e">
        <f>#REF!</f>
        <v>#REF!</v>
      </c>
      <c r="L130" s="41">
        <v>1</v>
      </c>
      <c r="M130" s="42" t="s">
        <v>2</v>
      </c>
    </row>
    <row r="131" spans="4:15" x14ac:dyDescent="0.75">
      <c r="D131" t="e">
        <f>#REF!</f>
        <v>#REF!</v>
      </c>
      <c r="H131" t="e">
        <f>#REF!</f>
        <v>#REF!</v>
      </c>
      <c r="I131" t="e">
        <f>SUBSTITUTE(#REF!,"_",".")</f>
        <v>#REF!</v>
      </c>
      <c r="J131" t="e">
        <f>#REF!&amp;" ["&amp;#REF!&amp;"]"</f>
        <v>#REF!</v>
      </c>
      <c r="K131" s="2" t="e">
        <f>IF(#REF!="",#REF!,#REF!)&amp;IF(#REF!="","",CHAR(10)&amp;CHAR(13)&amp;"ConceptualDomain: "&amp;#REF!)&amp;CHAR(10)&amp;CHAR(13)&amp;#REF!</f>
        <v>#REF!</v>
      </c>
      <c r="L131" s="39" t="e">
        <f>IF(LEN(#REF!)=9,"1","0")</f>
        <v>#REF!</v>
      </c>
      <c r="M131" t="e">
        <f>IF(#REF!="String","string",IF(#REF!="Date","date",IF(#REF!="Float","decimal",IF(#REF!="Integer","integer",#REF!))))</f>
        <v>#REF!</v>
      </c>
    </row>
    <row r="132" spans="4:15" x14ac:dyDescent="0.75">
      <c r="D132" t="e">
        <f>#REF!</f>
        <v>#REF!</v>
      </c>
      <c r="H132" t="e">
        <f>#REF!</f>
        <v>#REF!</v>
      </c>
      <c r="I132" t="e">
        <f>SUBSTITUTE(#REF!,"_",".")</f>
        <v>#REF!</v>
      </c>
      <c r="J132" t="e">
        <f>#REF!&amp;" ["&amp;#REF!&amp;"]"</f>
        <v>#REF!</v>
      </c>
      <c r="K132" s="2" t="e">
        <f>IF(#REF!="",#REF!,#REF!)&amp;IF(#REF!="","",CHAR(10)&amp;CHAR(13)&amp;"ConceptualDomain: "&amp;#REF!)&amp;CHAR(10)&amp;CHAR(13)&amp;#REF!</f>
        <v>#REF!</v>
      </c>
      <c r="L132" s="39" t="e">
        <f>IF(LEN(#REF!)=9,"1","0")</f>
        <v>#REF!</v>
      </c>
      <c r="M132" t="e">
        <f>IF(#REF!="String","string",IF(#REF!="Date","date",IF(#REF!="Float","decimal",IF(#REF!="Integer","integer",#REF!))))</f>
        <v>#REF!</v>
      </c>
    </row>
    <row r="133" spans="4:15" x14ac:dyDescent="0.75">
      <c r="D133" t="e">
        <f>#REF!</f>
        <v>#REF!</v>
      </c>
      <c r="H133" t="e">
        <f>#REF!</f>
        <v>#REF!</v>
      </c>
      <c r="I133" t="e">
        <f>SUBSTITUTE(#REF!,"_",".")</f>
        <v>#REF!</v>
      </c>
      <c r="J133" t="e">
        <f>#REF!&amp;" ["&amp;#REF!&amp;"]"</f>
        <v>#REF!</v>
      </c>
      <c r="K133" s="2" t="e">
        <f>IF(#REF!="",#REF!,#REF!)&amp;IF(#REF!="","",CHAR(10)&amp;CHAR(13)&amp;"ConceptualDomain: "&amp;#REF!)&amp;CHAR(10)&amp;CHAR(13)&amp;#REF!</f>
        <v>#REF!</v>
      </c>
      <c r="L133" s="39" t="e">
        <f>IF(LEN(#REF!)=9,"1","0")</f>
        <v>#REF!</v>
      </c>
      <c r="M133" t="e">
        <f>IF(#REF!="String","string",IF(#REF!="Date","date",IF(#REF!="Float","decimal",IF(#REF!="Integer","integer",#REF!))))</f>
        <v>#REF!</v>
      </c>
    </row>
    <row r="134" spans="4:15" x14ac:dyDescent="0.75">
      <c r="D134" t="e">
        <f>#REF!</f>
        <v>#REF!</v>
      </c>
      <c r="H134" t="e">
        <f>#REF!</f>
        <v>#REF!</v>
      </c>
      <c r="I134" s="40" t="e">
        <f>#REF!</f>
        <v>#REF!</v>
      </c>
      <c r="J134" s="40" t="e">
        <f>#REF!</f>
        <v>#REF!</v>
      </c>
      <c r="K134" s="40" t="e">
        <f>#REF!</f>
        <v>#REF!</v>
      </c>
      <c r="L134" s="41">
        <v>0</v>
      </c>
      <c r="M134" s="42" t="s">
        <v>2</v>
      </c>
    </row>
    <row r="135" spans="4:15" x14ac:dyDescent="0.75">
      <c r="D135" t="e">
        <f>#REF!</f>
        <v>#REF!</v>
      </c>
      <c r="H135" t="e">
        <f>#REF!</f>
        <v>#REF!</v>
      </c>
      <c r="I135" t="e">
        <f>SUBSTITUTE(#REF!,"_",".")</f>
        <v>#REF!</v>
      </c>
      <c r="J135" t="e">
        <f>#REF!&amp;" ["&amp;#REF!&amp;"]"</f>
        <v>#REF!</v>
      </c>
      <c r="K135" s="2" t="e">
        <f>IF(#REF!="",#REF!,#REF!)&amp;IF(#REF!="","",CHAR(10)&amp;CHAR(13)&amp;"ConceptualDomain: "&amp;#REF!)&amp;CHAR(10)&amp;CHAR(13)&amp;#REF!</f>
        <v>#REF!</v>
      </c>
      <c r="L135" s="39" t="e">
        <f>IF(LEN(#REF!)=9,"1","0")</f>
        <v>#REF!</v>
      </c>
      <c r="M135" t="e">
        <f>IF(#REF!="String","string",IF(#REF!="Date","date",IF(#REF!="Float","decimal",IF(#REF!="Integer","integer",#REF!))))</f>
        <v>#REF!</v>
      </c>
    </row>
    <row r="136" spans="4:15" x14ac:dyDescent="0.75">
      <c r="D136" t="e">
        <f>#REF!</f>
        <v>#REF!</v>
      </c>
      <c r="H136" t="e">
        <f>#REF!</f>
        <v>#REF!</v>
      </c>
      <c r="I136" t="e">
        <f>SUBSTITUTE(#REF!,"_",".")</f>
        <v>#REF!</v>
      </c>
      <c r="J136" t="e">
        <f>#REF!&amp;" ["&amp;#REF!&amp;"]"</f>
        <v>#REF!</v>
      </c>
      <c r="K136" s="2" t="e">
        <f>IF(#REF!="",#REF!,#REF!)&amp;IF(#REF!="","",CHAR(10)&amp;CHAR(13)&amp;"ConceptualDomain: "&amp;#REF!)&amp;CHAR(10)&amp;CHAR(13)&amp;#REF!</f>
        <v>#REF!</v>
      </c>
      <c r="L136" s="39" t="e">
        <f>IF(LEN(#REF!)=9,"1","0")</f>
        <v>#REF!</v>
      </c>
      <c r="M136" t="e">
        <f>IF(#REF!="String","string",IF(#REF!="Date","date",IF(#REF!="Float","decimal",IF(#REF!="Integer","integer",#REF!))))</f>
        <v>#REF!</v>
      </c>
    </row>
    <row r="137" spans="4:15" x14ac:dyDescent="0.75">
      <c r="D137" t="e">
        <f>#REF!</f>
        <v>#REF!</v>
      </c>
      <c r="H137" t="e">
        <f>#REF!</f>
        <v>#REF!</v>
      </c>
      <c r="I137" t="e">
        <f>SUBSTITUTE(#REF!,"_",".")</f>
        <v>#REF!</v>
      </c>
      <c r="J137" t="e">
        <f>#REF!&amp;" ["&amp;#REF!&amp;"]"</f>
        <v>#REF!</v>
      </c>
      <c r="K137" s="2" t="e">
        <f>IF(#REF!="",#REF!,#REF!)&amp;IF(#REF!="","",CHAR(10)&amp;CHAR(13)&amp;"ConceptualDomain: "&amp;#REF!)&amp;CHAR(10)&amp;CHAR(13)&amp;#REF!</f>
        <v>#REF!</v>
      </c>
      <c r="L137" s="39" t="e">
        <f>IF(LEN(#REF!)=9,"1","0")</f>
        <v>#REF!</v>
      </c>
      <c r="M137" t="e">
        <f>IF(#REF!="String","string",IF(#REF!="Date","date",IF(#REF!="Float","decimal",IF(#REF!="Integer","integer",#REF!))))</f>
        <v>#REF!</v>
      </c>
      <c r="O137">
        <v>115</v>
      </c>
    </row>
    <row r="138" spans="4:15" x14ac:dyDescent="0.75">
      <c r="D138" t="e">
        <f>#REF!</f>
        <v>#REF!</v>
      </c>
      <c r="H138" t="e">
        <f>#REF!</f>
        <v>#REF!</v>
      </c>
      <c r="I138" t="e">
        <f>SUBSTITUTE(#REF!,"_",".")</f>
        <v>#REF!</v>
      </c>
      <c r="J138" t="e">
        <f>#REF!&amp;" ["&amp;#REF!&amp;"]"</f>
        <v>#REF!</v>
      </c>
      <c r="K138" s="2" t="e">
        <f>IF(#REF!="",#REF!,#REF!)&amp;IF(#REF!="","",CHAR(10)&amp;CHAR(13)&amp;"ConceptualDomain: "&amp;#REF!)&amp;CHAR(10)&amp;CHAR(13)&amp;#REF!</f>
        <v>#REF!</v>
      </c>
      <c r="L138" s="39" t="e">
        <f>IF(LEN(#REF!)=9,"1","0")</f>
        <v>#REF!</v>
      </c>
      <c r="M138" t="e">
        <f>IF(#REF!="String","string",IF(#REF!="Date","date",IF(#REF!="Float","decimal",IF(#REF!="Integer","integer",#REF!))))</f>
        <v>#REF!</v>
      </c>
    </row>
    <row r="139" spans="4:15" x14ac:dyDescent="0.75">
      <c r="D139" t="e">
        <f>#REF!</f>
        <v>#REF!</v>
      </c>
      <c r="H139" t="e">
        <f>#REF!</f>
        <v>#REF!</v>
      </c>
      <c r="I139" t="e">
        <f>SUBSTITUTE(#REF!,"_",".")</f>
        <v>#REF!</v>
      </c>
      <c r="J139" t="e">
        <f>#REF!&amp;" ["&amp;#REF!&amp;"]"</f>
        <v>#REF!</v>
      </c>
      <c r="K139" s="2" t="e">
        <f>IF(#REF!="",#REF!,#REF!)&amp;IF(#REF!="","",CHAR(10)&amp;CHAR(13)&amp;"ConceptualDomain: "&amp;#REF!)&amp;CHAR(10)&amp;CHAR(13)&amp;#REF!</f>
        <v>#REF!</v>
      </c>
      <c r="L139" s="39" t="e">
        <f>IF(LEN(#REF!)=9,"1","0")</f>
        <v>#REF!</v>
      </c>
      <c r="M139" t="e">
        <f>IF(#REF!="String","string",IF(#REF!="Date","date",IF(#REF!="Float","decimal",IF(#REF!="Integer","integer",#REF!))))</f>
        <v>#REF!</v>
      </c>
    </row>
    <row r="140" spans="4:15" x14ac:dyDescent="0.75">
      <c r="D140" t="e">
        <f>#REF!</f>
        <v>#REF!</v>
      </c>
      <c r="H140" t="e">
        <f>#REF!</f>
        <v>#REF!</v>
      </c>
      <c r="I140" t="e">
        <f>SUBSTITUTE(#REF!,"_",".")</f>
        <v>#REF!</v>
      </c>
      <c r="J140" t="e">
        <f>#REF!&amp;" ["&amp;#REF!&amp;"]"</f>
        <v>#REF!</v>
      </c>
      <c r="K140" s="2" t="e">
        <f>IF(#REF!="",#REF!,#REF!)&amp;IF(#REF!="","",CHAR(10)&amp;CHAR(13)&amp;"ConceptualDomain: "&amp;#REF!)&amp;CHAR(10)&amp;CHAR(13)&amp;#REF!</f>
        <v>#REF!</v>
      </c>
      <c r="L140" s="39" t="e">
        <f>IF(LEN(#REF!)=9,"1","0")</f>
        <v>#REF!</v>
      </c>
      <c r="M140" t="e">
        <f>IF(#REF!="String","string",IF(#REF!="Date","date",IF(#REF!="Float","decimal",IF(#REF!="Integer","integer",#REF!))))</f>
        <v>#REF!</v>
      </c>
    </row>
    <row r="141" spans="4:15" x14ac:dyDescent="0.75">
      <c r="D141" t="e">
        <f>#REF!</f>
        <v>#REF!</v>
      </c>
      <c r="H141" t="e">
        <f>#REF!</f>
        <v>#REF!</v>
      </c>
      <c r="I141" t="e">
        <f>SUBSTITUTE(#REF!,"_",".")</f>
        <v>#REF!</v>
      </c>
      <c r="J141" t="e">
        <f>#REF!&amp;" ["&amp;#REF!&amp;"]"</f>
        <v>#REF!</v>
      </c>
      <c r="K141" s="2" t="e">
        <f>IF(#REF!="",#REF!,#REF!)&amp;IF(#REF!="","",CHAR(10)&amp;CHAR(13)&amp;"ConceptualDomain: "&amp;#REF!)&amp;CHAR(10)&amp;CHAR(13)&amp;#REF!</f>
        <v>#REF!</v>
      </c>
      <c r="L141" s="39" t="e">
        <f>IF(LEN(#REF!)=9,"1","0")</f>
        <v>#REF!</v>
      </c>
      <c r="M141" t="e">
        <f>IF(#REF!="String","string",IF(#REF!="Date","date",IF(#REF!="Float","decimal",IF(#REF!="Integer","integer",#REF!))))</f>
        <v>#REF!</v>
      </c>
    </row>
    <row r="142" spans="4:15" x14ac:dyDescent="0.75">
      <c r="D142" t="e">
        <f>#REF!</f>
        <v>#REF!</v>
      </c>
      <c r="H142" t="e">
        <f>#REF!</f>
        <v>#REF!</v>
      </c>
      <c r="I142" t="e">
        <f>SUBSTITUTE(#REF!,"_",".")</f>
        <v>#REF!</v>
      </c>
      <c r="J142" t="e">
        <f>#REF!&amp;" ["&amp;#REF!&amp;"]"</f>
        <v>#REF!</v>
      </c>
      <c r="K142" s="2" t="e">
        <f>IF(#REF!="",#REF!,#REF!)&amp;IF(#REF!="","",CHAR(10)&amp;CHAR(13)&amp;"ConceptualDomain: "&amp;#REF!)&amp;CHAR(10)&amp;CHAR(13)&amp;#REF!</f>
        <v>#REF!</v>
      </c>
      <c r="L142" s="39" t="e">
        <f>IF(LEN(#REF!)=9,"1","0")</f>
        <v>#REF!</v>
      </c>
      <c r="M142" t="e">
        <f>IF(#REF!="String","string",IF(#REF!="Date","date",IF(#REF!="Float","decimal",IF(#REF!="Integer","integer",#REF!))))</f>
        <v>#REF!</v>
      </c>
    </row>
    <row r="143" spans="4:15" x14ac:dyDescent="0.75">
      <c r="D143" t="e">
        <f>#REF!</f>
        <v>#REF!</v>
      </c>
      <c r="H143" t="e">
        <f>#REF!</f>
        <v>#REF!</v>
      </c>
      <c r="I143" t="e">
        <f>SUBSTITUTE(#REF!,"_",".")</f>
        <v>#REF!</v>
      </c>
      <c r="J143" t="e">
        <f>#REF!&amp;" ["&amp;#REF!&amp;"]"</f>
        <v>#REF!</v>
      </c>
      <c r="K143" s="2" t="e">
        <f>IF(#REF!="",#REF!,#REF!)&amp;IF(#REF!="","",CHAR(10)&amp;CHAR(13)&amp;"ConceptualDomain: "&amp;#REF!)&amp;CHAR(10)&amp;CHAR(13)&amp;#REF!</f>
        <v>#REF!</v>
      </c>
      <c r="L143" s="39" t="e">
        <f>IF(LEN(#REF!)=9,"1","0")</f>
        <v>#REF!</v>
      </c>
      <c r="M143" t="e">
        <f>IF(#REF!="String","string",IF(#REF!="Date","date",IF(#REF!="Float","decimal",IF(#REF!="Integer","integer",#REF!))))</f>
        <v>#REF!</v>
      </c>
    </row>
    <row r="144" spans="4:15" x14ac:dyDescent="0.75">
      <c r="D144" t="e">
        <f>#REF!</f>
        <v>#REF!</v>
      </c>
      <c r="H144" t="e">
        <f>#REF!</f>
        <v>#REF!</v>
      </c>
      <c r="I144" t="e">
        <f>SUBSTITUTE(#REF!,"_",".")</f>
        <v>#REF!</v>
      </c>
      <c r="J144" t="e">
        <f>#REF!&amp;" ["&amp;#REF!&amp;"]"</f>
        <v>#REF!</v>
      </c>
      <c r="K144" s="2" t="e">
        <f>IF(#REF!="",#REF!,#REF!)&amp;IF(#REF!="","",CHAR(10)&amp;CHAR(13)&amp;"ConceptualDomain: "&amp;#REF!)&amp;CHAR(10)&amp;CHAR(13)&amp;#REF!</f>
        <v>#REF!</v>
      </c>
      <c r="L144" s="39" t="e">
        <f>IF(LEN(#REF!)=9,"1","0")</f>
        <v>#REF!</v>
      </c>
      <c r="M144" t="e">
        <f>IF(#REF!="String","string",IF(#REF!="Date","date",IF(#REF!="Float","decimal",IF(#REF!="Integer","integer",#REF!))))</f>
        <v>#REF!</v>
      </c>
    </row>
    <row r="145" spans="4:15" x14ac:dyDescent="0.75">
      <c r="D145" t="e">
        <f>#REF!</f>
        <v>#REF!</v>
      </c>
      <c r="H145" t="e">
        <f>#REF!</f>
        <v>#REF!</v>
      </c>
      <c r="I145" t="e">
        <f>SUBSTITUTE(#REF!,"_",".")</f>
        <v>#REF!</v>
      </c>
      <c r="J145" t="e">
        <f>#REF!&amp;" ["&amp;#REF!&amp;"]"</f>
        <v>#REF!</v>
      </c>
      <c r="K145" s="2" t="e">
        <f>IF(#REF!="",#REF!,#REF!)&amp;IF(#REF!="","",CHAR(10)&amp;CHAR(13)&amp;"ConceptualDomain: "&amp;#REF!)&amp;CHAR(10)&amp;CHAR(13)&amp;#REF!</f>
        <v>#REF!</v>
      </c>
      <c r="L145" s="39" t="e">
        <f>IF(LEN(#REF!)=9,"1","0")</f>
        <v>#REF!</v>
      </c>
      <c r="M145" t="e">
        <f>IF(#REF!="String","string",IF(#REF!="Date","date",IF(#REF!="Float","decimal",IF(#REF!="Integer","integer",#REF!))))</f>
        <v>#REF!</v>
      </c>
    </row>
    <row r="146" spans="4:15" x14ac:dyDescent="0.75">
      <c r="D146" t="e">
        <f>#REF!</f>
        <v>#REF!</v>
      </c>
      <c r="H146" t="e">
        <f>#REF!</f>
        <v>#REF!</v>
      </c>
      <c r="I146" t="e">
        <f>SUBSTITUTE(#REF!,"_",".")</f>
        <v>#REF!</v>
      </c>
      <c r="J146" t="e">
        <f>#REF!&amp;" ["&amp;#REF!&amp;"]"</f>
        <v>#REF!</v>
      </c>
      <c r="K146" s="2" t="e">
        <f>IF(#REF!="",#REF!,#REF!)&amp;IF(#REF!="","",CHAR(10)&amp;CHAR(13)&amp;"ConceptualDomain: "&amp;#REF!)&amp;CHAR(10)&amp;CHAR(13)&amp;#REF!</f>
        <v>#REF!</v>
      </c>
      <c r="L146" s="39" t="e">
        <f>IF(LEN(#REF!)=9,"1","0")</f>
        <v>#REF!</v>
      </c>
      <c r="M146" t="e">
        <f>IF(#REF!="String","string",IF(#REF!="Date","date",IF(#REF!="Float","decimal",IF(#REF!="Integer","integer",#REF!))))</f>
        <v>#REF!</v>
      </c>
    </row>
    <row r="147" spans="4:15" x14ac:dyDescent="0.75">
      <c r="D147" t="e">
        <f>#REF!</f>
        <v>#REF!</v>
      </c>
      <c r="H147" t="e">
        <f>#REF!</f>
        <v>#REF!</v>
      </c>
      <c r="I147" t="e">
        <f>SUBSTITUTE(#REF!,"_",".")</f>
        <v>#REF!</v>
      </c>
      <c r="J147" t="e">
        <f>#REF!&amp;" ["&amp;#REF!&amp;"]"</f>
        <v>#REF!</v>
      </c>
      <c r="K147" s="2" t="e">
        <f>IF(#REF!="",#REF!,#REF!)&amp;IF(#REF!="","",CHAR(10)&amp;CHAR(13)&amp;"ConceptualDomain: "&amp;#REF!)&amp;CHAR(10)&amp;CHAR(13)&amp;#REF!</f>
        <v>#REF!</v>
      </c>
      <c r="L147" s="39" t="e">
        <f>IF(LEN(#REF!)=9,"1","0")</f>
        <v>#REF!</v>
      </c>
      <c r="M147" t="e">
        <f>IF(#REF!="String","string",IF(#REF!="Date","date",IF(#REF!="Float","decimal",IF(#REF!="Integer","integer",#REF!))))</f>
        <v>#REF!</v>
      </c>
    </row>
    <row r="148" spans="4:15" x14ac:dyDescent="0.75">
      <c r="D148" t="e">
        <f>#REF!</f>
        <v>#REF!</v>
      </c>
      <c r="H148" t="e">
        <f>#REF!</f>
        <v>#REF!</v>
      </c>
      <c r="I148" t="e">
        <f>SUBSTITUTE(#REF!,"_",".")</f>
        <v>#REF!</v>
      </c>
      <c r="J148" t="e">
        <f>#REF!&amp;" ["&amp;#REF!&amp;"]"</f>
        <v>#REF!</v>
      </c>
      <c r="K148" s="2" t="e">
        <f>IF(#REF!="",#REF!,#REF!)&amp;IF(#REF!="","",CHAR(10)&amp;CHAR(13)&amp;"ConceptualDomain: "&amp;#REF!)&amp;CHAR(10)&amp;CHAR(13)&amp;#REF!</f>
        <v>#REF!</v>
      </c>
      <c r="L148" s="39" t="e">
        <f>IF(LEN(#REF!)=9,"1","0")</f>
        <v>#REF!</v>
      </c>
      <c r="M148" t="e">
        <f>IF(#REF!="String","string",IF(#REF!="Date","date",IF(#REF!="Float","decimal",IF(#REF!="Integer","integer",#REF!))))</f>
        <v>#REF!</v>
      </c>
    </row>
    <row r="149" spans="4:15" x14ac:dyDescent="0.75">
      <c r="D149" t="e">
        <f>#REF!</f>
        <v>#REF!</v>
      </c>
      <c r="H149" t="e">
        <f>#REF!</f>
        <v>#REF!</v>
      </c>
      <c r="I149" t="e">
        <f>SUBSTITUTE(#REF!,"_",".")</f>
        <v>#REF!</v>
      </c>
      <c r="J149" t="e">
        <f>#REF!&amp;" ["&amp;#REF!&amp;"]"</f>
        <v>#REF!</v>
      </c>
      <c r="K149" s="2" t="e">
        <f>IF(#REF!="",#REF!,#REF!)&amp;IF(#REF!="","",CHAR(10)&amp;CHAR(13)&amp;"ConceptualDomain: "&amp;#REF!)&amp;CHAR(10)&amp;CHAR(13)&amp;#REF!</f>
        <v>#REF!</v>
      </c>
      <c r="L149" s="39" t="e">
        <f>IF(LEN(#REF!)=9,"1","0")</f>
        <v>#REF!</v>
      </c>
      <c r="M149" t="e">
        <f>IF(#REF!="String","string",IF(#REF!="Date","date",IF(#REF!="Float","decimal",IF(#REF!="Integer","integer",#REF!))))</f>
        <v>#REF!</v>
      </c>
    </row>
    <row r="150" spans="4:15" x14ac:dyDescent="0.75">
      <c r="D150" t="e">
        <f>#REF!</f>
        <v>#REF!</v>
      </c>
      <c r="H150" t="e">
        <f>#REF!</f>
        <v>#REF!</v>
      </c>
      <c r="I150" t="e">
        <f>SUBSTITUTE(#REF!,"_",".")</f>
        <v>#REF!</v>
      </c>
      <c r="J150" t="e">
        <f>#REF!&amp;" ["&amp;#REF!&amp;"]"</f>
        <v>#REF!</v>
      </c>
      <c r="K150" s="2" t="e">
        <f>IF(#REF!="",#REF!,#REF!)&amp;IF(#REF!="","",CHAR(10)&amp;CHAR(13)&amp;"ConceptualDomain: "&amp;#REF!)&amp;CHAR(10)&amp;CHAR(13)&amp;#REF!</f>
        <v>#REF!</v>
      </c>
      <c r="L150" s="39" t="e">
        <f>IF(LEN(#REF!)=9,"1","0")</f>
        <v>#REF!</v>
      </c>
      <c r="M150" t="e">
        <f>IF(#REF!="String","string",IF(#REF!="Date","date",IF(#REF!="Float","decimal",IF(#REF!="Integer","integer",#REF!))))</f>
        <v>#REF!</v>
      </c>
    </row>
    <row r="151" spans="4:15" x14ac:dyDescent="0.75">
      <c r="D151" t="e">
        <f>#REF!</f>
        <v>#REF!</v>
      </c>
      <c r="I151" t="e">
        <f>SUBSTITUTE(#REF!,"_",".")</f>
        <v>#REF!</v>
      </c>
      <c r="J151" t="e">
        <f>#REF!&amp;" ["&amp;#REF!&amp;"]"</f>
        <v>#REF!</v>
      </c>
      <c r="K151" s="2" t="e">
        <f>IF(#REF!="",#REF!,#REF!)&amp;IF(#REF!="","",CHAR(10)&amp;CHAR(13)&amp;"ConceptualDomain: "&amp;#REF!)&amp;CHAR(10)&amp;CHAR(13)&amp;#REF!</f>
        <v>#REF!</v>
      </c>
      <c r="L151" s="39" t="e">
        <f>IF(LEN(#REF!)=9,"1","0")</f>
        <v>#REF!</v>
      </c>
      <c r="M151" t="e">
        <f>IF(#REF!="String","string",IF(#REF!="Date","date",IF(#REF!="Float","decimal",IF(#REF!="Integer","integer",#REF!))))</f>
        <v>#REF!</v>
      </c>
    </row>
    <row r="152" spans="4:15" x14ac:dyDescent="0.75">
      <c r="D152" t="e">
        <f>#REF!</f>
        <v>#REF!</v>
      </c>
      <c r="H152" s="40" t="e">
        <f>#REF!</f>
        <v>#REF!</v>
      </c>
      <c r="I152" s="40" t="e">
        <f>#REF!</f>
        <v>#REF!</v>
      </c>
      <c r="J152" s="40" t="e">
        <f>#REF!</f>
        <v>#REF!</v>
      </c>
      <c r="K152" s="40" t="e">
        <f>#REF!</f>
        <v>#REF!</v>
      </c>
      <c r="L152" s="41">
        <v>1</v>
      </c>
      <c r="M152" s="42" t="s">
        <v>2</v>
      </c>
    </row>
    <row r="153" spans="4:15" x14ac:dyDescent="0.75">
      <c r="D153" t="e">
        <f>#REF!</f>
        <v>#REF!</v>
      </c>
      <c r="H153" t="e">
        <f>#REF!</f>
        <v>#REF!</v>
      </c>
      <c r="I153" t="e">
        <f>SUBSTITUTE(#REF!,"_",".")</f>
        <v>#REF!</v>
      </c>
      <c r="J153" t="e">
        <f>#REF!&amp;" ["&amp;#REF!&amp;"]"</f>
        <v>#REF!</v>
      </c>
      <c r="K153" s="2" t="e">
        <f>IF(#REF!="",#REF!,#REF!)&amp;IF(#REF!="","",CHAR(10)&amp;CHAR(13)&amp;"ConceptualDomain: "&amp;#REF!)&amp;CHAR(10)&amp;CHAR(13)&amp;#REF!</f>
        <v>#REF!</v>
      </c>
      <c r="L153" s="39" t="e">
        <f>IF(LEN(#REF!)=9,"1","0")</f>
        <v>#REF!</v>
      </c>
      <c r="M153" t="e">
        <f>IF(#REF!="String","string",IF(#REF!="Date","date",IF(#REF!="Float","decimal",IF(#REF!="Integer","integer",#REF!))))</f>
        <v>#REF!</v>
      </c>
    </row>
    <row r="154" spans="4:15" x14ac:dyDescent="0.75">
      <c r="D154" t="e">
        <f>#REF!</f>
        <v>#REF!</v>
      </c>
      <c r="H154" t="e">
        <f>#REF!</f>
        <v>#REF!</v>
      </c>
      <c r="I154" t="e">
        <f>SUBSTITUTE(#REF!,"_",".")</f>
        <v>#REF!</v>
      </c>
      <c r="J154" t="e">
        <f>#REF!&amp;" ["&amp;#REF!&amp;"]"</f>
        <v>#REF!</v>
      </c>
      <c r="K154" s="2" t="e">
        <f>IF(#REF!="",#REF!,#REF!)&amp;IF(#REF!="","",CHAR(10)&amp;CHAR(13)&amp;"ConceptualDomain: "&amp;#REF!)&amp;CHAR(10)&amp;CHAR(13)&amp;#REF!</f>
        <v>#REF!</v>
      </c>
      <c r="L154" s="39" t="e">
        <f>IF(LEN(#REF!)=9,"1","0")</f>
        <v>#REF!</v>
      </c>
      <c r="M154" t="e">
        <f>IF(#REF!="String","string",IF(#REF!="Date","date",IF(#REF!="Float","decimal",IF(#REF!="Integer","integer",#REF!))))</f>
        <v>#REF!</v>
      </c>
    </row>
    <row r="155" spans="4:15" x14ac:dyDescent="0.75">
      <c r="D155" t="e">
        <f>#REF!</f>
        <v>#REF!</v>
      </c>
      <c r="I155" t="e">
        <f>SUBSTITUTE(#REF!,"_",".")</f>
        <v>#REF!</v>
      </c>
      <c r="J155" t="e">
        <f>#REF!&amp;" ["&amp;#REF!&amp;"]"</f>
        <v>#REF!</v>
      </c>
      <c r="K155" s="2" t="e">
        <f>IF(#REF!="",#REF!,#REF!)&amp;IF(#REF!="","",CHAR(10)&amp;CHAR(13)&amp;"ConceptualDomain: "&amp;#REF!)&amp;CHAR(10)&amp;CHAR(13)&amp;#REF!</f>
        <v>#REF!</v>
      </c>
      <c r="L155" s="39" t="e">
        <f>IF(LEN(#REF!)=9,"1","0")</f>
        <v>#REF!</v>
      </c>
      <c r="M155" t="e">
        <f>IF(#REF!="String","string",IF(#REF!="Date","date",IF(#REF!="Float","decimal",IF(#REF!="Integer","integer",#REF!))))</f>
        <v>#REF!</v>
      </c>
    </row>
    <row r="156" spans="4:15" x14ac:dyDescent="0.75">
      <c r="D156" t="e">
        <f>#REF!</f>
        <v>#REF!</v>
      </c>
      <c r="I156" t="e">
        <f>SUBSTITUTE(#REF!,"_",".")</f>
        <v>#REF!</v>
      </c>
      <c r="J156" t="e">
        <f>#REF!&amp;" ["&amp;#REF!&amp;"]"</f>
        <v>#REF!</v>
      </c>
      <c r="K156" s="2" t="e">
        <f>IF(#REF!="",#REF!,#REF!)&amp;IF(#REF!="","",CHAR(10)&amp;CHAR(13)&amp;"ConceptualDomain: "&amp;#REF!)&amp;CHAR(10)&amp;CHAR(13)&amp;#REF!</f>
        <v>#REF!</v>
      </c>
      <c r="L156" s="39" t="e">
        <f>IF(LEN(#REF!)=9,"1","0")</f>
        <v>#REF!</v>
      </c>
      <c r="M156" t="e">
        <f>IF(#REF!="String","string",IF(#REF!="Date","date",IF(#REF!="Float","decimal",IF(#REF!="Integer","integer",#REF!))))</f>
        <v>#REF!</v>
      </c>
      <c r="O156">
        <v>133</v>
      </c>
    </row>
    <row r="157" spans="4:15" x14ac:dyDescent="0.75">
      <c r="D157" t="e">
        <f>#REF!</f>
        <v>#REF!</v>
      </c>
      <c r="H157" t="e">
        <f>#REF!</f>
        <v>#REF!</v>
      </c>
      <c r="I157" t="e">
        <f>SUBSTITUTE(#REF!,"_",".")</f>
        <v>#REF!</v>
      </c>
      <c r="J157" t="e">
        <f>#REF!&amp;" ["&amp;#REF!&amp;"]"</f>
        <v>#REF!</v>
      </c>
      <c r="K157" s="2" t="e">
        <f>IF(#REF!="",#REF!,#REF!)&amp;IF(#REF!="","",CHAR(10)&amp;CHAR(13)&amp;"ConceptualDomain: "&amp;#REF!)&amp;CHAR(10)&amp;CHAR(13)&amp;#REF!</f>
        <v>#REF!</v>
      </c>
      <c r="L157" s="39" t="e">
        <f>IF(LEN(#REF!)=9,"1","0")</f>
        <v>#REF!</v>
      </c>
      <c r="M157" s="60" t="s">
        <v>2</v>
      </c>
    </row>
    <row r="158" spans="4:15" x14ac:dyDescent="0.75">
      <c r="D158" t="e">
        <f>#REF!</f>
        <v>#REF!</v>
      </c>
      <c r="H158" t="e">
        <f>#REF!</f>
        <v>#REF!</v>
      </c>
      <c r="I158" s="40" t="e">
        <f>#REF!</f>
        <v>#REF!</v>
      </c>
      <c r="J158" s="40" t="e">
        <f>#REF!</f>
        <v>#REF!</v>
      </c>
      <c r="K158" s="40" t="e">
        <f>#REF!</f>
        <v>#REF!</v>
      </c>
      <c r="L158" s="41">
        <v>1</v>
      </c>
      <c r="M158" s="42" t="s">
        <v>2</v>
      </c>
    </row>
    <row r="159" spans="4:15" x14ac:dyDescent="0.75">
      <c r="D159" t="e">
        <f>#REF!</f>
        <v>#REF!</v>
      </c>
      <c r="H159" t="e">
        <f>#REF!</f>
        <v>#REF!</v>
      </c>
      <c r="I159" t="e">
        <f>SUBSTITUTE(#REF!,"_",".")</f>
        <v>#REF!</v>
      </c>
      <c r="J159" t="e">
        <f>#REF!&amp;" ["&amp;#REF!&amp;"]"</f>
        <v>#REF!</v>
      </c>
      <c r="K159" s="2" t="e">
        <f>IF(#REF!="",#REF!,#REF!)&amp;IF(#REF!="","",CHAR(10)&amp;CHAR(13)&amp;"ConceptualDomain: "&amp;#REF!)&amp;CHAR(10)&amp;CHAR(13)&amp;#REF!</f>
        <v>#REF!</v>
      </c>
      <c r="L159" s="39" t="e">
        <f>IF(LEN(#REF!)=9,"1","0")</f>
        <v>#REF!</v>
      </c>
      <c r="M159" s="60" t="s">
        <v>2</v>
      </c>
    </row>
    <row r="160" spans="4:15" x14ac:dyDescent="0.75">
      <c r="D160" t="e">
        <f>#REF!</f>
        <v>#REF!</v>
      </c>
      <c r="H160" t="e">
        <f>#REF!</f>
        <v>#REF!</v>
      </c>
      <c r="I160" t="e">
        <f>SUBSTITUTE(#REF!,"_",".")</f>
        <v>#REF!</v>
      </c>
      <c r="J160" t="e">
        <f>#REF!&amp;" ["&amp;#REF!&amp;"]"</f>
        <v>#REF!</v>
      </c>
      <c r="K160" s="2" t="e">
        <f>IF(#REF!="",#REF!,#REF!)&amp;IF(#REF!="","",CHAR(10)&amp;CHAR(13)&amp;"ConceptualDomain: "&amp;#REF!)&amp;CHAR(10)&amp;CHAR(13)&amp;#REF!</f>
        <v>#REF!</v>
      </c>
      <c r="L160" s="39" t="e">
        <f>IF(LEN(#REF!)=9,"1","0")</f>
        <v>#REF!</v>
      </c>
      <c r="M160" s="60" t="s">
        <v>2</v>
      </c>
    </row>
    <row r="161" spans="4:13" x14ac:dyDescent="0.75">
      <c r="D161" t="e">
        <f>#REF!</f>
        <v>#REF!</v>
      </c>
      <c r="H161" t="e">
        <f>#REF!</f>
        <v>#REF!</v>
      </c>
      <c r="I161" s="40" t="e">
        <f>#REF!</f>
        <v>#REF!</v>
      </c>
      <c r="J161" s="40" t="e">
        <f>#REF!</f>
        <v>#REF!</v>
      </c>
      <c r="K161" s="40" t="e">
        <f>#REF!</f>
        <v>#REF!</v>
      </c>
      <c r="L161" s="41">
        <v>0</v>
      </c>
      <c r="M161" s="42" t="s">
        <v>2</v>
      </c>
    </row>
    <row r="162" spans="4:13" x14ac:dyDescent="0.75">
      <c r="D162" t="e">
        <f>#REF!</f>
        <v>#REF!</v>
      </c>
      <c r="H162" t="e">
        <f>#REF!</f>
        <v>#REF!</v>
      </c>
      <c r="I162" t="e">
        <f>SUBSTITUTE(#REF!,"_",".")</f>
        <v>#REF!</v>
      </c>
      <c r="J162" t="e">
        <f>#REF!&amp;" ["&amp;#REF!&amp;"]"</f>
        <v>#REF!</v>
      </c>
      <c r="K162" s="2" t="e">
        <f>IF(#REF!="",#REF!,#REF!)&amp;IF(#REF!="","",CHAR(10)&amp;CHAR(13)&amp;"ConceptualDomain: "&amp;#REF!)&amp;CHAR(10)&amp;CHAR(13)&amp;#REF!</f>
        <v>#REF!</v>
      </c>
      <c r="L162" s="39" t="e">
        <f>IF(LEN(#REF!)=9,"1","0")</f>
        <v>#REF!</v>
      </c>
      <c r="M162" s="60" t="s">
        <v>2</v>
      </c>
    </row>
    <row r="163" spans="4:13" x14ac:dyDescent="0.75">
      <c r="D163" t="e">
        <f>#REF!</f>
        <v>#REF!</v>
      </c>
      <c r="I163" t="e">
        <f>SUBSTITUTE(#REF!,"_",".")</f>
        <v>#REF!</v>
      </c>
      <c r="J163" t="e">
        <f>#REF!&amp;" ["&amp;#REF!&amp;"]"</f>
        <v>#REF!</v>
      </c>
      <c r="K163" s="2" t="e">
        <f>IF(#REF!="",#REF!,#REF!)&amp;IF(#REF!="","",CHAR(10)&amp;CHAR(13)&amp;"ConceptualDomain: "&amp;#REF!)&amp;CHAR(10)&amp;CHAR(13)&amp;#REF!</f>
        <v>#REF!</v>
      </c>
      <c r="L163" s="39" t="e">
        <f>IF(LEN(#REF!)=9,"1","0")</f>
        <v>#REF!</v>
      </c>
      <c r="M163" s="60" t="s">
        <v>2</v>
      </c>
    </row>
    <row r="164" spans="4:13" x14ac:dyDescent="0.75">
      <c r="D164" t="e">
        <f>#REF!</f>
        <v>#REF!</v>
      </c>
      <c r="H164" t="e">
        <f>#REF!</f>
        <v>#REF!</v>
      </c>
      <c r="I164" s="40" t="e">
        <f>#REF!</f>
        <v>#REF!</v>
      </c>
      <c r="J164" s="40" t="e">
        <f>#REF!</f>
        <v>#REF!</v>
      </c>
      <c r="K164" s="40" t="e">
        <f>#REF!</f>
        <v>#REF!</v>
      </c>
      <c r="L164" s="41">
        <v>0</v>
      </c>
      <c r="M164" s="42" t="s">
        <v>2</v>
      </c>
    </row>
    <row r="165" spans="4:13" x14ac:dyDescent="0.75">
      <c r="D165" t="e">
        <f>#REF!</f>
        <v>#REF!</v>
      </c>
      <c r="H165" t="e">
        <f>#REF!</f>
        <v>#REF!</v>
      </c>
      <c r="I165" t="e">
        <f>SUBSTITUTE(#REF!,"_",".")</f>
        <v>#REF!</v>
      </c>
      <c r="J165" t="e">
        <f>#REF!&amp;" ["&amp;#REF!&amp;"]"</f>
        <v>#REF!</v>
      </c>
      <c r="K165" s="2" t="e">
        <f>IF(#REF!="",#REF!,#REF!)&amp;IF(#REF!="","",CHAR(10)&amp;CHAR(13)&amp;"ConceptualDomain: "&amp;#REF!)&amp;CHAR(10)&amp;CHAR(13)&amp;#REF!</f>
        <v>#REF!</v>
      </c>
      <c r="L165" s="39" t="e">
        <f>IF(LEN(#REF!)=9,"1","0")</f>
        <v>#REF!</v>
      </c>
      <c r="M165" s="60" t="s">
        <v>2</v>
      </c>
    </row>
    <row r="166" spans="4:13" x14ac:dyDescent="0.75">
      <c r="D166" t="e">
        <f>#REF!</f>
        <v>#REF!</v>
      </c>
      <c r="H166" t="e">
        <f>#REF!</f>
        <v>#REF!</v>
      </c>
      <c r="I166" t="e">
        <f>SUBSTITUTE(#REF!,"_",".")</f>
        <v>#REF!</v>
      </c>
      <c r="J166" t="e">
        <f>#REF!&amp;" ["&amp;#REF!&amp;"]"</f>
        <v>#REF!</v>
      </c>
      <c r="K166" s="2" t="e">
        <f>IF(#REF!="",#REF!,#REF!)&amp;IF(#REF!="","",CHAR(10)&amp;CHAR(13)&amp;"ConceptualDomain: "&amp;#REF!)&amp;CHAR(10)&amp;CHAR(13)&amp;#REF!</f>
        <v>#REF!</v>
      </c>
      <c r="L166" s="39" t="e">
        <f>IF(LEN(#REF!)=9,"1","0")</f>
        <v>#REF!</v>
      </c>
      <c r="M166" s="60" t="s">
        <v>2</v>
      </c>
    </row>
    <row r="167" spans="4:13" x14ac:dyDescent="0.75">
      <c r="D167" t="e">
        <f>#REF!</f>
        <v>#REF!</v>
      </c>
      <c r="H167" t="e">
        <f>#REF!</f>
        <v>#REF!</v>
      </c>
      <c r="I167" t="e">
        <f>SUBSTITUTE(#REF!,"_",".")</f>
        <v>#REF!</v>
      </c>
      <c r="J167" t="e">
        <f>#REF!&amp;" ["&amp;#REF!&amp;"]"</f>
        <v>#REF!</v>
      </c>
      <c r="K167" s="2" t="e">
        <f>IF(#REF!="",#REF!,#REF!)&amp;IF(#REF!="","",CHAR(10)&amp;CHAR(13)&amp;"ConceptualDomain: "&amp;#REF!)&amp;CHAR(10)&amp;CHAR(13)&amp;#REF!</f>
        <v>#REF!</v>
      </c>
      <c r="L167" s="39" t="e">
        <f>IF(LEN(#REF!)=9,"1","0")</f>
        <v>#REF!</v>
      </c>
      <c r="M167" s="60" t="s">
        <v>2</v>
      </c>
    </row>
    <row r="168" spans="4:13" x14ac:dyDescent="0.75">
      <c r="D168" t="e">
        <f>#REF!</f>
        <v>#REF!</v>
      </c>
      <c r="H168" t="e">
        <f>#REF!</f>
        <v>#REF!</v>
      </c>
      <c r="I168" t="e">
        <f>SUBSTITUTE(#REF!,"_",".")</f>
        <v>#REF!</v>
      </c>
      <c r="J168" t="e">
        <f>#REF!&amp;" ["&amp;#REF!&amp;"]"</f>
        <v>#REF!</v>
      </c>
      <c r="K168" s="2" t="e">
        <f>IF(#REF!="",#REF!,#REF!)&amp;IF(#REF!="","",CHAR(10)&amp;CHAR(13)&amp;"ConceptualDomain: "&amp;#REF!)&amp;CHAR(10)&amp;CHAR(13)&amp;#REF!</f>
        <v>#REF!</v>
      </c>
      <c r="L168" s="39" t="e">
        <f>IF(LEN(#REF!)=9,"1","0")</f>
        <v>#REF!</v>
      </c>
      <c r="M168" s="60" t="s">
        <v>2</v>
      </c>
    </row>
    <row r="169" spans="4:13" x14ac:dyDescent="0.75">
      <c r="D169" t="e">
        <f>#REF!</f>
        <v>#REF!</v>
      </c>
      <c r="H169" t="e">
        <f>#REF!</f>
        <v>#REF!</v>
      </c>
      <c r="I169" t="e">
        <f>SUBSTITUTE(#REF!,"_",".")</f>
        <v>#REF!</v>
      </c>
      <c r="J169" t="e">
        <f>#REF!&amp;" ["&amp;#REF!&amp;"]"</f>
        <v>#REF!</v>
      </c>
      <c r="K169" s="2" t="e">
        <f>IF(#REF!="",#REF!,#REF!)&amp;IF(#REF!="","",CHAR(10)&amp;CHAR(13)&amp;"ConceptualDomain: "&amp;#REF!)&amp;CHAR(10)&amp;CHAR(13)&amp;#REF!</f>
        <v>#REF!</v>
      </c>
      <c r="L169" s="39" t="e">
        <f>IF(LEN(#REF!)=9,"1","0")</f>
        <v>#REF!</v>
      </c>
      <c r="M169" s="60" t="s">
        <v>2</v>
      </c>
    </row>
    <row r="170" spans="4:13" x14ac:dyDescent="0.75">
      <c r="D170" t="e">
        <f>#REF!</f>
        <v>#REF!</v>
      </c>
      <c r="H170" t="e">
        <f>#REF!</f>
        <v>#REF!</v>
      </c>
      <c r="I170" t="e">
        <f>SUBSTITUTE(#REF!,"_",".")</f>
        <v>#REF!</v>
      </c>
      <c r="J170" t="e">
        <f>#REF!&amp;" ["&amp;#REF!&amp;"]"</f>
        <v>#REF!</v>
      </c>
      <c r="K170" s="2" t="e">
        <f>IF(#REF!="",#REF!,#REF!)&amp;IF(#REF!="","",CHAR(10)&amp;CHAR(13)&amp;"ConceptualDomain: "&amp;#REF!)&amp;CHAR(10)&amp;CHAR(13)&amp;#REF!</f>
        <v>#REF!</v>
      </c>
      <c r="L170" s="39" t="e">
        <f>IF(LEN(#REF!)=9,"1","0")</f>
        <v>#REF!</v>
      </c>
      <c r="M170" s="60" t="s">
        <v>2</v>
      </c>
    </row>
    <row r="171" spans="4:13" x14ac:dyDescent="0.75">
      <c r="D171" t="e">
        <f>#REF!</f>
        <v>#REF!</v>
      </c>
      <c r="H171" t="e">
        <f>#REF!</f>
        <v>#REF!</v>
      </c>
      <c r="I171" t="e">
        <f>SUBSTITUTE(#REF!,"_",".")</f>
        <v>#REF!</v>
      </c>
      <c r="J171" t="e">
        <f>#REF!&amp;" ["&amp;#REF!&amp;"]"</f>
        <v>#REF!</v>
      </c>
      <c r="K171" s="2" t="e">
        <f>IF(#REF!="",#REF!,#REF!)&amp;IF(#REF!="","",CHAR(10)&amp;CHAR(13)&amp;"ConceptualDomain: "&amp;#REF!)&amp;CHAR(10)&amp;CHAR(13)&amp;#REF!</f>
        <v>#REF!</v>
      </c>
      <c r="L171" s="39" t="e">
        <f>IF(LEN(#REF!)=9,"1","0")</f>
        <v>#REF!</v>
      </c>
      <c r="M171" s="60" t="s">
        <v>2</v>
      </c>
    </row>
    <row r="172" spans="4:13" x14ac:dyDescent="0.75">
      <c r="D172" t="e">
        <f>#REF!</f>
        <v>#REF!</v>
      </c>
      <c r="H172" t="e">
        <f>#REF!</f>
        <v>#REF!</v>
      </c>
      <c r="I172" s="40" t="e">
        <f>#REF!</f>
        <v>#REF!</v>
      </c>
      <c r="J172" s="40" t="e">
        <f>#REF!</f>
        <v>#REF!</v>
      </c>
      <c r="K172" s="40" t="e">
        <f>#REF!</f>
        <v>#REF!</v>
      </c>
      <c r="L172" s="41">
        <v>0</v>
      </c>
      <c r="M172" s="42" t="s">
        <v>2</v>
      </c>
    </row>
    <row r="173" spans="4:13" x14ac:dyDescent="0.75">
      <c r="D173" t="e">
        <f>#REF!</f>
        <v>#REF!</v>
      </c>
      <c r="H173" t="e">
        <f>#REF!</f>
        <v>#REF!</v>
      </c>
      <c r="I173" t="e">
        <f>SUBSTITUTE(#REF!,"_",".")</f>
        <v>#REF!</v>
      </c>
      <c r="J173" t="e">
        <f>#REF!&amp;" ["&amp;#REF!&amp;"]"</f>
        <v>#REF!</v>
      </c>
      <c r="K173" s="2" t="e">
        <f>IF(#REF!="",#REF!,#REF!)&amp;IF(#REF!="","",CHAR(10)&amp;CHAR(13)&amp;"ConceptualDomain: "&amp;#REF!)&amp;CHAR(10)&amp;CHAR(13)&amp;#REF!</f>
        <v>#REF!</v>
      </c>
      <c r="L173" s="39" t="e">
        <f>IF(LEN(#REF!)=9,"1","0")</f>
        <v>#REF!</v>
      </c>
      <c r="M173" s="60" t="s">
        <v>2</v>
      </c>
    </row>
    <row r="174" spans="4:13" x14ac:dyDescent="0.75">
      <c r="D174" t="e">
        <f>#REF!</f>
        <v>#REF!</v>
      </c>
      <c r="H174" t="e">
        <f>#REF!</f>
        <v>#REF!</v>
      </c>
      <c r="I174" t="e">
        <f>SUBSTITUTE(#REF!,"_",".")</f>
        <v>#REF!</v>
      </c>
      <c r="J174" t="e">
        <f>#REF!&amp;" ["&amp;#REF!&amp;"]"</f>
        <v>#REF!</v>
      </c>
      <c r="K174" s="2" t="e">
        <f>IF(#REF!="",#REF!,#REF!)&amp;IF(#REF!="","",CHAR(10)&amp;CHAR(13)&amp;"ConceptualDomain: "&amp;#REF!)&amp;CHAR(10)&amp;CHAR(13)&amp;#REF!</f>
        <v>#REF!</v>
      </c>
      <c r="L174" s="39" t="e">
        <f>IF(LEN(#REF!)=9,"1","0")</f>
        <v>#REF!</v>
      </c>
      <c r="M174" s="60" t="s">
        <v>2</v>
      </c>
    </row>
    <row r="175" spans="4:13" x14ac:dyDescent="0.75">
      <c r="D175" t="e">
        <f>#REF!</f>
        <v>#REF!</v>
      </c>
      <c r="H175" t="e">
        <f>#REF!</f>
        <v>#REF!</v>
      </c>
      <c r="I175" t="e">
        <f>SUBSTITUTE(#REF!,"_",".")</f>
        <v>#REF!</v>
      </c>
      <c r="J175" t="e">
        <f>#REF!&amp;" ["&amp;#REF!&amp;"]"</f>
        <v>#REF!</v>
      </c>
      <c r="K175" s="2" t="e">
        <f>IF(#REF!="",#REF!,#REF!)&amp;IF(#REF!="","",CHAR(10)&amp;CHAR(13)&amp;"ConceptualDomain: "&amp;#REF!)&amp;CHAR(10)&amp;CHAR(13)&amp;#REF!</f>
        <v>#REF!</v>
      </c>
      <c r="L175" s="39" t="e">
        <f>IF(LEN(#REF!)=9,"1","0")</f>
        <v>#REF!</v>
      </c>
      <c r="M175" s="60" t="s">
        <v>2</v>
      </c>
    </row>
    <row r="176" spans="4:13" x14ac:dyDescent="0.75">
      <c r="D176" t="e">
        <f>#REF!</f>
        <v>#REF!</v>
      </c>
      <c r="H176" t="e">
        <f>#REF!</f>
        <v>#REF!</v>
      </c>
      <c r="I176" t="e">
        <f>SUBSTITUTE(#REF!,"_",".")</f>
        <v>#REF!</v>
      </c>
      <c r="J176" t="e">
        <f>#REF!&amp;" ["&amp;#REF!&amp;"]"</f>
        <v>#REF!</v>
      </c>
      <c r="K176" s="2" t="e">
        <f>IF(#REF!="",#REF!,#REF!)&amp;IF(#REF!="","",CHAR(10)&amp;CHAR(13)&amp;"ConceptualDomain: "&amp;#REF!)&amp;CHAR(10)&amp;CHAR(13)&amp;#REF!</f>
        <v>#REF!</v>
      </c>
      <c r="L176" s="39" t="e">
        <f>IF(LEN(#REF!)=9,"1","0")</f>
        <v>#REF!</v>
      </c>
      <c r="M176" s="60" t="s">
        <v>2</v>
      </c>
    </row>
    <row r="177" spans="4:13" x14ac:dyDescent="0.75">
      <c r="D177" t="e">
        <f>#REF!</f>
        <v>#REF!</v>
      </c>
      <c r="H177" t="e">
        <f>#REF!</f>
        <v>#REF!</v>
      </c>
      <c r="I177" t="e">
        <f>SUBSTITUTE(#REF!,"_",".")</f>
        <v>#REF!</v>
      </c>
      <c r="J177" t="e">
        <f>#REF!&amp;" ["&amp;#REF!&amp;"]"</f>
        <v>#REF!</v>
      </c>
      <c r="K177" s="2" t="e">
        <f>IF(#REF!="",#REF!,#REF!)&amp;IF(#REF!="","",CHAR(10)&amp;CHAR(13)&amp;"ConceptualDomain: "&amp;#REF!)&amp;CHAR(10)&amp;CHAR(13)&amp;#REF!</f>
        <v>#REF!</v>
      </c>
      <c r="L177" s="39" t="e">
        <f>IF(LEN(#REF!)=9,"1","0")</f>
        <v>#REF!</v>
      </c>
      <c r="M177" s="60" t="s">
        <v>2</v>
      </c>
    </row>
    <row r="178" spans="4:13" x14ac:dyDescent="0.75">
      <c r="D178" t="e">
        <f>#REF!</f>
        <v>#REF!</v>
      </c>
      <c r="H178" t="e">
        <f>#REF!</f>
        <v>#REF!</v>
      </c>
      <c r="I178" t="e">
        <f>SUBSTITUTE(#REF!,"_",".")</f>
        <v>#REF!</v>
      </c>
      <c r="J178" t="e">
        <f>#REF!&amp;" ["&amp;#REF!&amp;"]"</f>
        <v>#REF!</v>
      </c>
      <c r="K178" s="2" t="e">
        <f>IF(#REF!="",#REF!,#REF!)&amp;IF(#REF!="","",CHAR(10)&amp;CHAR(13)&amp;"ConceptualDomain: "&amp;#REF!)&amp;CHAR(10)&amp;CHAR(13)&amp;#REF!</f>
        <v>#REF!</v>
      </c>
      <c r="L178" s="39" t="e">
        <f>IF(LEN(#REF!)=9,"1","0")</f>
        <v>#REF!</v>
      </c>
      <c r="M178" s="60" t="s">
        <v>2</v>
      </c>
    </row>
    <row r="179" spans="4:13" x14ac:dyDescent="0.75">
      <c r="D179" t="e">
        <f>#REF!</f>
        <v>#REF!</v>
      </c>
      <c r="H179" t="e">
        <f>#REF!</f>
        <v>#REF!</v>
      </c>
      <c r="I179" t="e">
        <f>SUBSTITUTE(#REF!,"_",".")</f>
        <v>#REF!</v>
      </c>
      <c r="J179" t="e">
        <f>#REF!&amp;" ["&amp;#REF!&amp;"]"</f>
        <v>#REF!</v>
      </c>
      <c r="K179" s="2" t="e">
        <f>IF(#REF!="",#REF!,#REF!)&amp;IF(#REF!="","",CHAR(10)&amp;CHAR(13)&amp;"ConceptualDomain: "&amp;#REF!)&amp;CHAR(10)&amp;CHAR(13)&amp;#REF!</f>
        <v>#REF!</v>
      </c>
      <c r="L179" s="39" t="e">
        <f>IF(LEN(#REF!)=9,"1","0")</f>
        <v>#REF!</v>
      </c>
      <c r="M179" s="60" t="s">
        <v>2</v>
      </c>
    </row>
    <row r="180" spans="4:13" x14ac:dyDescent="0.75">
      <c r="D180" t="e">
        <f>#REF!</f>
        <v>#REF!</v>
      </c>
      <c r="H180" t="e">
        <f>#REF!</f>
        <v>#REF!</v>
      </c>
      <c r="I180" s="40" t="e">
        <f>#REF!</f>
        <v>#REF!</v>
      </c>
      <c r="J180" s="40" t="e">
        <f>#REF!</f>
        <v>#REF!</v>
      </c>
      <c r="K180" s="40" t="e">
        <f>#REF!</f>
        <v>#REF!</v>
      </c>
      <c r="L180" s="41">
        <v>0</v>
      </c>
      <c r="M180" s="42" t="s">
        <v>2</v>
      </c>
    </row>
    <row r="181" spans="4:13" x14ac:dyDescent="0.75">
      <c r="D181" t="e">
        <f>#REF!</f>
        <v>#REF!</v>
      </c>
      <c r="H181" t="e">
        <f>#REF!</f>
        <v>#REF!</v>
      </c>
      <c r="I181" t="e">
        <f>SUBSTITUTE(#REF!,"_",".")</f>
        <v>#REF!</v>
      </c>
      <c r="J181" t="e">
        <f>#REF!&amp;" ["&amp;#REF!&amp;"]"</f>
        <v>#REF!</v>
      </c>
      <c r="K181" s="2" t="e">
        <f>IF(#REF!="",#REF!,#REF!)&amp;IF(#REF!="","",CHAR(10)&amp;CHAR(13)&amp;"ConceptualDomain: "&amp;#REF!)&amp;CHAR(10)&amp;CHAR(13)&amp;#REF!</f>
        <v>#REF!</v>
      </c>
      <c r="L181" s="39" t="e">
        <f>IF(LEN(#REF!)=9,"1","0")</f>
        <v>#REF!</v>
      </c>
      <c r="M181" s="60" t="s">
        <v>2</v>
      </c>
    </row>
    <row r="182" spans="4:13" x14ac:dyDescent="0.75">
      <c r="D182" t="e">
        <f>#REF!</f>
        <v>#REF!</v>
      </c>
      <c r="H182" t="e">
        <f>#REF!</f>
        <v>#REF!</v>
      </c>
      <c r="I182" t="e">
        <f>SUBSTITUTE(#REF!,"_",".")</f>
        <v>#REF!</v>
      </c>
      <c r="J182" t="e">
        <f>#REF!&amp;" ["&amp;#REF!&amp;"]"</f>
        <v>#REF!</v>
      </c>
      <c r="K182" s="2" t="e">
        <f>IF(#REF!="",#REF!,#REF!)&amp;IF(#REF!="","",CHAR(10)&amp;CHAR(13)&amp;"ConceptualDomain: "&amp;#REF!)&amp;CHAR(10)&amp;CHAR(13)&amp;#REF!</f>
        <v>#REF!</v>
      </c>
      <c r="L182" s="39" t="e">
        <f>IF(LEN(#REF!)=9,"1","0")</f>
        <v>#REF!</v>
      </c>
      <c r="M182" s="60" t="s">
        <v>2</v>
      </c>
    </row>
    <row r="183" spans="4:13" x14ac:dyDescent="0.75">
      <c r="D183" t="e">
        <f>#REF!</f>
        <v>#REF!</v>
      </c>
      <c r="H183" t="e">
        <f>#REF!</f>
        <v>#REF!</v>
      </c>
      <c r="I183" t="e">
        <f>SUBSTITUTE(#REF!,"_",".")</f>
        <v>#REF!</v>
      </c>
      <c r="J183" t="e">
        <f>#REF!&amp;" ["&amp;#REF!&amp;"]"</f>
        <v>#REF!</v>
      </c>
      <c r="K183" s="2" t="e">
        <f>IF(#REF!="",#REF!,#REF!)&amp;IF(#REF!="","",CHAR(10)&amp;CHAR(13)&amp;"ConceptualDomain: "&amp;#REF!)&amp;CHAR(10)&amp;CHAR(13)&amp;#REF!</f>
        <v>#REF!</v>
      </c>
      <c r="L183" s="39" t="e">
        <f>IF(LEN(#REF!)=9,"1","0")</f>
        <v>#REF!</v>
      </c>
      <c r="M183" s="60" t="s">
        <v>2</v>
      </c>
    </row>
    <row r="184" spans="4:13" x14ac:dyDescent="0.75">
      <c r="D184" t="e">
        <f>#REF!</f>
        <v>#REF!</v>
      </c>
      <c r="H184" t="e">
        <f>#REF!</f>
        <v>#REF!</v>
      </c>
      <c r="I184" t="e">
        <f>SUBSTITUTE(#REF!,"_",".")</f>
        <v>#REF!</v>
      </c>
      <c r="J184" t="e">
        <f>#REF!&amp;" ["&amp;#REF!&amp;"]"</f>
        <v>#REF!</v>
      </c>
      <c r="K184" s="2" t="e">
        <f>IF(#REF!="",#REF!,#REF!)&amp;IF(#REF!="","",CHAR(10)&amp;CHAR(13)&amp;"ConceptualDomain: "&amp;#REF!)&amp;CHAR(10)&amp;CHAR(13)&amp;#REF!</f>
        <v>#REF!</v>
      </c>
      <c r="L184" s="39" t="e">
        <f>IF(LEN(#REF!)=9,"1","0")</f>
        <v>#REF!</v>
      </c>
      <c r="M184" s="60" t="s">
        <v>2</v>
      </c>
    </row>
    <row r="185" spans="4:13" x14ac:dyDescent="0.75">
      <c r="D185" t="e">
        <f>#REF!</f>
        <v>#REF!</v>
      </c>
      <c r="H185" t="e">
        <f>#REF!</f>
        <v>#REF!</v>
      </c>
      <c r="I185" t="e">
        <f>SUBSTITUTE(#REF!,"_",".")</f>
        <v>#REF!</v>
      </c>
      <c r="J185" t="e">
        <f>#REF!&amp;" ["&amp;#REF!&amp;"]"</f>
        <v>#REF!</v>
      </c>
      <c r="K185" s="2" t="e">
        <f>IF(#REF!="",#REF!,#REF!)&amp;IF(#REF!="","",CHAR(10)&amp;CHAR(13)&amp;"ConceptualDomain: "&amp;#REF!)&amp;CHAR(10)&amp;CHAR(13)&amp;#REF!</f>
        <v>#REF!</v>
      </c>
      <c r="L185" s="39" t="e">
        <f>IF(LEN(#REF!)=9,"1","0")</f>
        <v>#REF!</v>
      </c>
      <c r="M185" s="60" t="s">
        <v>2</v>
      </c>
    </row>
    <row r="186" spans="4:13" x14ac:dyDescent="0.75">
      <c r="D186" t="e">
        <f>#REF!</f>
        <v>#REF!</v>
      </c>
      <c r="H186" t="e">
        <f>#REF!</f>
        <v>#REF!</v>
      </c>
      <c r="I186" t="e">
        <f>SUBSTITUTE(#REF!,"_",".")</f>
        <v>#REF!</v>
      </c>
      <c r="J186" t="e">
        <f>#REF!&amp;" ["&amp;#REF!&amp;"]"</f>
        <v>#REF!</v>
      </c>
      <c r="K186" s="2" t="e">
        <f>IF(#REF!="",#REF!,#REF!)&amp;IF(#REF!="","",CHAR(10)&amp;CHAR(13)&amp;"ConceptualDomain: "&amp;#REF!)&amp;CHAR(10)&amp;CHAR(13)&amp;#REF!</f>
        <v>#REF!</v>
      </c>
      <c r="L186" s="39" t="e">
        <f>IF(LEN(#REF!)=9,"1","0")</f>
        <v>#REF!</v>
      </c>
      <c r="M186" s="60" t="s">
        <v>2</v>
      </c>
    </row>
    <row r="187" spans="4:13" x14ac:dyDescent="0.75">
      <c r="D187" t="e">
        <f>#REF!</f>
        <v>#REF!</v>
      </c>
      <c r="H187" t="e">
        <f>#REF!</f>
        <v>#REF!</v>
      </c>
      <c r="I187" s="40" t="e">
        <f>#REF!</f>
        <v>#REF!</v>
      </c>
      <c r="J187" s="40" t="e">
        <f>#REF!</f>
        <v>#REF!</v>
      </c>
      <c r="K187" s="40" t="e">
        <f>#REF!</f>
        <v>#REF!</v>
      </c>
      <c r="L187" s="41">
        <v>0</v>
      </c>
      <c r="M187" s="41" t="s">
        <v>2</v>
      </c>
    </row>
    <row r="188" spans="4:13" x14ac:dyDescent="0.75">
      <c r="D188" t="e">
        <f>#REF!</f>
        <v>#REF!</v>
      </c>
      <c r="H188" t="e">
        <f>#REF!</f>
        <v>#REF!</v>
      </c>
      <c r="I188" t="e">
        <f>SUBSTITUTE(#REF!,"_",".")</f>
        <v>#REF!</v>
      </c>
      <c r="J188" t="e">
        <f>#REF!&amp;" ["&amp;#REF!&amp;"]"</f>
        <v>#REF!</v>
      </c>
      <c r="K188" s="2" t="e">
        <f>IF(#REF!="",#REF!,#REF!)&amp;IF(#REF!="","",CHAR(10)&amp;CHAR(13)&amp;"ConceptualDomain: "&amp;#REF!)&amp;CHAR(10)&amp;CHAR(13)&amp;#REF!</f>
        <v>#REF!</v>
      </c>
      <c r="L188" s="39" t="e">
        <f>IF(LEN(#REF!)=9,"1","0")</f>
        <v>#REF!</v>
      </c>
      <c r="M188" s="60" t="s">
        <v>2</v>
      </c>
    </row>
    <row r="189" spans="4:13" x14ac:dyDescent="0.75">
      <c r="D189" t="e">
        <f>#REF!</f>
        <v>#REF!</v>
      </c>
      <c r="H189" t="e">
        <f>#REF!</f>
        <v>#REF!</v>
      </c>
      <c r="I189" t="e">
        <f>SUBSTITUTE(#REF!,"_",".")</f>
        <v>#REF!</v>
      </c>
      <c r="J189" t="e">
        <f>#REF!&amp;" ["&amp;#REF!&amp;"]"</f>
        <v>#REF!</v>
      </c>
      <c r="K189" s="2" t="e">
        <f>IF(#REF!="",#REF!,#REF!)&amp;IF(#REF!="","",CHAR(10)&amp;CHAR(13)&amp;"ConceptualDomain: "&amp;#REF!)&amp;CHAR(10)&amp;CHAR(13)&amp;#REF!</f>
        <v>#REF!</v>
      </c>
      <c r="L189" s="39" t="e">
        <f>IF(LEN(#REF!)=9,"1","0")</f>
        <v>#REF!</v>
      </c>
      <c r="M189" s="60" t="s">
        <v>2</v>
      </c>
    </row>
    <row r="190" spans="4:13" x14ac:dyDescent="0.75">
      <c r="D190" t="e">
        <f>#REF!</f>
        <v>#REF!</v>
      </c>
      <c r="H190" t="e">
        <f>#REF!</f>
        <v>#REF!</v>
      </c>
      <c r="I190" t="e">
        <f>SUBSTITUTE(#REF!,"_",".")</f>
        <v>#REF!</v>
      </c>
      <c r="J190" t="e">
        <f>#REF!&amp;" ["&amp;#REF!&amp;"]"</f>
        <v>#REF!</v>
      </c>
      <c r="K190" s="2" t="e">
        <f>IF(#REF!="",#REF!,#REF!)&amp;IF(#REF!="","",CHAR(10)&amp;CHAR(13)&amp;"ConceptualDomain: "&amp;#REF!)&amp;CHAR(10)&amp;CHAR(13)&amp;#REF!</f>
        <v>#REF!</v>
      </c>
      <c r="L190" s="39" t="e">
        <f>IF(LEN(#REF!)=9,"1","0")</f>
        <v>#REF!</v>
      </c>
      <c r="M190" s="60" t="s">
        <v>2</v>
      </c>
    </row>
    <row r="191" spans="4:13" x14ac:dyDescent="0.75">
      <c r="D191" t="e">
        <f>#REF!</f>
        <v>#REF!</v>
      </c>
      <c r="H191" t="e">
        <f>#REF!</f>
        <v>#REF!</v>
      </c>
      <c r="I191" t="e">
        <f>SUBSTITUTE(#REF!,"_",".")</f>
        <v>#REF!</v>
      </c>
      <c r="J191" t="e">
        <f>#REF!&amp;" ["&amp;#REF!&amp;"]"</f>
        <v>#REF!</v>
      </c>
      <c r="K191" s="2" t="e">
        <f>IF(#REF!="",#REF!,#REF!)&amp;IF(#REF!="","",CHAR(10)&amp;CHAR(13)&amp;"ConceptualDomain: "&amp;#REF!)&amp;CHAR(10)&amp;CHAR(13)&amp;#REF!</f>
        <v>#REF!</v>
      </c>
      <c r="L191" s="39" t="e">
        <f>IF(LEN(#REF!)=9,"1","0")</f>
        <v>#REF!</v>
      </c>
      <c r="M191" s="60" t="s">
        <v>2</v>
      </c>
    </row>
    <row r="192" spans="4:13" x14ac:dyDescent="0.75">
      <c r="D192" t="e">
        <f>#REF!</f>
        <v>#REF!</v>
      </c>
      <c r="H192" t="e">
        <f>#REF!</f>
        <v>#REF!</v>
      </c>
      <c r="I192" t="e">
        <f>SUBSTITUTE(#REF!,"_",".")</f>
        <v>#REF!</v>
      </c>
      <c r="J192" t="e">
        <f>#REF!&amp;" ["&amp;#REF!&amp;"]"</f>
        <v>#REF!</v>
      </c>
      <c r="K192" s="2" t="e">
        <f>IF(#REF!="",#REF!,#REF!)&amp;IF(#REF!="","",CHAR(10)&amp;CHAR(13)&amp;"ConceptualDomain: "&amp;#REF!)&amp;CHAR(10)&amp;CHAR(13)&amp;#REF!</f>
        <v>#REF!</v>
      </c>
      <c r="L192" s="39" t="e">
        <f>IF(LEN(#REF!)=9,"1","0")</f>
        <v>#REF!</v>
      </c>
      <c r="M192" s="60" t="s">
        <v>2</v>
      </c>
    </row>
    <row r="193" spans="4:13" x14ac:dyDescent="0.75">
      <c r="D193" t="e">
        <f>#REF!</f>
        <v>#REF!</v>
      </c>
      <c r="H193" t="e">
        <f>#REF!</f>
        <v>#REF!</v>
      </c>
      <c r="I193" t="e">
        <f>SUBSTITUTE(#REF!,"_",".")</f>
        <v>#REF!</v>
      </c>
      <c r="J193" t="e">
        <f>#REF!&amp;" ["&amp;#REF!&amp;"]"</f>
        <v>#REF!</v>
      </c>
      <c r="K193" s="2" t="e">
        <f>IF(#REF!="",#REF!,#REF!)&amp;IF(#REF!="","",CHAR(10)&amp;CHAR(13)&amp;"ConceptualDomain: "&amp;#REF!)&amp;CHAR(10)&amp;CHAR(13)&amp;#REF!</f>
        <v>#REF!</v>
      </c>
      <c r="L193" s="39" t="e">
        <f>IF(LEN(#REF!)=9,"1","0")</f>
        <v>#REF!</v>
      </c>
      <c r="M193" s="60" t="s">
        <v>2</v>
      </c>
    </row>
    <row r="194" spans="4:13" x14ac:dyDescent="0.75">
      <c r="D194" t="e">
        <f>#REF!</f>
        <v>#REF!</v>
      </c>
      <c r="H194" t="e">
        <f>#REF!</f>
        <v>#REF!</v>
      </c>
      <c r="I194" s="40" t="e">
        <f>#REF!</f>
        <v>#REF!</v>
      </c>
      <c r="J194" s="40" t="e">
        <f>#REF!</f>
        <v>#REF!</v>
      </c>
      <c r="K194" s="40" t="e">
        <f>#REF!</f>
        <v>#REF!</v>
      </c>
      <c r="L194" s="41">
        <v>0</v>
      </c>
      <c r="M194" s="42" t="s">
        <v>2</v>
      </c>
    </row>
    <row r="195" spans="4:13" x14ac:dyDescent="0.75">
      <c r="D195" t="e">
        <f>#REF!</f>
        <v>#REF!</v>
      </c>
      <c r="H195" t="e">
        <f>#REF!</f>
        <v>#REF!</v>
      </c>
      <c r="I195" t="e">
        <f>SUBSTITUTE(#REF!,"_",".")</f>
        <v>#REF!</v>
      </c>
      <c r="J195" t="e">
        <f>#REF!&amp;" ["&amp;#REF!&amp;"]"</f>
        <v>#REF!</v>
      </c>
      <c r="K195" s="2" t="e">
        <f>IF(#REF!="",#REF!,#REF!)&amp;IF(#REF!="","",CHAR(10)&amp;CHAR(13)&amp;"ConceptualDomain: "&amp;#REF!)&amp;CHAR(10)&amp;CHAR(13)&amp;#REF!</f>
        <v>#REF!</v>
      </c>
      <c r="L195" s="39" t="e">
        <f>IF(LEN(#REF!)=9,"1","0")</f>
        <v>#REF!</v>
      </c>
      <c r="M195" s="60" t="s">
        <v>2</v>
      </c>
    </row>
    <row r="196" spans="4:13" x14ac:dyDescent="0.75">
      <c r="D196" t="e">
        <f>#REF!</f>
        <v>#REF!</v>
      </c>
      <c r="H196" t="e">
        <f>#REF!</f>
        <v>#REF!</v>
      </c>
      <c r="I196" t="e">
        <f>SUBSTITUTE(#REF!,"_",".")</f>
        <v>#REF!</v>
      </c>
      <c r="J196" t="e">
        <f>#REF!&amp;" ["&amp;#REF!&amp;"]"</f>
        <v>#REF!</v>
      </c>
      <c r="K196" s="2" t="e">
        <f>IF(#REF!="",#REF!,#REF!)&amp;IF(#REF!="","",CHAR(10)&amp;CHAR(13)&amp;"ConceptualDomain: "&amp;#REF!)&amp;CHAR(10)&amp;CHAR(13)&amp;#REF!</f>
        <v>#REF!</v>
      </c>
      <c r="L196" s="39" t="e">
        <f>IF(LEN(#REF!)=9,"1","0")</f>
        <v>#REF!</v>
      </c>
      <c r="M196" s="60" t="s">
        <v>2</v>
      </c>
    </row>
    <row r="197" spans="4:13" x14ac:dyDescent="0.75">
      <c r="D197" t="e">
        <f>#REF!</f>
        <v>#REF!</v>
      </c>
      <c r="H197" t="e">
        <f>#REF!</f>
        <v>#REF!</v>
      </c>
      <c r="I197" t="e">
        <f>SUBSTITUTE(#REF!,"_",".")</f>
        <v>#REF!</v>
      </c>
      <c r="J197" t="e">
        <f>#REF!&amp;" ["&amp;#REF!&amp;"]"</f>
        <v>#REF!</v>
      </c>
      <c r="K197" s="2" t="e">
        <f>IF(#REF!="",#REF!,#REF!)&amp;IF(#REF!="","",CHAR(10)&amp;CHAR(13)&amp;"ConceptualDomain: "&amp;#REF!)&amp;CHAR(10)&amp;CHAR(13)&amp;#REF!</f>
        <v>#REF!</v>
      </c>
      <c r="L197" s="39" t="e">
        <f>IF(LEN(#REF!)=9,"1","0")</f>
        <v>#REF!</v>
      </c>
      <c r="M197" s="60" t="s">
        <v>2</v>
      </c>
    </row>
    <row r="198" spans="4:13" x14ac:dyDescent="0.75">
      <c r="D198" t="e">
        <f>#REF!</f>
        <v>#REF!</v>
      </c>
      <c r="H198" t="e">
        <f>#REF!</f>
        <v>#REF!</v>
      </c>
      <c r="I198" t="e">
        <f>SUBSTITUTE(#REF!,"_",".")</f>
        <v>#REF!</v>
      </c>
      <c r="J198" t="e">
        <f>#REF!&amp;" ["&amp;#REF!&amp;"]"</f>
        <v>#REF!</v>
      </c>
      <c r="K198" s="2" t="e">
        <f>IF(#REF!="",#REF!,#REF!)&amp;IF(#REF!="","",CHAR(10)&amp;CHAR(13)&amp;"ConceptualDomain: "&amp;#REF!)&amp;CHAR(10)&amp;CHAR(13)&amp;#REF!</f>
        <v>#REF!</v>
      </c>
      <c r="L198" s="39" t="e">
        <f>IF(LEN(#REF!)=9,"1","0")</f>
        <v>#REF!</v>
      </c>
      <c r="M198" s="60" t="s">
        <v>2</v>
      </c>
    </row>
    <row r="199" spans="4:13" x14ac:dyDescent="0.75">
      <c r="D199" t="e">
        <f>#REF!</f>
        <v>#REF!</v>
      </c>
      <c r="I199" t="e">
        <f>SUBSTITUTE(#REF!,"_",".")</f>
        <v>#REF!</v>
      </c>
      <c r="J199" t="e">
        <f>#REF!&amp;" ["&amp;#REF!&amp;"]"</f>
        <v>#REF!</v>
      </c>
      <c r="K199" s="2" t="e">
        <f>IF(#REF!="",#REF!,#REF!)&amp;IF(#REF!="","",CHAR(10)&amp;CHAR(13)&amp;"ConceptualDomain: "&amp;#REF!)&amp;CHAR(10)&amp;CHAR(13)&amp;#REF!</f>
        <v>#REF!</v>
      </c>
      <c r="L199" s="39" t="e">
        <f>IF(LEN(#REF!)=9,"1","0")</f>
        <v>#REF!</v>
      </c>
      <c r="M199" s="60" t="s">
        <v>2</v>
      </c>
    </row>
    <row r="200" spans="4:13" x14ac:dyDescent="0.75">
      <c r="D200" t="e">
        <f>#REF!</f>
        <v>#REF!</v>
      </c>
      <c r="I200" t="e">
        <f>SUBSTITUTE(#REF!,"_",".")</f>
        <v>#REF!</v>
      </c>
      <c r="J200" t="e">
        <f>#REF!&amp;" ["&amp;#REF!&amp;"]"</f>
        <v>#REF!</v>
      </c>
      <c r="K200" s="2" t="e">
        <f>IF(#REF!="",#REF!,#REF!)&amp;IF(#REF!="","",CHAR(10)&amp;CHAR(13)&amp;"ConceptualDomain: "&amp;#REF!)&amp;CHAR(10)&amp;CHAR(13)&amp;#REF!</f>
        <v>#REF!</v>
      </c>
      <c r="L200" s="39" t="e">
        <f>IF(LEN(#REF!)=9,"1","0")</f>
        <v>#REF!</v>
      </c>
      <c r="M200" s="60" t="s">
        <v>2</v>
      </c>
    </row>
    <row r="201" spans="4:13" x14ac:dyDescent="0.75">
      <c r="D201" t="e">
        <f>#REF!</f>
        <v>#REF!</v>
      </c>
      <c r="I201" t="e">
        <f>SUBSTITUTE(#REF!,"_",".")</f>
        <v>#REF!</v>
      </c>
      <c r="J201" t="e">
        <f>#REF!&amp;" ["&amp;#REF!&amp;"]"</f>
        <v>#REF!</v>
      </c>
      <c r="K201" s="2" t="e">
        <f>IF(#REF!="",#REF!,#REF!)&amp;IF(#REF!="","",CHAR(10)&amp;CHAR(13)&amp;"ConceptualDomain: "&amp;#REF!)&amp;CHAR(10)&amp;CHAR(13)&amp;#REF!</f>
        <v>#REF!</v>
      </c>
      <c r="L201" s="39" t="e">
        <f>IF(LEN(#REF!)=9,"1","0")</f>
        <v>#REF!</v>
      </c>
      <c r="M201" s="60" t="s">
        <v>2</v>
      </c>
    </row>
    <row r="202" spans="4:13" x14ac:dyDescent="0.75">
      <c r="D202" t="e">
        <f>#REF!</f>
        <v>#REF!</v>
      </c>
      <c r="I202" t="e">
        <f>SUBSTITUTE(#REF!,"_",".")</f>
        <v>#REF!</v>
      </c>
      <c r="J202" t="e">
        <f>#REF!&amp;" ["&amp;#REF!&amp;"]"</f>
        <v>#REF!</v>
      </c>
      <c r="K202" s="2" t="e">
        <f>IF(#REF!="",#REF!,#REF!)&amp;IF(#REF!="","",CHAR(10)&amp;CHAR(13)&amp;"ConceptualDomain: "&amp;#REF!)&amp;CHAR(10)&amp;CHAR(13)&amp;#REF!</f>
        <v>#REF!</v>
      </c>
      <c r="L202" s="39" t="e">
        <f>IF(LEN(#REF!)=9,"1","0")</f>
        <v>#REF!</v>
      </c>
      <c r="M202" s="60" t="s">
        <v>2</v>
      </c>
    </row>
    <row r="203" spans="4:13" x14ac:dyDescent="0.75">
      <c r="D203" t="e">
        <f>#REF!</f>
        <v>#REF!</v>
      </c>
      <c r="I203" t="e">
        <f>SUBSTITUTE(#REF!,"_",".")</f>
        <v>#REF!</v>
      </c>
      <c r="J203" t="e">
        <f>#REF!&amp;" ["&amp;#REF!&amp;"]"</f>
        <v>#REF!</v>
      </c>
      <c r="K203" s="2" t="e">
        <f>IF(#REF!="",#REF!,#REF!)&amp;IF(#REF!="","",CHAR(10)&amp;CHAR(13)&amp;"ConceptualDomain: "&amp;#REF!)&amp;CHAR(10)&amp;CHAR(13)&amp;#REF!</f>
        <v>#REF!</v>
      </c>
      <c r="L203" s="39" t="e">
        <f>IF(LEN(#REF!)=9,"1","0")</f>
        <v>#REF!</v>
      </c>
      <c r="M203" s="60" t="s">
        <v>2</v>
      </c>
    </row>
    <row r="204" spans="4:13" x14ac:dyDescent="0.75">
      <c r="D204" t="e">
        <f>#REF!</f>
        <v>#REF!</v>
      </c>
      <c r="H204" s="40" t="e">
        <f>#REF!</f>
        <v>#REF!</v>
      </c>
      <c r="I204" s="40" t="e">
        <f>#REF!</f>
        <v>#REF!</v>
      </c>
      <c r="J204" s="40" t="e">
        <f>#REF!</f>
        <v>#REF!</v>
      </c>
      <c r="K204" s="40" t="e">
        <f>#REF!</f>
        <v>#REF!</v>
      </c>
      <c r="L204" s="41">
        <v>0</v>
      </c>
      <c r="M204" s="42" t="s">
        <v>2</v>
      </c>
    </row>
    <row r="205" spans="4:13" x14ac:dyDescent="0.75">
      <c r="D205" t="e">
        <f>#REF!</f>
        <v>#REF!</v>
      </c>
      <c r="H205" t="e">
        <f>#REF!</f>
        <v>#REF!</v>
      </c>
      <c r="I205" t="e">
        <f>SUBSTITUTE(#REF!,"_",".")</f>
        <v>#REF!</v>
      </c>
      <c r="J205" t="e">
        <f>#REF!&amp;" ["&amp;#REF!&amp;"]"</f>
        <v>#REF!</v>
      </c>
      <c r="K205" s="2" t="e">
        <f>IF(#REF!="",#REF!,#REF!)&amp;IF(#REF!="","",CHAR(10)&amp;CHAR(13)&amp;"ConceptualDomain: "&amp;#REF!)&amp;CHAR(10)&amp;CHAR(13)&amp;#REF!</f>
        <v>#REF!</v>
      </c>
      <c r="L205" s="39" t="e">
        <f>IF(LEN(#REF!)=9,"1","0")</f>
        <v>#REF!</v>
      </c>
      <c r="M205" s="60" t="s">
        <v>2</v>
      </c>
    </row>
    <row r="206" spans="4:13" x14ac:dyDescent="0.75">
      <c r="D206" t="e">
        <f>#REF!</f>
        <v>#REF!</v>
      </c>
      <c r="H206" t="e">
        <f>#REF!</f>
        <v>#REF!</v>
      </c>
      <c r="I206" t="e">
        <f>SUBSTITUTE(#REF!,"_",".")</f>
        <v>#REF!</v>
      </c>
      <c r="J206" t="e">
        <f>#REF!&amp;" ["&amp;#REF!&amp;"]"</f>
        <v>#REF!</v>
      </c>
      <c r="K206" s="2" t="e">
        <f>IF(#REF!="",#REF!,#REF!)&amp;IF(#REF!="","",CHAR(10)&amp;CHAR(13)&amp;"ConceptualDomain: "&amp;#REF!)&amp;CHAR(10)&amp;CHAR(13)&amp;#REF!</f>
        <v>#REF!</v>
      </c>
      <c r="L206" s="39" t="e">
        <f>IF(LEN(#REF!)=9,"1","0")</f>
        <v>#REF!</v>
      </c>
      <c r="M206" s="60" t="s">
        <v>2</v>
      </c>
    </row>
    <row r="207" spans="4:13" x14ac:dyDescent="0.75">
      <c r="D207" t="e">
        <f>#REF!</f>
        <v>#REF!</v>
      </c>
      <c r="H207" t="e">
        <f>#REF!</f>
        <v>#REF!</v>
      </c>
      <c r="I207" t="e">
        <f>SUBSTITUTE(#REF!,"_",".")</f>
        <v>#REF!</v>
      </c>
      <c r="J207" t="e">
        <f>#REF!&amp;" ["&amp;#REF!&amp;"]"</f>
        <v>#REF!</v>
      </c>
      <c r="K207" s="2" t="e">
        <f>IF(#REF!="",#REF!,#REF!)&amp;IF(#REF!="","",CHAR(10)&amp;CHAR(13)&amp;"ConceptualDomain: "&amp;#REF!)&amp;CHAR(10)&amp;CHAR(13)&amp;#REF!</f>
        <v>#REF!</v>
      </c>
      <c r="L207" s="39" t="e">
        <f>IF(LEN(#REF!)=9,"1","0")</f>
        <v>#REF!</v>
      </c>
      <c r="M207" s="60" t="s">
        <v>2</v>
      </c>
    </row>
    <row r="208" spans="4:13" x14ac:dyDescent="0.75">
      <c r="D208" t="e">
        <f>#REF!</f>
        <v>#REF!</v>
      </c>
      <c r="H208" t="e">
        <f>#REF!</f>
        <v>#REF!</v>
      </c>
      <c r="I208" t="e">
        <f>SUBSTITUTE(#REF!,"_",".")</f>
        <v>#REF!</v>
      </c>
      <c r="J208" t="e">
        <f>#REF!&amp;" ["&amp;#REF!&amp;"]"</f>
        <v>#REF!</v>
      </c>
      <c r="K208" s="2" t="e">
        <f>IF(#REF!="",#REF!,#REF!)&amp;IF(#REF!="","",CHAR(10)&amp;CHAR(13)&amp;"ConceptualDomain: "&amp;#REF!)&amp;CHAR(10)&amp;CHAR(13)&amp;#REF!</f>
        <v>#REF!</v>
      </c>
      <c r="L208" s="39" t="e">
        <f>IF(LEN(#REF!)=9,"1","0")</f>
        <v>#REF!</v>
      </c>
      <c r="M208" s="60" t="s">
        <v>2</v>
      </c>
    </row>
    <row r="209" spans="4:13" x14ac:dyDescent="0.75">
      <c r="D209" t="e">
        <f>#REF!</f>
        <v>#REF!</v>
      </c>
      <c r="H209" t="e">
        <f>#REF!</f>
        <v>#REF!</v>
      </c>
      <c r="I209" t="e">
        <f>SUBSTITUTE(#REF!,"_",".")</f>
        <v>#REF!</v>
      </c>
      <c r="J209" t="e">
        <f>#REF!&amp;" ["&amp;#REF!&amp;"]"</f>
        <v>#REF!</v>
      </c>
      <c r="K209" s="2" t="e">
        <f>IF(#REF!="",#REF!,#REF!)&amp;IF(#REF!="","",CHAR(10)&amp;CHAR(13)&amp;"ConceptualDomain: "&amp;#REF!)&amp;CHAR(10)&amp;CHAR(13)&amp;#REF!</f>
        <v>#REF!</v>
      </c>
      <c r="L209" s="39" t="e">
        <f>IF(LEN(#REF!)=9,"1","0")</f>
        <v>#REF!</v>
      </c>
      <c r="M209" s="60" t="s">
        <v>2</v>
      </c>
    </row>
    <row r="210" spans="4:13" x14ac:dyDescent="0.75">
      <c r="D210" t="e">
        <f>#REF!</f>
        <v>#REF!</v>
      </c>
      <c r="H210" t="e">
        <f>#REF!</f>
        <v>#REF!</v>
      </c>
      <c r="I210" t="e">
        <f>SUBSTITUTE(#REF!,"_",".")</f>
        <v>#REF!</v>
      </c>
      <c r="J210" t="e">
        <f>#REF!&amp;" ["&amp;#REF!&amp;"]"</f>
        <v>#REF!</v>
      </c>
      <c r="K210" s="2" t="e">
        <f>IF(#REF!="",#REF!,#REF!)&amp;IF(#REF!="","",CHAR(10)&amp;CHAR(13)&amp;"ConceptualDomain: "&amp;#REF!)&amp;CHAR(10)&amp;CHAR(13)&amp;#REF!</f>
        <v>#REF!</v>
      </c>
      <c r="L210" s="39" t="e">
        <f>IF(LEN(#REF!)=9,"1","0")</f>
        <v>#REF!</v>
      </c>
      <c r="M210" s="60" t="s">
        <v>2</v>
      </c>
    </row>
    <row r="211" spans="4:13" x14ac:dyDescent="0.75">
      <c r="D211" t="e">
        <f>#REF!</f>
        <v>#REF!</v>
      </c>
      <c r="H211" s="40" t="e">
        <f>#REF!</f>
        <v>#REF!</v>
      </c>
      <c r="I211" s="40" t="e">
        <f>#REF!</f>
        <v>#REF!</v>
      </c>
      <c r="J211" s="40" t="e">
        <f>#REF!</f>
        <v>#REF!</v>
      </c>
      <c r="K211" s="40" t="e">
        <f>#REF!</f>
        <v>#REF!</v>
      </c>
      <c r="L211" s="41">
        <v>0</v>
      </c>
      <c r="M211" s="40" t="s">
        <v>2</v>
      </c>
    </row>
    <row r="212" spans="4:13" x14ac:dyDescent="0.75">
      <c r="D212" t="e">
        <f>#REF!</f>
        <v>#REF!</v>
      </c>
      <c r="H212" t="e">
        <f>#REF!</f>
        <v>#REF!</v>
      </c>
      <c r="I212" t="e">
        <f>SUBSTITUTE(#REF!,"_",".")</f>
        <v>#REF!</v>
      </c>
      <c r="J212" t="e">
        <f>#REF!&amp;" ["&amp;#REF!&amp;"]"</f>
        <v>#REF!</v>
      </c>
      <c r="K212" s="2" t="e">
        <f>IF(#REF!="",#REF!,#REF!)&amp;IF(#REF!="","",CHAR(10)&amp;CHAR(13)&amp;"ConceptualDomain: "&amp;#REF!)&amp;CHAR(10)&amp;CHAR(13)&amp;#REF!</f>
        <v>#REF!</v>
      </c>
      <c r="L212" s="39" t="e">
        <f>IF(LEN(#REF!)=9,"1","0")</f>
        <v>#REF!</v>
      </c>
      <c r="M212" s="60" t="s">
        <v>2</v>
      </c>
    </row>
    <row r="213" spans="4:13" x14ac:dyDescent="0.75">
      <c r="D213" t="e">
        <f>#REF!</f>
        <v>#REF!</v>
      </c>
      <c r="H213" t="e">
        <f>#REF!</f>
        <v>#REF!</v>
      </c>
      <c r="I213" t="e">
        <f>SUBSTITUTE(#REF!,"_",".")</f>
        <v>#REF!</v>
      </c>
      <c r="J213" t="e">
        <f>#REF!&amp;" ["&amp;#REF!&amp;"]"</f>
        <v>#REF!</v>
      </c>
      <c r="K213" s="2" t="e">
        <f>IF(#REF!="",#REF!,#REF!)&amp;IF(#REF!="","",CHAR(10)&amp;CHAR(13)&amp;"ConceptualDomain: "&amp;#REF!)&amp;CHAR(10)&amp;CHAR(13)&amp;#REF!</f>
        <v>#REF!</v>
      </c>
      <c r="L213" s="39" t="e">
        <f>IF(LEN(#REF!)=9,"1","0")</f>
        <v>#REF!</v>
      </c>
      <c r="M213" s="60" t="s">
        <v>2</v>
      </c>
    </row>
    <row r="214" spans="4:13" x14ac:dyDescent="0.75">
      <c r="D214" t="e">
        <f>#REF!</f>
        <v>#REF!</v>
      </c>
      <c r="H214" t="e">
        <f>#REF!</f>
        <v>#REF!</v>
      </c>
      <c r="I214" t="e">
        <f>SUBSTITUTE(#REF!,"_",".")</f>
        <v>#REF!</v>
      </c>
      <c r="J214" t="e">
        <f>#REF!&amp;" ["&amp;#REF!&amp;"]"</f>
        <v>#REF!</v>
      </c>
      <c r="K214" s="2" t="e">
        <f>IF(#REF!="",#REF!,#REF!)&amp;IF(#REF!="","",CHAR(10)&amp;CHAR(13)&amp;"ConceptualDomain: "&amp;#REF!)&amp;CHAR(10)&amp;CHAR(13)&amp;#REF!</f>
        <v>#REF!</v>
      </c>
      <c r="L214" s="39" t="e">
        <f>IF(LEN(#REF!)=9,"1","0")</f>
        <v>#REF!</v>
      </c>
      <c r="M214" s="60" t="s">
        <v>2</v>
      </c>
    </row>
    <row r="215" spans="4:13" x14ac:dyDescent="0.75">
      <c r="D215" t="e">
        <f>#REF!</f>
        <v>#REF!</v>
      </c>
      <c r="H215" s="40" t="e">
        <f>#REF!</f>
        <v>#REF!</v>
      </c>
      <c r="I215" s="40" t="e">
        <f>#REF!</f>
        <v>#REF!</v>
      </c>
      <c r="J215" s="40" t="e">
        <f>#REF!</f>
        <v>#REF!</v>
      </c>
      <c r="K215" s="40" t="e">
        <f>#REF!</f>
        <v>#REF!</v>
      </c>
      <c r="L215" s="41">
        <v>0</v>
      </c>
      <c r="M215" s="40" t="s">
        <v>2</v>
      </c>
    </row>
    <row r="216" spans="4:13" x14ac:dyDescent="0.75">
      <c r="D216" t="e">
        <f>#REF!</f>
        <v>#REF!</v>
      </c>
      <c r="H216" t="e">
        <f>#REF!</f>
        <v>#REF!</v>
      </c>
      <c r="I216" t="e">
        <f>SUBSTITUTE(#REF!,"_",".")</f>
        <v>#REF!</v>
      </c>
      <c r="J216" t="e">
        <f>#REF!&amp;" ["&amp;#REF!&amp;"]"</f>
        <v>#REF!</v>
      </c>
      <c r="K216" s="2" t="e">
        <f>IF(#REF!="",#REF!,#REF!)&amp;IF(#REF!="","",CHAR(10)&amp;CHAR(13)&amp;"ConceptualDomain: "&amp;#REF!)&amp;CHAR(10)&amp;CHAR(13)&amp;#REF!</f>
        <v>#REF!</v>
      </c>
      <c r="L216" s="39" t="e">
        <f>IF(LEN(#REF!)=9,"1","0")</f>
        <v>#REF!</v>
      </c>
      <c r="M216" s="60" t="s">
        <v>2</v>
      </c>
    </row>
    <row r="217" spans="4:13" x14ac:dyDescent="0.75">
      <c r="D217" t="e">
        <f>#REF!</f>
        <v>#REF!</v>
      </c>
      <c r="H217" t="e">
        <f>#REF!</f>
        <v>#REF!</v>
      </c>
      <c r="I217" t="e">
        <f>SUBSTITUTE(#REF!,"_",".")</f>
        <v>#REF!</v>
      </c>
      <c r="J217" t="e">
        <f>#REF!&amp;" ["&amp;#REF!&amp;"]"</f>
        <v>#REF!</v>
      </c>
      <c r="K217" s="2" t="e">
        <f>IF(#REF!="",#REF!,#REF!)&amp;IF(#REF!="","",CHAR(10)&amp;CHAR(13)&amp;"ConceptualDomain: "&amp;#REF!)&amp;CHAR(10)&amp;CHAR(13)&amp;#REF!</f>
        <v>#REF!</v>
      </c>
      <c r="L217" s="39" t="e">
        <f>IF(LEN(#REF!)=9,"1","0")</f>
        <v>#REF!</v>
      </c>
      <c r="M217" s="60" t="s">
        <v>2</v>
      </c>
    </row>
    <row r="218" spans="4:13" x14ac:dyDescent="0.75">
      <c r="D218" t="e">
        <f>#REF!</f>
        <v>#REF!</v>
      </c>
      <c r="H218" t="e">
        <f>#REF!</f>
        <v>#REF!</v>
      </c>
      <c r="I218" t="e">
        <f>SUBSTITUTE(#REF!,"_",".")</f>
        <v>#REF!</v>
      </c>
      <c r="J218" t="e">
        <f>#REF!&amp;" ["&amp;#REF!&amp;"]"</f>
        <v>#REF!</v>
      </c>
      <c r="K218" s="2" t="e">
        <f>IF(#REF!="",#REF!,#REF!)&amp;IF(#REF!="","",CHAR(10)&amp;CHAR(13)&amp;"ConceptualDomain: "&amp;#REF!)&amp;CHAR(10)&amp;CHAR(13)&amp;#REF!</f>
        <v>#REF!</v>
      </c>
      <c r="L218" s="39" t="e">
        <f>IF(LEN(#REF!)=9,"1","0")</f>
        <v>#REF!</v>
      </c>
      <c r="M218" s="60" t="s">
        <v>2</v>
      </c>
    </row>
    <row r="219" spans="4:13" x14ac:dyDescent="0.75">
      <c r="D219" t="e">
        <f>#REF!</f>
        <v>#REF!</v>
      </c>
      <c r="H219" s="40" t="e">
        <f>#REF!</f>
        <v>#REF!</v>
      </c>
      <c r="I219" s="40" t="e">
        <f>#REF!</f>
        <v>#REF!</v>
      </c>
      <c r="J219" s="40" t="e">
        <f>#REF!</f>
        <v>#REF!</v>
      </c>
      <c r="K219" s="40" t="e">
        <f>#REF!</f>
        <v>#REF!</v>
      </c>
      <c r="L219" s="41">
        <v>0</v>
      </c>
      <c r="M219" s="40" t="s">
        <v>2</v>
      </c>
    </row>
    <row r="220" spans="4:13" x14ac:dyDescent="0.75">
      <c r="D220" t="e">
        <f>#REF!</f>
        <v>#REF!</v>
      </c>
      <c r="H220" t="e">
        <f>#REF!</f>
        <v>#REF!</v>
      </c>
      <c r="I220" t="e">
        <f>SUBSTITUTE(#REF!,"_",".")</f>
        <v>#REF!</v>
      </c>
      <c r="J220" t="e">
        <f>#REF!&amp;" ["&amp;#REF!&amp;"]"</f>
        <v>#REF!</v>
      </c>
      <c r="K220" s="2" t="e">
        <f>IF(#REF!="",#REF!,#REF!)&amp;IF(#REF!="","",CHAR(10)&amp;CHAR(13)&amp;"ConceptualDomain: "&amp;#REF!)&amp;CHAR(10)&amp;CHAR(13)&amp;#REF!</f>
        <v>#REF!</v>
      </c>
      <c r="L220" s="39" t="e">
        <f>IF(LEN(#REF!)=9,"1","0")</f>
        <v>#REF!</v>
      </c>
      <c r="M220" s="60" t="s">
        <v>2</v>
      </c>
    </row>
    <row r="221" spans="4:13" x14ac:dyDescent="0.75">
      <c r="D221" t="e">
        <f>#REF!</f>
        <v>#REF!</v>
      </c>
      <c r="H221" t="e">
        <f>#REF!</f>
        <v>#REF!</v>
      </c>
      <c r="I221" t="e">
        <f>SUBSTITUTE(#REF!,"_",".")</f>
        <v>#REF!</v>
      </c>
      <c r="J221" t="e">
        <f>#REF!&amp;" ["&amp;#REF!&amp;"]"</f>
        <v>#REF!</v>
      </c>
      <c r="K221" s="2" t="e">
        <f>IF(#REF!="",#REF!,#REF!)&amp;IF(#REF!="","",CHAR(10)&amp;CHAR(13)&amp;"ConceptualDomain: "&amp;#REF!)&amp;CHAR(10)&amp;CHAR(13)&amp;#REF!</f>
        <v>#REF!</v>
      </c>
      <c r="L221" s="39" t="e">
        <f>IF(LEN(#REF!)=9,"1","0")</f>
        <v>#REF!</v>
      </c>
      <c r="M221" s="60" t="s">
        <v>2</v>
      </c>
    </row>
    <row r="222" spans="4:13" x14ac:dyDescent="0.75">
      <c r="D222" t="e">
        <f>#REF!</f>
        <v>#REF!</v>
      </c>
      <c r="H222" t="e">
        <f>#REF!</f>
        <v>#REF!</v>
      </c>
      <c r="I222" t="e">
        <f>SUBSTITUTE(#REF!,"_",".")</f>
        <v>#REF!</v>
      </c>
      <c r="J222" t="e">
        <f>#REF!&amp;" ["&amp;#REF!&amp;"]"</f>
        <v>#REF!</v>
      </c>
      <c r="K222" s="2" t="e">
        <f>IF(#REF!="",#REF!,#REF!)&amp;IF(#REF!="","",CHAR(10)&amp;CHAR(13)&amp;"ConceptualDomain: "&amp;#REF!)&amp;CHAR(10)&amp;CHAR(13)&amp;#REF!</f>
        <v>#REF!</v>
      </c>
      <c r="L222" s="39" t="e">
        <f>IF(LEN(#REF!)=9,"1","0")</f>
        <v>#REF!</v>
      </c>
      <c r="M222" s="60" t="s">
        <v>2</v>
      </c>
    </row>
    <row r="223" spans="4:13" x14ac:dyDescent="0.75">
      <c r="D223" t="e">
        <f>#REF!</f>
        <v>#REF!</v>
      </c>
      <c r="H223" t="e">
        <f>#REF!</f>
        <v>#REF!</v>
      </c>
      <c r="I223" s="62" t="e">
        <f>SUBSTITUTE(#REF!,"_",".")</f>
        <v>#REF!</v>
      </c>
      <c r="J223" t="e">
        <f>#REF!&amp;" ["&amp;#REF!&amp;"]"</f>
        <v>#REF!</v>
      </c>
      <c r="K223" s="2" t="e">
        <f>IF(#REF!="",#REF!,#REF!)&amp;IF(#REF!="","",CHAR(10)&amp;CHAR(13)&amp;"ConceptualDomain: "&amp;#REF!)&amp;CHAR(10)&amp;CHAR(13)&amp;#REF!</f>
        <v>#REF!</v>
      </c>
      <c r="L223" s="39" t="e">
        <f>IF(LEN(#REF!)=9,"1","0")</f>
        <v>#REF!</v>
      </c>
      <c r="M223" s="60" t="s">
        <v>2</v>
      </c>
    </row>
    <row r="224" spans="4:13" x14ac:dyDescent="0.75">
      <c r="D224" t="e">
        <f>#REF!</f>
        <v>#REF!</v>
      </c>
      <c r="H224" t="e">
        <f>#REF!</f>
        <v>#REF!</v>
      </c>
      <c r="I224" t="e">
        <f>SUBSTITUTE(#REF!,"_",".")</f>
        <v>#REF!</v>
      </c>
      <c r="J224" t="e">
        <f>#REF!&amp;" ["&amp;#REF!&amp;"]"</f>
        <v>#REF!</v>
      </c>
      <c r="K224" s="2" t="e">
        <f>IF(#REF!="",#REF!,#REF!)&amp;IF(#REF!="","",CHAR(10)&amp;CHAR(13)&amp;"ConceptualDomain: "&amp;#REF!)&amp;CHAR(10)&amp;CHAR(13)&amp;#REF!</f>
        <v>#REF!</v>
      </c>
      <c r="L224" s="39" t="e">
        <f>IF(LEN(#REF!)=9,"1","0")</f>
        <v>#REF!</v>
      </c>
      <c r="M224" s="60" t="s">
        <v>2</v>
      </c>
    </row>
    <row r="225" spans="4:13" x14ac:dyDescent="0.75">
      <c r="D225" t="e">
        <f>#REF!</f>
        <v>#REF!</v>
      </c>
      <c r="H225" t="e">
        <f>#REF!</f>
        <v>#REF!</v>
      </c>
      <c r="I225" t="e">
        <f>SUBSTITUTE(#REF!,"_",".")</f>
        <v>#REF!</v>
      </c>
      <c r="J225" t="e">
        <f>#REF!&amp;" ["&amp;#REF!&amp;"]"</f>
        <v>#REF!</v>
      </c>
      <c r="K225" s="2" t="e">
        <f>IF(#REF!="",#REF!,#REF!)&amp;IF(#REF!="","",CHAR(10)&amp;CHAR(13)&amp;"ConceptualDomain: "&amp;#REF!)&amp;CHAR(10)&amp;CHAR(13)&amp;#REF!</f>
        <v>#REF!</v>
      </c>
      <c r="L225" s="39" t="e">
        <f>IF(LEN(#REF!)=9,"1","0")</f>
        <v>#REF!</v>
      </c>
      <c r="M225" s="60" t="s">
        <v>2</v>
      </c>
    </row>
    <row r="226" spans="4:13" x14ac:dyDescent="0.75">
      <c r="D226" t="e">
        <f>#REF!</f>
        <v>#REF!</v>
      </c>
      <c r="H226" t="e">
        <f>#REF!</f>
        <v>#REF!</v>
      </c>
      <c r="I226" t="e">
        <f>SUBSTITUTE(#REF!,"_",".")</f>
        <v>#REF!</v>
      </c>
      <c r="J226" t="e">
        <f>#REF!&amp;" ["&amp;#REF!&amp;"]"</f>
        <v>#REF!</v>
      </c>
      <c r="K226" s="2" t="e">
        <f>IF(#REF!="",#REF!,#REF!)&amp;IF(#REF!="","",CHAR(10)&amp;CHAR(13)&amp;"ConceptualDomain: "&amp;#REF!)&amp;CHAR(10)&amp;CHAR(13)&amp;#REF!</f>
        <v>#REF!</v>
      </c>
      <c r="L226" s="39" t="e">
        <f>IF(LEN(#REF!)=9,"1","0")</f>
        <v>#REF!</v>
      </c>
      <c r="M226" s="60" t="s">
        <v>2</v>
      </c>
    </row>
    <row r="227" spans="4:13" x14ac:dyDescent="0.75">
      <c r="D227" t="e">
        <f>#REF!</f>
        <v>#REF!</v>
      </c>
      <c r="H227" t="e">
        <f>#REF!</f>
        <v>#REF!</v>
      </c>
      <c r="I227" t="e">
        <f>SUBSTITUTE(#REF!,"_",".")</f>
        <v>#REF!</v>
      </c>
      <c r="J227" t="e">
        <f>#REF!&amp;" ["&amp;#REF!&amp;"]"</f>
        <v>#REF!</v>
      </c>
      <c r="K227" s="2" t="e">
        <f>IF(#REF!="",#REF!,#REF!)&amp;IF(#REF!="","",CHAR(10)&amp;CHAR(13)&amp;"ConceptualDomain: "&amp;#REF!)&amp;CHAR(10)&amp;CHAR(13)&amp;#REF!</f>
        <v>#REF!</v>
      </c>
      <c r="L227" s="39" t="e">
        <f>IF(LEN(#REF!)=9,"1","0")</f>
        <v>#REF!</v>
      </c>
      <c r="M227" s="60" t="s">
        <v>2</v>
      </c>
    </row>
    <row r="228" spans="4:13" x14ac:dyDescent="0.75">
      <c r="D228" t="e">
        <f>#REF!</f>
        <v>#REF!</v>
      </c>
      <c r="H228" s="40" t="e">
        <f>#REF!</f>
        <v>#REF!</v>
      </c>
      <c r="I228" s="40" t="e">
        <f>#REF!</f>
        <v>#REF!</v>
      </c>
      <c r="J228" s="40" t="e">
        <f>#REF!</f>
        <v>#REF!</v>
      </c>
      <c r="K228" s="40" t="e">
        <f>#REF!</f>
        <v>#REF!</v>
      </c>
      <c r="L228" s="41">
        <v>0</v>
      </c>
      <c r="M228" s="40" t="s">
        <v>2</v>
      </c>
    </row>
    <row r="229" spans="4:13" x14ac:dyDescent="0.75">
      <c r="D229" t="e">
        <f>#REF!</f>
        <v>#REF!</v>
      </c>
      <c r="H229" t="e">
        <f>#REF!</f>
        <v>#REF!</v>
      </c>
      <c r="I229" t="e">
        <f>SUBSTITUTE(#REF!,"_",".")</f>
        <v>#REF!</v>
      </c>
      <c r="J229" t="e">
        <f>#REF!&amp;" ["&amp;#REF!&amp;"]"</f>
        <v>#REF!</v>
      </c>
      <c r="K229" s="2" t="e">
        <f>IF(#REF!="",#REF!,#REF!)&amp;IF(#REF!="","",CHAR(10)&amp;CHAR(13)&amp;"ConceptualDomain: "&amp;#REF!)&amp;CHAR(10)&amp;CHAR(13)&amp;#REF!</f>
        <v>#REF!</v>
      </c>
      <c r="L229" s="39" t="e">
        <f>IF(LEN(#REF!)=9,"1","0")</f>
        <v>#REF!</v>
      </c>
      <c r="M229" s="60" t="s">
        <v>2</v>
      </c>
    </row>
    <row r="230" spans="4:13" x14ac:dyDescent="0.75">
      <c r="D230" t="e">
        <f>#REF!</f>
        <v>#REF!</v>
      </c>
      <c r="I230" t="e">
        <f>SUBSTITUTE(#REF!,"_",".")</f>
        <v>#REF!</v>
      </c>
      <c r="J230" t="e">
        <f>#REF!&amp;" ["&amp;#REF!&amp;"]"</f>
        <v>#REF!</v>
      </c>
      <c r="K230" s="2" t="e">
        <f>IF(#REF!="",#REF!,#REF!)&amp;IF(#REF!="","",CHAR(10)&amp;CHAR(13)&amp;"ConceptualDomain: "&amp;#REF!)&amp;CHAR(10)&amp;CHAR(13)&amp;#REF!</f>
        <v>#REF!</v>
      </c>
      <c r="L230" s="39" t="e">
        <f>IF(LEN(#REF!)=9,"1","0")</f>
        <v>#REF!</v>
      </c>
      <c r="M230" s="60" t="s">
        <v>2</v>
      </c>
    </row>
    <row r="231" spans="4:13" x14ac:dyDescent="0.75">
      <c r="D231" t="e">
        <f>#REF!</f>
        <v>#REF!</v>
      </c>
      <c r="I231" t="e">
        <f>SUBSTITUTE(#REF!,"_",".")</f>
        <v>#REF!</v>
      </c>
      <c r="J231" t="e">
        <f>#REF!&amp;" ["&amp;#REF!&amp;"]"</f>
        <v>#REF!</v>
      </c>
      <c r="K231" s="2" t="e">
        <f>IF(#REF!="",#REF!,#REF!)&amp;IF(#REF!="","",CHAR(10)&amp;CHAR(13)&amp;"ConceptualDomain: "&amp;#REF!)&amp;CHAR(10)&amp;CHAR(13)&amp;#REF!</f>
        <v>#REF!</v>
      </c>
      <c r="L231" s="39" t="e">
        <f>IF(LEN(#REF!)=9,"1","0")</f>
        <v>#REF!</v>
      </c>
      <c r="M231" s="60" t="s">
        <v>2</v>
      </c>
    </row>
    <row r="232" spans="4:13" x14ac:dyDescent="0.75">
      <c r="D232" t="e">
        <f>#REF!</f>
        <v>#REF!</v>
      </c>
      <c r="I232" t="e">
        <f>SUBSTITUTE(#REF!,"_",".")</f>
        <v>#REF!</v>
      </c>
      <c r="J232" t="e">
        <f>#REF!&amp;" ["&amp;#REF!&amp;"]"</f>
        <v>#REF!</v>
      </c>
      <c r="K232" s="2" t="e">
        <f>IF(#REF!="",#REF!,#REF!)&amp;IF(#REF!="","",CHAR(10)&amp;CHAR(13)&amp;"ConceptualDomain: "&amp;#REF!)&amp;CHAR(10)&amp;CHAR(13)&amp;#REF!</f>
        <v>#REF!</v>
      </c>
      <c r="L232" s="39" t="e">
        <f>IF(LEN(#REF!)=9,"1","0")</f>
        <v>#REF!</v>
      </c>
      <c r="M232" s="60" t="s">
        <v>2</v>
      </c>
    </row>
    <row r="233" spans="4:13" x14ac:dyDescent="0.75">
      <c r="I233" t="e">
        <f>SUBSTITUTE(#REF!,"_",".")</f>
        <v>#REF!</v>
      </c>
      <c r="J233" t="e">
        <f>#REF!&amp;" ["&amp;#REF!&amp;"]"</f>
        <v>#REF!</v>
      </c>
      <c r="K233" s="2" t="e">
        <f>IF(#REF!="",#REF!,#REF!)&amp;IF(#REF!="","",CHAR(10)&amp;CHAR(13)&amp;"ConceptualDomain: "&amp;#REF!)&amp;CHAR(10)&amp;CHAR(13)&amp;#REF!</f>
        <v>#REF!</v>
      </c>
      <c r="L233" s="39" t="e">
        <f>IF(LEN(#REF!)=9,"1","0")</f>
        <v>#REF!</v>
      </c>
      <c r="M233" s="60" t="s">
        <v>2</v>
      </c>
    </row>
    <row r="234" spans="4:13" x14ac:dyDescent="0.75">
      <c r="I234" t="e">
        <f>SUBSTITUTE(#REF!,"_",".")</f>
        <v>#REF!</v>
      </c>
      <c r="J234" t="e">
        <f>#REF!&amp;" ["&amp;#REF!&amp;"]"</f>
        <v>#REF!</v>
      </c>
      <c r="K234" s="2" t="e">
        <f>IF(#REF!="",#REF!,#REF!)&amp;IF(#REF!="","",CHAR(10)&amp;CHAR(13)&amp;"ConceptualDomain: "&amp;#REF!)&amp;CHAR(10)&amp;CHAR(13)&amp;#REF!</f>
        <v>#REF!</v>
      </c>
      <c r="L234" s="39" t="e">
        <f>IF(LEN(#REF!)=9,"1","0")</f>
        <v>#REF!</v>
      </c>
      <c r="M234" s="60" t="s">
        <v>2</v>
      </c>
    </row>
    <row r="235" spans="4:13" x14ac:dyDescent="0.75">
      <c r="H235" s="40" t="e">
        <f>#REF!</f>
        <v>#REF!</v>
      </c>
      <c r="I235" s="40" t="e">
        <f>#REF!</f>
        <v>#REF!</v>
      </c>
      <c r="J235" s="40" t="e">
        <f>#REF!</f>
        <v>#REF!</v>
      </c>
      <c r="K235" s="40" t="e">
        <f>#REF!</f>
        <v>#REF!</v>
      </c>
      <c r="L235" s="41">
        <v>0</v>
      </c>
      <c r="M235" s="40" t="s">
        <v>2</v>
      </c>
    </row>
    <row r="236" spans="4:13" x14ac:dyDescent="0.75">
      <c r="H236" t="e">
        <f>#REF!</f>
        <v>#REF!</v>
      </c>
      <c r="I236" t="e">
        <f>SUBSTITUTE(#REF!,"_",".")</f>
        <v>#REF!</v>
      </c>
      <c r="J236" t="e">
        <f>#REF!&amp;" ["&amp;#REF!&amp;"]"</f>
        <v>#REF!</v>
      </c>
      <c r="K236" s="2" t="e">
        <f>IF(#REF!="",#REF!,#REF!)&amp;IF(#REF!="","",CHAR(10)&amp;CHAR(13)&amp;"ConceptualDomain: "&amp;#REF!)&amp;CHAR(10)&amp;CHAR(13)&amp;#REF!</f>
        <v>#REF!</v>
      </c>
      <c r="L236" s="39" t="e">
        <f>IF(LEN(#REF!)=9,"1","0")</f>
        <v>#REF!</v>
      </c>
      <c r="M236" s="60" t="s">
        <v>2</v>
      </c>
    </row>
    <row r="237" spans="4:13" x14ac:dyDescent="0.75">
      <c r="H237" t="e">
        <f>#REF!</f>
        <v>#REF!</v>
      </c>
      <c r="I237" t="e">
        <f>SUBSTITUTE(#REF!,"_",".")</f>
        <v>#REF!</v>
      </c>
      <c r="J237" t="e">
        <f>#REF!&amp;" ["&amp;#REF!&amp;"]"</f>
        <v>#REF!</v>
      </c>
      <c r="K237" s="2" t="e">
        <f>IF(#REF!="",#REF!,#REF!)&amp;IF(#REF!="","",CHAR(10)&amp;CHAR(13)&amp;"ConceptualDomain: "&amp;#REF!)&amp;CHAR(10)&amp;CHAR(13)&amp;#REF!</f>
        <v>#REF!</v>
      </c>
      <c r="L237" s="39" t="e">
        <f>IF(LEN(#REF!)=9,"1","0")</f>
        <v>#REF!</v>
      </c>
      <c r="M237" s="60" t="s">
        <v>2</v>
      </c>
    </row>
    <row r="238" spans="4:13" x14ac:dyDescent="0.75">
      <c r="H238" t="e">
        <f>#REF!</f>
        <v>#REF!</v>
      </c>
      <c r="I238" t="e">
        <f>SUBSTITUTE(#REF!,"_",".")</f>
        <v>#REF!</v>
      </c>
      <c r="J238" t="e">
        <f>#REF!&amp;" ["&amp;#REF!&amp;"]"</f>
        <v>#REF!</v>
      </c>
      <c r="K238" s="2" t="e">
        <f>IF(#REF!="",#REF!,#REF!)&amp;IF(#REF!="","",CHAR(10)&amp;CHAR(13)&amp;"ConceptualDomain: "&amp;#REF!)&amp;CHAR(10)&amp;CHAR(13)&amp;#REF!</f>
        <v>#REF!</v>
      </c>
      <c r="L238" s="39" t="e">
        <f>IF(LEN(#REF!)=9,"1","0")</f>
        <v>#REF!</v>
      </c>
      <c r="M238" s="60" t="s">
        <v>2</v>
      </c>
    </row>
    <row r="239" spans="4:13" x14ac:dyDescent="0.75">
      <c r="H239" t="e">
        <f>#REF!</f>
        <v>#REF!</v>
      </c>
      <c r="I239" t="e">
        <f>SUBSTITUTE(#REF!,"_",".")</f>
        <v>#REF!</v>
      </c>
      <c r="J239" t="e">
        <f>#REF!&amp;" ["&amp;#REF!&amp;"]"</f>
        <v>#REF!</v>
      </c>
      <c r="K239" s="2" t="e">
        <f>IF(#REF!="",#REF!,#REF!)&amp;IF(#REF!="","",CHAR(10)&amp;CHAR(13)&amp;"ConceptualDomain: "&amp;#REF!)&amp;CHAR(10)&amp;CHAR(13)&amp;#REF!</f>
        <v>#REF!</v>
      </c>
      <c r="L239" s="39" t="e">
        <f>IF(LEN(#REF!)=9,"1","0")</f>
        <v>#REF!</v>
      </c>
      <c r="M239" s="60" t="s">
        <v>2</v>
      </c>
    </row>
    <row r="240" spans="4:13" x14ac:dyDescent="0.75">
      <c r="H240" t="e">
        <f>#REF!</f>
        <v>#REF!</v>
      </c>
      <c r="I240" t="e">
        <f>SUBSTITUTE(#REF!,"_",".")</f>
        <v>#REF!</v>
      </c>
      <c r="J240" t="e">
        <f>#REF!&amp;" ["&amp;#REF!&amp;"]"</f>
        <v>#REF!</v>
      </c>
      <c r="K240" s="2" t="e">
        <f>IF(#REF!="",#REF!,#REF!)&amp;IF(#REF!="","",CHAR(10)&amp;CHAR(13)&amp;"ConceptualDomain: "&amp;#REF!)&amp;CHAR(10)&amp;CHAR(13)&amp;#REF!</f>
        <v>#REF!</v>
      </c>
      <c r="L240" s="39" t="e">
        <f>IF(LEN(#REF!)=9,"1","0")</f>
        <v>#REF!</v>
      </c>
      <c r="M240" s="60" t="s">
        <v>2</v>
      </c>
    </row>
    <row r="241" spans="8:13" x14ac:dyDescent="0.75">
      <c r="H241" t="e">
        <f>#REF!</f>
        <v>#REF!</v>
      </c>
      <c r="I241" t="e">
        <f>SUBSTITUTE(#REF!,"_",".")</f>
        <v>#REF!</v>
      </c>
      <c r="J241" t="e">
        <f>#REF!&amp;" ["&amp;#REF!&amp;"]"</f>
        <v>#REF!</v>
      </c>
      <c r="K241" s="2" t="e">
        <f>IF(#REF!="",#REF!,#REF!)&amp;IF(#REF!="","",CHAR(10)&amp;CHAR(13)&amp;"ConceptualDomain: "&amp;#REF!)&amp;CHAR(10)&amp;CHAR(13)&amp;#REF!</f>
        <v>#REF!</v>
      </c>
      <c r="L241" s="39" t="e">
        <f>IF(LEN(#REF!)=9,"1","0")</f>
        <v>#REF!</v>
      </c>
      <c r="M241" s="60" t="s">
        <v>2</v>
      </c>
    </row>
    <row r="242" spans="8:13" x14ac:dyDescent="0.75">
      <c r="H242" t="e">
        <f>#REF!</f>
        <v>#REF!</v>
      </c>
      <c r="I242" t="e">
        <f>SUBSTITUTE(#REF!,"_",".")</f>
        <v>#REF!</v>
      </c>
      <c r="J242" t="e">
        <f>#REF!&amp;" ["&amp;#REF!&amp;"]"</f>
        <v>#REF!</v>
      </c>
      <c r="K242" s="2" t="e">
        <f>IF(#REF!="",#REF!,#REF!)&amp;IF(#REF!="","",CHAR(10)&amp;CHAR(13)&amp;"ConceptualDomain: "&amp;#REF!)&amp;CHAR(10)&amp;CHAR(13)&amp;#REF!</f>
        <v>#REF!</v>
      </c>
      <c r="L242" s="39" t="e">
        <f>IF(LEN(#REF!)=9,"1","0")</f>
        <v>#REF!</v>
      </c>
      <c r="M242" s="60" t="s">
        <v>2</v>
      </c>
    </row>
    <row r="243" spans="8:13" x14ac:dyDescent="0.75">
      <c r="H243" t="e">
        <f>#REF!</f>
        <v>#REF!</v>
      </c>
      <c r="I243" t="e">
        <f>SUBSTITUTE(#REF!,"_",".")</f>
        <v>#REF!</v>
      </c>
      <c r="J243" t="e">
        <f>#REF!&amp;" ["&amp;#REF!&amp;"]"</f>
        <v>#REF!</v>
      </c>
      <c r="K243" s="2" t="e">
        <f>IF(#REF!="",#REF!,#REF!)&amp;IF(#REF!="","",CHAR(10)&amp;CHAR(13)&amp;"ConceptualDomain: "&amp;#REF!)&amp;CHAR(10)&amp;CHAR(13)&amp;#REF!</f>
        <v>#REF!</v>
      </c>
      <c r="L243" s="39" t="e">
        <f>IF(LEN(#REF!)=9,"1","0")</f>
        <v>#REF!</v>
      </c>
      <c r="M243" s="60" t="s">
        <v>2</v>
      </c>
    </row>
    <row r="244" spans="8:13" x14ac:dyDescent="0.75">
      <c r="H244" t="e">
        <f>#REF!</f>
        <v>#REF!</v>
      </c>
      <c r="I244" t="e">
        <f>SUBSTITUTE(#REF!,"_",".")</f>
        <v>#REF!</v>
      </c>
      <c r="J244" t="e">
        <f>#REF!&amp;" ["&amp;#REF!&amp;"]"</f>
        <v>#REF!</v>
      </c>
      <c r="K244" s="2" t="e">
        <f>IF(#REF!="",#REF!,#REF!)&amp;IF(#REF!="","",CHAR(10)&amp;CHAR(13)&amp;"ConceptualDomain: "&amp;#REF!)&amp;CHAR(10)&amp;CHAR(13)&amp;#REF!</f>
        <v>#REF!</v>
      </c>
      <c r="L244" s="39" t="e">
        <f>IF(LEN(#REF!)=9,"1","0")</f>
        <v>#REF!</v>
      </c>
      <c r="M244" s="60" t="s">
        <v>2</v>
      </c>
    </row>
    <row r="245" spans="8:13" x14ac:dyDescent="0.75">
      <c r="I245" t="e">
        <f>SUBSTITUTE(#REF!,"_",".")</f>
        <v>#REF!</v>
      </c>
      <c r="J245" t="e">
        <f>#REF!&amp;" ["&amp;#REF!&amp;"]"</f>
        <v>#REF!</v>
      </c>
      <c r="K245" s="2" t="e">
        <f>IF(#REF!="",#REF!,#REF!)&amp;IF(#REF!="","",CHAR(10)&amp;CHAR(13)&amp;"ConceptualDomain: "&amp;#REF!)&amp;CHAR(10)&amp;CHAR(13)&amp;#REF!</f>
        <v>#REF!</v>
      </c>
      <c r="L245" s="39" t="e">
        <f>IF(LEN(#REF!)=9,"1","0")</f>
        <v>#REF!</v>
      </c>
      <c r="M245" s="60" t="s">
        <v>2</v>
      </c>
    </row>
    <row r="246" spans="8:13" x14ac:dyDescent="0.75">
      <c r="I246" t="e">
        <f>SUBSTITUTE(#REF!,"_",".")</f>
        <v>#REF!</v>
      </c>
      <c r="J246" t="e">
        <f>#REF!&amp;" ["&amp;#REF!&amp;"]"</f>
        <v>#REF!</v>
      </c>
      <c r="K246" s="2" t="e">
        <f>IF(#REF!="",#REF!,#REF!)&amp;IF(#REF!="","",CHAR(10)&amp;CHAR(13)&amp;"ConceptualDomain: "&amp;#REF!)&amp;CHAR(10)&amp;CHAR(13)&amp;#REF!</f>
        <v>#REF!</v>
      </c>
      <c r="L246" s="39" t="e">
        <f>IF(LEN(#REF!)=9,"1","0")</f>
        <v>#REF!</v>
      </c>
      <c r="M246" s="60" t="s">
        <v>2</v>
      </c>
    </row>
    <row r="247" spans="8:13" x14ac:dyDescent="0.75">
      <c r="I247" t="e">
        <f>SUBSTITUTE(#REF!,"_",".")</f>
        <v>#REF!</v>
      </c>
      <c r="J247" t="e">
        <f>#REF!&amp;" ["&amp;#REF!&amp;"]"</f>
        <v>#REF!</v>
      </c>
      <c r="K247" s="2" t="e">
        <f>IF(#REF!="",#REF!,#REF!)&amp;IF(#REF!="","",CHAR(10)&amp;CHAR(13)&amp;"ConceptualDomain: "&amp;#REF!)&amp;CHAR(10)&amp;CHAR(13)&amp;#REF!</f>
        <v>#REF!</v>
      </c>
      <c r="L247" s="39" t="e">
        <f>IF(LEN(#REF!)=9,"1","0")</f>
        <v>#REF!</v>
      </c>
      <c r="M247" s="60" t="s">
        <v>2</v>
      </c>
    </row>
    <row r="248" spans="8:13" x14ac:dyDescent="0.75">
      <c r="I248" t="e">
        <f>SUBSTITUTE(#REF!,"_",".")</f>
        <v>#REF!</v>
      </c>
      <c r="J248" t="e">
        <f>#REF!&amp;" ["&amp;#REF!&amp;"]"</f>
        <v>#REF!</v>
      </c>
      <c r="K248" s="2" t="e">
        <f>IF(#REF!="",#REF!,#REF!)&amp;IF(#REF!="","",CHAR(10)&amp;CHAR(13)&amp;"ConceptualDomain: "&amp;#REF!)&amp;CHAR(10)&amp;CHAR(13)&amp;#REF!</f>
        <v>#REF!</v>
      </c>
      <c r="L248" s="39" t="e">
        <f>IF(LEN(#REF!)=9,"1","0")</f>
        <v>#REF!</v>
      </c>
      <c r="M248" s="60" t="s">
        <v>2</v>
      </c>
    </row>
    <row r="249" spans="8:13" x14ac:dyDescent="0.75">
      <c r="H249" s="40" t="e">
        <f>#REF!</f>
        <v>#REF!</v>
      </c>
      <c r="I249" s="40" t="e">
        <f>#REF!</f>
        <v>#REF!</v>
      </c>
      <c r="J249" s="40" t="e">
        <f>#REF!</f>
        <v>#REF!</v>
      </c>
      <c r="K249" s="40" t="e">
        <f>#REF!</f>
        <v>#REF!</v>
      </c>
      <c r="L249" s="41">
        <v>0</v>
      </c>
      <c r="M249" s="40" t="s">
        <v>2</v>
      </c>
    </row>
    <row r="250" spans="8:13" x14ac:dyDescent="0.75">
      <c r="H250" t="e">
        <f>#REF!</f>
        <v>#REF!</v>
      </c>
      <c r="I250" t="e">
        <f>SUBSTITUTE(#REF!,"_",".")</f>
        <v>#REF!</v>
      </c>
      <c r="J250" t="e">
        <f>#REF!&amp;" ["&amp;#REF!&amp;"]"</f>
        <v>#REF!</v>
      </c>
      <c r="K250" s="2" t="e">
        <f>IF(#REF!="",#REF!,#REF!)&amp;IF(#REF!="","",CHAR(10)&amp;CHAR(13)&amp;"ConceptualDomain: "&amp;#REF!)&amp;CHAR(10)&amp;CHAR(13)&amp;#REF!</f>
        <v>#REF!</v>
      </c>
      <c r="L250" s="39" t="e">
        <f>IF(LEN(#REF!)=9,"1","0")</f>
        <v>#REF!</v>
      </c>
      <c r="M250" s="60" t="s">
        <v>2</v>
      </c>
    </row>
    <row r="251" spans="8:13" x14ac:dyDescent="0.75">
      <c r="H251" t="e">
        <f>#REF!</f>
        <v>#REF!</v>
      </c>
      <c r="I251" t="e">
        <f>SUBSTITUTE(#REF!,"_",".")</f>
        <v>#REF!</v>
      </c>
      <c r="J251" t="e">
        <f>#REF!&amp;" ["&amp;#REF!&amp;"]"</f>
        <v>#REF!</v>
      </c>
      <c r="K251" s="2" t="e">
        <f>IF(#REF!="",#REF!,#REF!)&amp;IF(#REF!="","",CHAR(10)&amp;CHAR(13)&amp;"ConceptualDomain: "&amp;#REF!)&amp;CHAR(10)&amp;CHAR(13)&amp;#REF!</f>
        <v>#REF!</v>
      </c>
      <c r="L251" s="39" t="e">
        <f>IF(LEN(#REF!)=9,"1","0")</f>
        <v>#REF!</v>
      </c>
      <c r="M251" s="60" t="s">
        <v>2</v>
      </c>
    </row>
    <row r="252" spans="8:13" x14ac:dyDescent="0.75">
      <c r="H252" t="e">
        <f>#REF!</f>
        <v>#REF!</v>
      </c>
      <c r="I252" t="e">
        <f>SUBSTITUTE(#REF!,"_",".")</f>
        <v>#REF!</v>
      </c>
      <c r="J252" t="e">
        <f>#REF!&amp;" ["&amp;#REF!&amp;"]"</f>
        <v>#REF!</v>
      </c>
      <c r="K252" s="2" t="e">
        <f>IF(#REF!="",#REF!,#REF!)&amp;IF(#REF!="","",CHAR(10)&amp;CHAR(13)&amp;"ConceptualDomain: "&amp;#REF!)&amp;CHAR(10)&amp;CHAR(13)&amp;#REF!</f>
        <v>#REF!</v>
      </c>
      <c r="L252" s="39" t="e">
        <f>IF(LEN(#REF!)=9,"1","0")</f>
        <v>#REF!</v>
      </c>
      <c r="M252" s="60" t="s">
        <v>2</v>
      </c>
    </row>
    <row r="253" spans="8:13" x14ac:dyDescent="0.75">
      <c r="H253" t="e">
        <f>#REF!</f>
        <v>#REF!</v>
      </c>
      <c r="I253" t="e">
        <f>SUBSTITUTE(#REF!,"_",".")</f>
        <v>#REF!</v>
      </c>
      <c r="J253" t="e">
        <f>#REF!&amp;" ["&amp;#REF!&amp;"]"</f>
        <v>#REF!</v>
      </c>
      <c r="K253" s="2" t="e">
        <f>IF(#REF!="",#REF!,#REF!)&amp;IF(#REF!="","",CHAR(10)&amp;CHAR(13)&amp;"ConceptualDomain: "&amp;#REF!)&amp;CHAR(10)&amp;CHAR(13)&amp;#REF!</f>
        <v>#REF!</v>
      </c>
      <c r="L253" s="39" t="e">
        <f>IF(LEN(#REF!)=9,"1","0")</f>
        <v>#REF!</v>
      </c>
      <c r="M253" s="60" t="s">
        <v>2</v>
      </c>
    </row>
    <row r="254" spans="8:13" x14ac:dyDescent="0.75">
      <c r="H254" t="e">
        <f>#REF!</f>
        <v>#REF!</v>
      </c>
      <c r="I254" t="e">
        <f>SUBSTITUTE(#REF!,"_",".")</f>
        <v>#REF!</v>
      </c>
      <c r="J254" t="e">
        <f>#REF!&amp;" ["&amp;#REF!&amp;"]"</f>
        <v>#REF!</v>
      </c>
      <c r="K254" s="2" t="e">
        <f>IF(#REF!="",#REF!,#REF!)&amp;IF(#REF!="","",CHAR(10)&amp;CHAR(13)&amp;"ConceptualDomain: "&amp;#REF!)&amp;CHAR(10)&amp;CHAR(13)&amp;#REF!</f>
        <v>#REF!</v>
      </c>
      <c r="L254" s="39" t="e">
        <f>IF(LEN(#REF!)=9,"1","0")</f>
        <v>#REF!</v>
      </c>
      <c r="M254" s="60" t="s">
        <v>2</v>
      </c>
    </row>
    <row r="255" spans="8:13" x14ac:dyDescent="0.75">
      <c r="H255" t="e">
        <f>#REF!</f>
        <v>#REF!</v>
      </c>
      <c r="I255" t="e">
        <f>SUBSTITUTE(#REF!,"_",".")</f>
        <v>#REF!</v>
      </c>
      <c r="J255" t="e">
        <f>#REF!&amp;" ["&amp;#REF!&amp;"]"</f>
        <v>#REF!</v>
      </c>
      <c r="K255" s="2" t="e">
        <f>IF(#REF!="",#REF!,#REF!)&amp;IF(#REF!="","",CHAR(10)&amp;CHAR(13)&amp;"ConceptualDomain: "&amp;#REF!)&amp;CHAR(10)&amp;CHAR(13)&amp;#REF!</f>
        <v>#REF!</v>
      </c>
      <c r="L255" s="39" t="e">
        <f>IF(LEN(#REF!)=9,"1","0")</f>
        <v>#REF!</v>
      </c>
      <c r="M255" s="60" t="s">
        <v>2</v>
      </c>
    </row>
    <row r="256" spans="8:13" x14ac:dyDescent="0.75">
      <c r="H256" t="e">
        <f>#REF!</f>
        <v>#REF!</v>
      </c>
      <c r="I256" t="e">
        <f>SUBSTITUTE(#REF!,"_",".")</f>
        <v>#REF!</v>
      </c>
      <c r="J256" t="e">
        <f>#REF!&amp;" ["&amp;#REF!&amp;"]"</f>
        <v>#REF!</v>
      </c>
      <c r="K256" s="2" t="e">
        <f>IF(#REF!="",#REF!,#REF!)&amp;IF(#REF!="","",CHAR(10)&amp;CHAR(13)&amp;"ConceptualDomain: "&amp;#REF!)&amp;CHAR(10)&amp;CHAR(13)&amp;#REF!</f>
        <v>#REF!</v>
      </c>
      <c r="L256" s="39" t="e">
        <f>IF(LEN(#REF!)=9,"1","0")</f>
        <v>#REF!</v>
      </c>
      <c r="M256" s="60" t="s">
        <v>2</v>
      </c>
    </row>
    <row r="257" spans="8:13" x14ac:dyDescent="0.75">
      <c r="H257" s="40" t="e">
        <f>#REF!</f>
        <v>#REF!</v>
      </c>
      <c r="I257" s="40" t="e">
        <f>#REF!</f>
        <v>#REF!</v>
      </c>
      <c r="J257" s="40" t="e">
        <f>#REF!</f>
        <v>#REF!</v>
      </c>
      <c r="K257" s="40" t="e">
        <f>#REF!</f>
        <v>#REF!</v>
      </c>
      <c r="L257" s="41">
        <v>0</v>
      </c>
      <c r="M257" s="40" t="s">
        <v>2</v>
      </c>
    </row>
    <row r="258" spans="8:13" x14ac:dyDescent="0.75">
      <c r="H258" t="e">
        <f>#REF!</f>
        <v>#REF!</v>
      </c>
      <c r="I258" t="e">
        <f>SUBSTITUTE(#REF!,"_",".")</f>
        <v>#REF!</v>
      </c>
      <c r="J258" t="e">
        <f>#REF!&amp;" ["&amp;#REF!&amp;"]"</f>
        <v>#REF!</v>
      </c>
      <c r="K258" s="2" t="e">
        <f>IF(#REF!="",#REF!,#REF!)&amp;IF(#REF!="","",CHAR(10)&amp;CHAR(13)&amp;"ConceptualDomain: "&amp;#REF!)&amp;CHAR(10)&amp;CHAR(13)&amp;#REF!</f>
        <v>#REF!</v>
      </c>
      <c r="L258" s="39" t="e">
        <f>IF(LEN(#REF!)=9,"1","0")</f>
        <v>#REF!</v>
      </c>
      <c r="M258" s="60" t="s">
        <v>2</v>
      </c>
    </row>
    <row r="259" spans="8:13" x14ac:dyDescent="0.75">
      <c r="I259" t="e">
        <f>SUBSTITUTE(#REF!,"_",".")</f>
        <v>#REF!</v>
      </c>
      <c r="J259" t="e">
        <f>#REF!&amp;" ["&amp;#REF!&amp;"]"</f>
        <v>#REF!</v>
      </c>
      <c r="K259" s="2" t="e">
        <f>IF(#REF!="",#REF!,#REF!)&amp;IF(#REF!="","",CHAR(10)&amp;CHAR(13)&amp;"ConceptualDomain: "&amp;#REF!)&amp;CHAR(10)&amp;CHAR(13)&amp;#REF!</f>
        <v>#REF!</v>
      </c>
      <c r="L259" s="39" t="e">
        <f>IF(LEN(#REF!)=9,"1","0")</f>
        <v>#REF!</v>
      </c>
      <c r="M259" s="60" t="s">
        <v>2</v>
      </c>
    </row>
    <row r="260" spans="8:13" x14ac:dyDescent="0.75">
      <c r="I260" t="e">
        <f>SUBSTITUTE(#REF!,"_",".")</f>
        <v>#REF!</v>
      </c>
      <c r="J260" t="e">
        <f>#REF!&amp;" ["&amp;#REF!&amp;"]"</f>
        <v>#REF!</v>
      </c>
      <c r="K260" s="2" t="e">
        <f>IF(#REF!="",#REF!,#REF!)&amp;IF(#REF!="","",CHAR(10)&amp;CHAR(13)&amp;"ConceptualDomain: "&amp;#REF!)&amp;CHAR(10)&amp;CHAR(13)&amp;#REF!</f>
        <v>#REF!</v>
      </c>
      <c r="L260" s="39" t="e">
        <f>IF(LEN(#REF!)=9,"1","0")</f>
        <v>#REF!</v>
      </c>
      <c r="M260" s="60" t="s">
        <v>2</v>
      </c>
    </row>
  </sheetData>
  <autoFilter ref="D2:U232" xr:uid="{65625CB6-A4D1-445C-8FA0-02E90328069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4" t="s">
        <v>21</v>
      </c>
    </row>
    <row r="2" spans="1:9" x14ac:dyDescent="0.75">
      <c r="I2" s="25" t="s">
        <v>20</v>
      </c>
    </row>
    <row r="3" spans="1:9" ht="15.5" thickBot="1" x14ac:dyDescent="0.9">
      <c r="I3" s="25" t="str">
        <f>I1</f>
        <v>// -------------------------------------------------------------------------------</v>
      </c>
    </row>
    <row r="4" spans="1:9" x14ac:dyDescent="0.75">
      <c r="A4" s="5" t="s">
        <v>12</v>
      </c>
      <c r="B4" s="31" t="s">
        <v>88</v>
      </c>
      <c r="I4" s="17" t="str">
        <f>CONCATENATE("Logical: ",B4)</f>
        <v>Logical: Osiris</v>
      </c>
    </row>
    <row r="5" spans="1:9" x14ac:dyDescent="0.75">
      <c r="A5" s="15" t="s">
        <v>17</v>
      </c>
      <c r="B5" s="32" t="s">
        <v>88</v>
      </c>
      <c r="I5" s="17" t="str">
        <f>CONCATENATE("Id: ",B5)</f>
        <v>Id: Osiris</v>
      </c>
    </row>
    <row r="6" spans="1:9" x14ac:dyDescent="0.75">
      <c r="A6" s="15" t="s">
        <v>11</v>
      </c>
      <c r="B6" s="33" t="s">
        <v>89</v>
      </c>
      <c r="I6" s="18" t="str">
        <f>CONCATENATE("Title: ##34#",B6,"##34#")</f>
        <v>Title: ##34#Osiris Model##34#</v>
      </c>
    </row>
    <row r="7" spans="1:9" ht="15.5" thickBot="1" x14ac:dyDescent="0.9">
      <c r="A7" s="27" t="s">
        <v>3</v>
      </c>
      <c r="B7" s="37" t="s">
        <v>90</v>
      </c>
      <c r="C7" s="9" t="s">
        <v>4</v>
      </c>
      <c r="D7" s="1" t="s">
        <v>5</v>
      </c>
      <c r="E7" s="3" t="s">
        <v>6</v>
      </c>
      <c r="F7" s="3" t="s">
        <v>7</v>
      </c>
      <c r="G7" s="3" t="s">
        <v>8</v>
      </c>
      <c r="I7" s="18" t="str">
        <f>CONCATENATE("Description: "," ##334#",B7,"##334#",)</f>
        <v>Description:  ##334#Osiris Data Element Concept##334#</v>
      </c>
    </row>
    <row r="8" spans="1:9" x14ac:dyDescent="0.75">
      <c r="A8" s="11">
        <v>1</v>
      </c>
      <c r="B8" s="11" t="e">
        <f>ConvertOsiris!I2</f>
        <v>#REF!</v>
      </c>
      <c r="C8" s="12" t="e">
        <f>ConvertOsiris!J2</f>
        <v>#REF!</v>
      </c>
      <c r="D8" s="12" t="e">
        <f>ConvertOsiris!K2</f>
        <v>#REF!</v>
      </c>
      <c r="E8" s="12" t="str">
        <f>ConvertOsiris!L2</f>
        <v>1</v>
      </c>
      <c r="F8" s="11" t="s">
        <v>9</v>
      </c>
      <c r="G8" s="11" t="str">
        <f>ConvertOsiris!M2</f>
        <v>BackboneElement</v>
      </c>
      <c r="H8" s="26"/>
      <c r="I8" s="12" t="e">
        <f t="shared" ref="I8:I71" si="0">IF(B8=0,"//---- END",CONCATENATE("* ",B8, " ",E8,"..",F8," ",G8," ##34#",C8,"##34# ##334#",D8,"##334#"))</f>
        <v>#REF!</v>
      </c>
    </row>
    <row r="9" spans="1:9" ht="44.25" x14ac:dyDescent="0.75">
      <c r="A9" s="11">
        <v>2</v>
      </c>
      <c r="B9" s="11" t="e">
        <f>ConvertOsiris!I3</f>
        <v>#REF!</v>
      </c>
      <c r="C9" s="12" t="e">
        <f>ConvertOsiris!J3</f>
        <v>#REF!</v>
      </c>
      <c r="D9" s="12" t="e">
        <f>ConvertOsiris!K3</f>
        <v>#REF!</v>
      </c>
      <c r="E9" s="12" t="e">
        <f>ConvertOsiris!L3</f>
        <v>#REF!</v>
      </c>
      <c r="F9" s="11" t="s">
        <v>9</v>
      </c>
      <c r="G9" s="11" t="e">
        <f>ConvertOsiris!M3</f>
        <v>#REF!</v>
      </c>
      <c r="H9" s="26"/>
      <c r="I9" s="12" t="e">
        <f t="shared" si="0"/>
        <v>#REF!</v>
      </c>
    </row>
    <row r="10" spans="1:9" ht="59" x14ac:dyDescent="0.75">
      <c r="A10" s="11">
        <v>3</v>
      </c>
      <c r="B10" s="11" t="e">
        <f>ConvertOsiris!I4</f>
        <v>#REF!</v>
      </c>
      <c r="C10" s="12" t="e">
        <f>ConvertOsiris!J4</f>
        <v>#REF!</v>
      </c>
      <c r="D10" s="12" t="e">
        <f>ConvertOsiris!K4</f>
        <v>#REF!</v>
      </c>
      <c r="E10" s="12" t="e">
        <f>ConvertOsiris!L4</f>
        <v>#REF!</v>
      </c>
      <c r="F10" s="11" t="s">
        <v>9</v>
      </c>
      <c r="G10" s="11" t="e">
        <f>ConvertOsiris!M4</f>
        <v>#REF!</v>
      </c>
      <c r="H10" s="26"/>
      <c r="I10" s="12" t="e">
        <f t="shared" si="0"/>
        <v>#REF!</v>
      </c>
    </row>
    <row r="11" spans="1:9" ht="59" x14ac:dyDescent="0.75">
      <c r="A11" s="11">
        <v>4</v>
      </c>
      <c r="B11" s="11" t="e">
        <f>ConvertOsiris!I5</f>
        <v>#REF!</v>
      </c>
      <c r="C11" s="12" t="e">
        <f>ConvertOsiris!J5</f>
        <v>#REF!</v>
      </c>
      <c r="D11" s="12" t="e">
        <f>ConvertOsiris!K5</f>
        <v>#REF!</v>
      </c>
      <c r="E11" s="12" t="e">
        <f>ConvertOsiris!L5</f>
        <v>#REF!</v>
      </c>
      <c r="F11" s="11" t="s">
        <v>9</v>
      </c>
      <c r="G11" s="11" t="e">
        <f>ConvertOsiris!M5</f>
        <v>#REF!</v>
      </c>
      <c r="H11" s="26"/>
      <c r="I11" s="12" t="e">
        <f t="shared" si="0"/>
        <v>#REF!</v>
      </c>
    </row>
    <row r="12" spans="1:9" ht="44.25" x14ac:dyDescent="0.75">
      <c r="A12" s="11">
        <v>5</v>
      </c>
      <c r="B12" s="11" t="e">
        <f>ConvertOsiris!I6</f>
        <v>#REF!</v>
      </c>
      <c r="C12" s="12" t="e">
        <f>ConvertOsiris!J6</f>
        <v>#REF!</v>
      </c>
      <c r="D12" s="12" t="e">
        <f>ConvertOsiris!K6</f>
        <v>#REF!</v>
      </c>
      <c r="E12" s="12" t="e">
        <f>ConvertOsiris!L6</f>
        <v>#REF!</v>
      </c>
      <c r="F12" s="11" t="s">
        <v>9</v>
      </c>
      <c r="G12" s="11" t="e">
        <f>ConvertOsiris!M6</f>
        <v>#REF!</v>
      </c>
      <c r="H12" s="26"/>
      <c r="I12" s="12" t="e">
        <f t="shared" si="0"/>
        <v>#REF!</v>
      </c>
    </row>
    <row r="13" spans="1:9" ht="44.25" x14ac:dyDescent="0.75">
      <c r="A13" s="11">
        <v>6</v>
      </c>
      <c r="B13" s="11" t="e">
        <f>ConvertOsiris!I7</f>
        <v>#REF!</v>
      </c>
      <c r="C13" s="12" t="e">
        <f>ConvertOsiris!J7</f>
        <v>#REF!</v>
      </c>
      <c r="D13" s="12" t="e">
        <f>ConvertOsiris!K7</f>
        <v>#REF!</v>
      </c>
      <c r="E13" s="12" t="e">
        <f>ConvertOsiris!L7</f>
        <v>#REF!</v>
      </c>
      <c r="F13" s="11" t="s">
        <v>9</v>
      </c>
      <c r="G13" s="11" t="e">
        <f>ConvertOsiris!M7</f>
        <v>#REF!</v>
      </c>
      <c r="H13" s="26"/>
      <c r="I13" s="12" t="e">
        <f t="shared" si="0"/>
        <v>#REF!</v>
      </c>
    </row>
    <row r="14" spans="1:9" ht="44.25" x14ac:dyDescent="0.75">
      <c r="A14" s="11">
        <v>7</v>
      </c>
      <c r="B14" s="11" t="e">
        <f>ConvertOsiris!I8</f>
        <v>#REF!</v>
      </c>
      <c r="C14" s="12" t="e">
        <f>ConvertOsiris!J8</f>
        <v>#REF!</v>
      </c>
      <c r="D14" s="12" t="e">
        <f>ConvertOsiris!K8</f>
        <v>#REF!</v>
      </c>
      <c r="E14" s="12" t="e">
        <f>ConvertOsiris!L8</f>
        <v>#REF!</v>
      </c>
      <c r="F14" s="11" t="s">
        <v>9</v>
      </c>
      <c r="G14" s="11" t="e">
        <f>ConvertOsiris!M8</f>
        <v>#REF!</v>
      </c>
      <c r="H14" s="26"/>
      <c r="I14" s="12" t="e">
        <f t="shared" si="0"/>
        <v>#REF!</v>
      </c>
    </row>
    <row r="15" spans="1:9" ht="44.25" x14ac:dyDescent="0.75">
      <c r="A15" s="11">
        <v>8</v>
      </c>
      <c r="B15" s="11" t="e">
        <f>ConvertOsiris!I9</f>
        <v>#REF!</v>
      </c>
      <c r="C15" s="12" t="e">
        <f>ConvertOsiris!J9</f>
        <v>#REF!</v>
      </c>
      <c r="D15" s="12" t="e">
        <f>ConvertOsiris!K9</f>
        <v>#REF!</v>
      </c>
      <c r="E15" s="12" t="e">
        <f>ConvertOsiris!L9</f>
        <v>#REF!</v>
      </c>
      <c r="F15" s="11" t="s">
        <v>9</v>
      </c>
      <c r="G15" s="11" t="e">
        <f>ConvertOsiris!M9</f>
        <v>#REF!</v>
      </c>
      <c r="H15" s="26"/>
      <c r="I15" s="12" t="e">
        <f t="shared" si="0"/>
        <v>#REF!</v>
      </c>
    </row>
    <row r="16" spans="1:9" ht="59" x14ac:dyDescent="0.75">
      <c r="A16" s="11">
        <v>9</v>
      </c>
      <c r="B16" s="11" t="e">
        <f>ConvertOsiris!I10</f>
        <v>#REF!</v>
      </c>
      <c r="C16" s="12" t="e">
        <f>ConvertOsiris!J10</f>
        <v>#REF!</v>
      </c>
      <c r="D16" s="12" t="e">
        <f>ConvertOsiris!K10</f>
        <v>#REF!</v>
      </c>
      <c r="E16" s="12" t="e">
        <f>ConvertOsiris!L10</f>
        <v>#REF!</v>
      </c>
      <c r="F16" s="11" t="s">
        <v>9</v>
      </c>
      <c r="G16" s="11" t="e">
        <f>ConvertOsiris!M10</f>
        <v>#REF!</v>
      </c>
      <c r="H16" s="26"/>
      <c r="I16" s="12" t="e">
        <f t="shared" si="0"/>
        <v>#REF!</v>
      </c>
    </row>
    <row r="17" spans="1:9" ht="59" x14ac:dyDescent="0.75">
      <c r="A17" s="11">
        <v>10</v>
      </c>
      <c r="B17" s="11" t="e">
        <f>ConvertOsiris!I11</f>
        <v>#REF!</v>
      </c>
      <c r="C17" s="12" t="e">
        <f>ConvertOsiris!J11</f>
        <v>#REF!</v>
      </c>
      <c r="D17" s="12" t="e">
        <f>ConvertOsiris!K11</f>
        <v>#REF!</v>
      </c>
      <c r="E17" s="12" t="e">
        <f>ConvertOsiris!L11</f>
        <v>#REF!</v>
      </c>
      <c r="F17" s="11" t="s">
        <v>9</v>
      </c>
      <c r="G17" s="11" t="e">
        <f>ConvertOsiris!M11</f>
        <v>#REF!</v>
      </c>
      <c r="H17" s="26"/>
      <c r="I17" s="12" t="e">
        <f t="shared" si="0"/>
        <v>#REF!</v>
      </c>
    </row>
    <row r="18" spans="1:9" ht="59" x14ac:dyDescent="0.75">
      <c r="A18" s="11">
        <v>11</v>
      </c>
      <c r="B18" s="11" t="e">
        <f>ConvertOsiris!I12</f>
        <v>#REF!</v>
      </c>
      <c r="C18" s="12" t="e">
        <f>ConvertOsiris!J12</f>
        <v>#REF!</v>
      </c>
      <c r="D18" s="12" t="e">
        <f>ConvertOsiris!K12</f>
        <v>#REF!</v>
      </c>
      <c r="E18" s="12" t="e">
        <f>ConvertOsiris!L12</f>
        <v>#REF!</v>
      </c>
      <c r="F18" s="11" t="s">
        <v>9</v>
      </c>
      <c r="G18" s="11" t="e">
        <f>ConvertOsiris!M12</f>
        <v>#REF!</v>
      </c>
      <c r="H18" s="26"/>
      <c r="I18" s="12" t="e">
        <f t="shared" si="0"/>
        <v>#REF!</v>
      </c>
    </row>
    <row r="19" spans="1:9" x14ac:dyDescent="0.75">
      <c r="A19" s="11">
        <v>12</v>
      </c>
      <c r="B19" s="11" t="e">
        <f>ConvertOsiris!I13</f>
        <v>#REF!</v>
      </c>
      <c r="C19" s="12" t="e">
        <f>ConvertOsiris!J13</f>
        <v>#REF!</v>
      </c>
      <c r="D19" s="12" t="e">
        <f>ConvertOsiris!K13</f>
        <v>#REF!</v>
      </c>
      <c r="E19" s="12">
        <f>ConvertOsiris!L13</f>
        <v>1</v>
      </c>
      <c r="F19" s="11" t="s">
        <v>9</v>
      </c>
      <c r="G19" s="11" t="str">
        <f>ConvertOsiris!M13</f>
        <v>BackboneElement</v>
      </c>
      <c r="H19" s="26"/>
      <c r="I19" s="12" t="e">
        <f t="shared" si="0"/>
        <v>#REF!</v>
      </c>
    </row>
    <row r="20" spans="1:9" ht="44.25" x14ac:dyDescent="0.75">
      <c r="A20" s="11">
        <v>13</v>
      </c>
      <c r="B20" s="11" t="e">
        <f>ConvertOsiris!I14</f>
        <v>#REF!</v>
      </c>
      <c r="C20" s="12" t="e">
        <f>ConvertOsiris!J14</f>
        <v>#REF!</v>
      </c>
      <c r="D20" s="12" t="e">
        <f>ConvertOsiris!K14</f>
        <v>#REF!</v>
      </c>
      <c r="E20" s="12" t="e">
        <f>ConvertOsiris!L14</f>
        <v>#REF!</v>
      </c>
      <c r="F20" s="11" t="s">
        <v>9</v>
      </c>
      <c r="G20" s="11" t="e">
        <f>ConvertOsiris!M14</f>
        <v>#REF!</v>
      </c>
      <c r="H20" s="26"/>
      <c r="I20" s="12" t="e">
        <f t="shared" si="0"/>
        <v>#REF!</v>
      </c>
    </row>
    <row r="21" spans="1:9" ht="59" x14ac:dyDescent="0.75">
      <c r="A21" s="11">
        <v>14</v>
      </c>
      <c r="B21" s="11" t="e">
        <f>ConvertOsiris!I15</f>
        <v>#REF!</v>
      </c>
      <c r="C21" s="12" t="e">
        <f>ConvertOsiris!J15</f>
        <v>#REF!</v>
      </c>
      <c r="D21" s="12" t="e">
        <f>ConvertOsiris!K15</f>
        <v>#REF!</v>
      </c>
      <c r="E21" s="12" t="e">
        <f>ConvertOsiris!L15</f>
        <v>#REF!</v>
      </c>
      <c r="F21" s="11" t="s">
        <v>9</v>
      </c>
      <c r="G21" s="11" t="e">
        <f>ConvertOsiris!M15</f>
        <v>#REF!</v>
      </c>
      <c r="H21" s="26"/>
      <c r="I21" s="12" t="e">
        <f t="shared" si="0"/>
        <v>#REF!</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x14ac:dyDescent="0.75">
      <c r="A23" s="11">
        <v>16</v>
      </c>
      <c r="B23" s="11" t="e">
        <f>ConvertOsiris!I17</f>
        <v>#REF!</v>
      </c>
      <c r="C23" s="12" t="e">
        <f>ConvertOsiris!J17</f>
        <v>#REF!</v>
      </c>
      <c r="D23" s="12" t="e">
        <f>ConvertOsiris!K17</f>
        <v>#REF!</v>
      </c>
      <c r="E23" s="12" t="e">
        <f>ConvertOsiris!L17</f>
        <v>#REF!</v>
      </c>
      <c r="F23" s="11" t="s">
        <v>9</v>
      </c>
      <c r="G23" s="11" t="e">
        <f>ConvertOsiris!M17</f>
        <v>#REF!</v>
      </c>
      <c r="H23" s="26"/>
      <c r="I23" s="12" t="e">
        <f t="shared" si="0"/>
        <v>#REF!</v>
      </c>
    </row>
    <row r="24" spans="1:9" ht="44.25" x14ac:dyDescent="0.75">
      <c r="A24" s="11">
        <v>17</v>
      </c>
      <c r="B24" s="11" t="e">
        <f>ConvertOsiris!I18</f>
        <v>#REF!</v>
      </c>
      <c r="C24" s="12" t="e">
        <f>ConvertOsiris!J18</f>
        <v>#REF!</v>
      </c>
      <c r="D24" s="12" t="e">
        <f>ConvertOsiris!K18</f>
        <v>#REF!</v>
      </c>
      <c r="E24" s="12" t="e">
        <f>ConvertOsiris!L18</f>
        <v>#REF!</v>
      </c>
      <c r="F24" s="11" t="s">
        <v>9</v>
      </c>
      <c r="G24" s="11" t="e">
        <f>ConvertOsiris!M18</f>
        <v>#REF!</v>
      </c>
      <c r="H24" s="26"/>
      <c r="I24" s="12" t="e">
        <f t="shared" si="0"/>
        <v>#REF!</v>
      </c>
    </row>
    <row r="25" spans="1:9" ht="59" x14ac:dyDescent="0.75">
      <c r="A25" s="11">
        <v>18</v>
      </c>
      <c r="B25" s="11" t="e">
        <f>ConvertOsiris!I19</f>
        <v>#REF!</v>
      </c>
      <c r="C25" s="12" t="e">
        <f>ConvertOsiris!J19</f>
        <v>#REF!</v>
      </c>
      <c r="D25" s="12" t="e">
        <f>ConvertOsiris!K19</f>
        <v>#REF!</v>
      </c>
      <c r="E25" s="12" t="e">
        <f>ConvertOsiris!L19</f>
        <v>#REF!</v>
      </c>
      <c r="F25" s="11" t="s">
        <v>9</v>
      </c>
      <c r="G25" s="11" t="e">
        <f>ConvertOsiris!M19</f>
        <v>#REF!</v>
      </c>
      <c r="H25" s="26"/>
      <c r="I25" s="12" t="e">
        <f t="shared" si="0"/>
        <v>#REF!</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x14ac:dyDescent="0.75">
      <c r="A27" s="11">
        <v>20</v>
      </c>
      <c r="B27" s="11" t="e">
        <f>ConvertOsiris!I21</f>
        <v>#REF!</v>
      </c>
      <c r="C27" s="12" t="e">
        <f>ConvertOsiris!J21</f>
        <v>#REF!</v>
      </c>
      <c r="D27" s="12" t="e">
        <f>ConvertOsiris!K21</f>
        <v>#REF!</v>
      </c>
      <c r="E27" s="12" t="e">
        <f>ConvertOsiris!L21</f>
        <v>#REF!</v>
      </c>
      <c r="F27" s="11" t="s">
        <v>9</v>
      </c>
      <c r="G27" s="11" t="e">
        <f>ConvertOsiris!M21</f>
        <v>#REF!</v>
      </c>
      <c r="H27" s="26"/>
      <c r="I27" s="12" t="e">
        <f t="shared" si="0"/>
        <v>#REF!</v>
      </c>
    </row>
    <row r="28" spans="1:9" ht="59" x14ac:dyDescent="0.75">
      <c r="A28" s="11">
        <v>21</v>
      </c>
      <c r="B28" s="11" t="e">
        <f>ConvertOsiris!I22</f>
        <v>#REF!</v>
      </c>
      <c r="C28" s="12" t="e">
        <f>ConvertOsiris!J22</f>
        <v>#REF!</v>
      </c>
      <c r="D28" s="12" t="e">
        <f>ConvertOsiris!K22</f>
        <v>#REF!</v>
      </c>
      <c r="E28" s="12" t="e">
        <f>ConvertOsiris!L22</f>
        <v>#REF!</v>
      </c>
      <c r="F28" s="11" t="s">
        <v>9</v>
      </c>
      <c r="G28" s="11" t="e">
        <f>ConvertOsiris!M22</f>
        <v>#REF!</v>
      </c>
      <c r="H28" s="26"/>
      <c r="I28" s="12" t="e">
        <f t="shared" si="0"/>
        <v>#REF!</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x14ac:dyDescent="0.75">
      <c r="A30" s="11">
        <v>23</v>
      </c>
      <c r="B30" s="11" t="e">
        <f>ConvertOsiris!I24</f>
        <v>#REF!</v>
      </c>
      <c r="C30" s="12" t="e">
        <f>ConvertOsiris!J24</f>
        <v>#REF!</v>
      </c>
      <c r="D30" s="12" t="e">
        <f>ConvertOsiris!K24</f>
        <v>#REF!</v>
      </c>
      <c r="E30" s="12" t="e">
        <f>ConvertOsiris!L24</f>
        <v>#REF!</v>
      </c>
      <c r="F30" s="11" t="s">
        <v>9</v>
      </c>
      <c r="G30" s="11" t="e">
        <f>ConvertOsiris!M24</f>
        <v>#REF!</v>
      </c>
      <c r="H30" s="26"/>
      <c r="I30" s="12" t="e">
        <f t="shared" si="0"/>
        <v>#REF!</v>
      </c>
    </row>
    <row r="31" spans="1:9" ht="44.25" x14ac:dyDescent="0.75">
      <c r="A31" s="11">
        <v>24</v>
      </c>
      <c r="B31" s="11" t="e">
        <f>ConvertOsiris!I25</f>
        <v>#REF!</v>
      </c>
      <c r="C31" s="12" t="e">
        <f>ConvertOsiris!J25</f>
        <v>#REF!</v>
      </c>
      <c r="D31" s="12" t="e">
        <f>ConvertOsiris!K25</f>
        <v>#REF!</v>
      </c>
      <c r="E31" s="12" t="e">
        <f>ConvertOsiris!L25</f>
        <v>#REF!</v>
      </c>
      <c r="F31" s="11" t="s">
        <v>9</v>
      </c>
      <c r="G31" s="11" t="e">
        <f>ConvertOsiris!M25</f>
        <v>#REF!</v>
      </c>
      <c r="H31" s="26"/>
      <c r="I31" s="12" t="e">
        <f t="shared" si="0"/>
        <v>#REF!</v>
      </c>
    </row>
    <row r="32" spans="1:9" ht="44.25" x14ac:dyDescent="0.75">
      <c r="A32" s="11">
        <v>25</v>
      </c>
      <c r="B32" s="11" t="e">
        <f>ConvertOsiris!I26</f>
        <v>#REF!</v>
      </c>
      <c r="C32" s="12" t="e">
        <f>ConvertOsiris!J26</f>
        <v>#REF!</v>
      </c>
      <c r="D32" s="12" t="e">
        <f>ConvertOsiris!K26</f>
        <v>#REF!</v>
      </c>
      <c r="E32" s="12" t="e">
        <f>ConvertOsiris!L26</f>
        <v>#REF!</v>
      </c>
      <c r="F32" s="11" t="s">
        <v>9</v>
      </c>
      <c r="G32" s="11" t="e">
        <f>ConvertOsiris!M26</f>
        <v>#REF!</v>
      </c>
      <c r="H32" s="26"/>
      <c r="I32" s="12" t="e">
        <f t="shared" si="0"/>
        <v>#REF!</v>
      </c>
    </row>
    <row r="33" spans="1:9" ht="73.75" x14ac:dyDescent="0.75">
      <c r="A33" s="11">
        <v>26</v>
      </c>
      <c r="B33" s="11" t="e">
        <f>ConvertOsiris!I27</f>
        <v>#REF!</v>
      </c>
      <c r="C33" s="12" t="e">
        <f>ConvertOsiris!J27</f>
        <v>#REF!</v>
      </c>
      <c r="D33" s="12" t="e">
        <f>ConvertOsiris!K27</f>
        <v>#REF!</v>
      </c>
      <c r="E33" s="12" t="e">
        <f>ConvertOsiris!L27</f>
        <v>#REF!</v>
      </c>
      <c r="F33" s="11" t="s">
        <v>9</v>
      </c>
      <c r="G33" s="11" t="e">
        <f>ConvertOsiris!M27</f>
        <v>#REF!</v>
      </c>
      <c r="H33" s="26"/>
      <c r="I33" s="12" t="e">
        <f t="shared" si="0"/>
        <v>#REF!</v>
      </c>
    </row>
    <row r="34" spans="1:9" ht="44.25" x14ac:dyDescent="0.75">
      <c r="A34" s="11">
        <v>27</v>
      </c>
      <c r="B34" s="11" t="e">
        <f>ConvertOsiris!I28</f>
        <v>#REF!</v>
      </c>
      <c r="C34" s="12" t="e">
        <f>ConvertOsiris!J28</f>
        <v>#REF!</v>
      </c>
      <c r="D34" s="12" t="e">
        <f>ConvertOsiris!K28</f>
        <v>#REF!</v>
      </c>
      <c r="E34" s="12" t="e">
        <f>ConvertOsiris!L28</f>
        <v>#REF!</v>
      </c>
      <c r="F34" s="11" t="s">
        <v>9</v>
      </c>
      <c r="G34" s="11" t="e">
        <f>ConvertOsiris!M28</f>
        <v>#REF!</v>
      </c>
      <c r="H34" s="26"/>
      <c r="I34" s="12" t="e">
        <f t="shared" si="0"/>
        <v>#REF!</v>
      </c>
    </row>
    <row r="35" spans="1:9" ht="59" x14ac:dyDescent="0.75">
      <c r="A35" s="11">
        <v>28</v>
      </c>
      <c r="B35" s="11" t="e">
        <f>ConvertOsiris!I29</f>
        <v>#REF!</v>
      </c>
      <c r="C35" s="12" t="e">
        <f>ConvertOsiris!J29</f>
        <v>#REF!</v>
      </c>
      <c r="D35" s="12" t="e">
        <f>ConvertOsiris!K29</f>
        <v>#REF!</v>
      </c>
      <c r="E35" s="12" t="e">
        <f>ConvertOsiris!L29</f>
        <v>#REF!</v>
      </c>
      <c r="F35" s="11" t="s">
        <v>9</v>
      </c>
      <c r="G35" s="11" t="e">
        <f>ConvertOsiris!M29</f>
        <v>#REF!</v>
      </c>
      <c r="H35" s="26"/>
      <c r="I35" s="12" t="e">
        <f t="shared" si="0"/>
        <v>#REF!</v>
      </c>
    </row>
    <row r="36" spans="1:9" ht="59" x14ac:dyDescent="0.75">
      <c r="A36" s="11">
        <v>29</v>
      </c>
      <c r="B36" s="11" t="e">
        <f>ConvertOsiris!I30</f>
        <v>#REF!</v>
      </c>
      <c r="C36" s="12" t="e">
        <f>ConvertOsiris!J30</f>
        <v>#REF!</v>
      </c>
      <c r="D36" s="12" t="e">
        <f>ConvertOsiris!K30</f>
        <v>#REF!</v>
      </c>
      <c r="E36" s="12" t="e">
        <f>ConvertOsiris!L30</f>
        <v>#REF!</v>
      </c>
      <c r="F36" s="11" t="s">
        <v>9</v>
      </c>
      <c r="G36" s="11" t="e">
        <f>ConvertOsiris!M30</f>
        <v>#REF!</v>
      </c>
      <c r="H36" s="26"/>
      <c r="I36" s="12" t="e">
        <f t="shared" si="0"/>
        <v>#REF!</v>
      </c>
    </row>
    <row r="37" spans="1:9" ht="59" x14ac:dyDescent="0.75">
      <c r="A37" s="11">
        <v>30</v>
      </c>
      <c r="B37" s="11" t="e">
        <f>ConvertOsiris!I31</f>
        <v>#REF!</v>
      </c>
      <c r="C37" s="12" t="e">
        <f>ConvertOsiris!J31</f>
        <v>#REF!</v>
      </c>
      <c r="D37" s="12" t="e">
        <f>ConvertOsiris!K31</f>
        <v>#REF!</v>
      </c>
      <c r="E37" s="12" t="e">
        <f>ConvertOsiris!L31</f>
        <v>#REF!</v>
      </c>
      <c r="F37" s="11" t="s">
        <v>9</v>
      </c>
      <c r="G37" s="11" t="e">
        <f>ConvertOsiris!M31</f>
        <v>#REF!</v>
      </c>
      <c r="H37" s="26"/>
      <c r="I37" s="12" t="e">
        <f t="shared" si="0"/>
        <v>#REF!</v>
      </c>
    </row>
    <row r="38" spans="1:9" ht="59" x14ac:dyDescent="0.75">
      <c r="A38" s="11">
        <v>31</v>
      </c>
      <c r="B38" s="11" t="e">
        <f>ConvertOsiris!I32</f>
        <v>#REF!</v>
      </c>
      <c r="C38" s="12" t="e">
        <f>ConvertOsiris!J32</f>
        <v>#REF!</v>
      </c>
      <c r="D38" s="12" t="e">
        <f>ConvertOsiris!K32</f>
        <v>#REF!</v>
      </c>
      <c r="E38" s="12" t="e">
        <f>ConvertOsiris!L32</f>
        <v>#REF!</v>
      </c>
      <c r="F38" s="11" t="s">
        <v>9</v>
      </c>
      <c r="G38" s="11" t="e">
        <f>ConvertOsiris!M32</f>
        <v>#REF!</v>
      </c>
      <c r="H38" s="26"/>
      <c r="I38" s="12" t="e">
        <f t="shared" si="0"/>
        <v>#REF!</v>
      </c>
    </row>
    <row r="39" spans="1:9" ht="44.25" x14ac:dyDescent="0.75">
      <c r="A39" s="11">
        <v>32</v>
      </c>
      <c r="B39" s="11" t="e">
        <f>ConvertOsiris!I33</f>
        <v>#REF!</v>
      </c>
      <c r="C39" s="12" t="e">
        <f>ConvertOsiris!J33</f>
        <v>#REF!</v>
      </c>
      <c r="D39" s="12" t="e">
        <f>ConvertOsiris!K33</f>
        <v>#REF!</v>
      </c>
      <c r="E39" s="12" t="e">
        <f>ConvertOsiris!L33</f>
        <v>#REF!</v>
      </c>
      <c r="F39" s="11" t="s">
        <v>9</v>
      </c>
      <c r="G39" s="11" t="e">
        <f>ConvertOsiris!M33</f>
        <v>#REF!</v>
      </c>
      <c r="H39" s="26"/>
      <c r="I39" s="12" t="e">
        <f t="shared" si="0"/>
        <v>#REF!</v>
      </c>
    </row>
    <row r="40" spans="1:9" ht="59" x14ac:dyDescent="0.75">
      <c r="A40" s="11">
        <v>33</v>
      </c>
      <c r="B40" s="11" t="e">
        <f>ConvertOsiris!I34</f>
        <v>#REF!</v>
      </c>
      <c r="C40" s="12" t="e">
        <f>ConvertOsiris!J34</f>
        <v>#REF!</v>
      </c>
      <c r="D40" s="12" t="e">
        <f>ConvertOsiris!K34</f>
        <v>#REF!</v>
      </c>
      <c r="E40" s="12" t="e">
        <f>ConvertOsiris!L34</f>
        <v>#REF!</v>
      </c>
      <c r="F40" s="11" t="s">
        <v>9</v>
      </c>
      <c r="G40" s="11" t="e">
        <f>ConvertOsiris!M34</f>
        <v>#REF!</v>
      </c>
      <c r="H40" s="26"/>
      <c r="I40" s="12" t="e">
        <f t="shared" si="0"/>
        <v>#REF!</v>
      </c>
    </row>
    <row r="41" spans="1:9" ht="73.75" x14ac:dyDescent="0.75">
      <c r="A41" s="11">
        <v>34</v>
      </c>
      <c r="B41" s="11" t="e">
        <f>ConvertOsiris!I35</f>
        <v>#REF!</v>
      </c>
      <c r="C41" s="12" t="e">
        <f>ConvertOsiris!J35</f>
        <v>#REF!</v>
      </c>
      <c r="D41" s="12" t="e">
        <f>ConvertOsiris!K35</f>
        <v>#REF!</v>
      </c>
      <c r="E41" s="12" t="e">
        <f>ConvertOsiris!L35</f>
        <v>#REF!</v>
      </c>
      <c r="F41" s="11" t="s">
        <v>9</v>
      </c>
      <c r="G41" s="11" t="e">
        <f>ConvertOsiris!M35</f>
        <v>#REF!</v>
      </c>
      <c r="H41" s="26"/>
      <c r="I41" s="12" t="e">
        <f t="shared" si="0"/>
        <v>#REF!</v>
      </c>
    </row>
    <row r="42" spans="1:9" ht="59" x14ac:dyDescent="0.75">
      <c r="A42" s="11">
        <v>35</v>
      </c>
      <c r="B42" s="11" t="e">
        <f>ConvertOsiris!I36</f>
        <v>#REF!</v>
      </c>
      <c r="C42" s="12" t="e">
        <f>ConvertOsiris!J36</f>
        <v>#REF!</v>
      </c>
      <c r="D42" s="12" t="e">
        <f>ConvertOsiris!K36</f>
        <v>#REF!</v>
      </c>
      <c r="E42" s="12" t="e">
        <f>ConvertOsiris!L36</f>
        <v>#REF!</v>
      </c>
      <c r="F42" s="11" t="s">
        <v>9</v>
      </c>
      <c r="G42" s="11" t="e">
        <f>ConvertOsiris!M36</f>
        <v>#REF!</v>
      </c>
      <c r="H42" s="26"/>
      <c r="I42" s="12" t="e">
        <f t="shared" si="0"/>
        <v>#REF!</v>
      </c>
    </row>
    <row r="43" spans="1:9" x14ac:dyDescent="0.75">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x14ac:dyDescent="0.75">
      <c r="A44" s="11">
        <v>37</v>
      </c>
      <c r="B44" s="11" t="e">
        <f>ConvertOsiris!I38</f>
        <v>#REF!</v>
      </c>
      <c r="C44" s="12" t="e">
        <f>ConvertOsiris!J38</f>
        <v>#REF!</v>
      </c>
      <c r="D44" s="12" t="e">
        <f>ConvertOsiris!K38</f>
        <v>#REF!</v>
      </c>
      <c r="E44" s="12" t="e">
        <f>ConvertOsiris!L38</f>
        <v>#REF!</v>
      </c>
      <c r="F44" s="11" t="s">
        <v>9</v>
      </c>
      <c r="G44" s="11" t="e">
        <f>ConvertOsiris!M38</f>
        <v>#REF!</v>
      </c>
      <c r="H44" s="26"/>
      <c r="I44" s="12" t="e">
        <f t="shared" si="0"/>
        <v>#REF!</v>
      </c>
    </row>
    <row r="45" spans="1:9" ht="59" x14ac:dyDescent="0.75">
      <c r="A45" s="11">
        <v>38</v>
      </c>
      <c r="B45" s="11" t="e">
        <f>ConvertOsiris!I39</f>
        <v>#REF!</v>
      </c>
      <c r="C45" s="12" t="e">
        <f>ConvertOsiris!J39</f>
        <v>#REF!</v>
      </c>
      <c r="D45" s="12" t="e">
        <f>ConvertOsiris!K39</f>
        <v>#REF!</v>
      </c>
      <c r="E45" s="12" t="e">
        <f>ConvertOsiris!L39</f>
        <v>#REF!</v>
      </c>
      <c r="F45" s="11" t="s">
        <v>9</v>
      </c>
      <c r="G45" s="11" t="e">
        <f>ConvertOsiris!M39</f>
        <v>#REF!</v>
      </c>
      <c r="H45" s="26"/>
      <c r="I45" s="12" t="e">
        <f t="shared" si="0"/>
        <v>#REF!</v>
      </c>
    </row>
    <row r="46" spans="1:9" ht="59" x14ac:dyDescent="0.75">
      <c r="A46" s="11">
        <v>39</v>
      </c>
      <c r="B46" s="11" t="e">
        <f>ConvertOsiris!I40</f>
        <v>#REF!</v>
      </c>
      <c r="C46" s="12" t="e">
        <f>ConvertOsiris!J40</f>
        <v>#REF!</v>
      </c>
      <c r="D46" s="12" t="e">
        <f>ConvertOsiris!K40</f>
        <v>#REF!</v>
      </c>
      <c r="E46" s="12" t="e">
        <f>ConvertOsiris!L40</f>
        <v>#REF!</v>
      </c>
      <c r="F46" s="11" t="s">
        <v>9</v>
      </c>
      <c r="G46" s="11" t="e">
        <f>ConvertOsiris!M40</f>
        <v>#REF!</v>
      </c>
      <c r="H46" s="26"/>
      <c r="I46" s="12" t="e">
        <f t="shared" si="0"/>
        <v>#REF!</v>
      </c>
    </row>
    <row r="47" spans="1:9" ht="59" x14ac:dyDescent="0.75">
      <c r="A47" s="11">
        <v>40</v>
      </c>
      <c r="B47" s="11" t="e">
        <f>ConvertOsiris!I41</f>
        <v>#REF!</v>
      </c>
      <c r="C47" s="12" t="e">
        <f>ConvertOsiris!J41</f>
        <v>#REF!</v>
      </c>
      <c r="D47" s="12" t="e">
        <f>ConvertOsiris!K41</f>
        <v>#REF!</v>
      </c>
      <c r="E47" s="12" t="e">
        <f>ConvertOsiris!L41</f>
        <v>#REF!</v>
      </c>
      <c r="F47" s="11" t="s">
        <v>9</v>
      </c>
      <c r="G47" s="11" t="e">
        <f>ConvertOsiris!M41</f>
        <v>#REF!</v>
      </c>
      <c r="H47" s="26"/>
      <c r="I47" s="12" t="e">
        <f t="shared" si="0"/>
        <v>#REF!</v>
      </c>
    </row>
    <row r="48" spans="1:9" ht="44.25" x14ac:dyDescent="0.75">
      <c r="A48" s="11">
        <v>41</v>
      </c>
      <c r="B48" s="11" t="e">
        <f>ConvertOsiris!I42</f>
        <v>#REF!</v>
      </c>
      <c r="C48" s="12" t="e">
        <f>ConvertOsiris!J42</f>
        <v>#REF!</v>
      </c>
      <c r="D48" s="12" t="e">
        <f>ConvertOsiris!K42</f>
        <v>#REF!</v>
      </c>
      <c r="E48" s="12" t="e">
        <f>ConvertOsiris!L42</f>
        <v>#REF!</v>
      </c>
      <c r="F48" s="11" t="s">
        <v>9</v>
      </c>
      <c r="G48" s="11" t="e">
        <f>ConvertOsiris!M42</f>
        <v>#REF!</v>
      </c>
      <c r="H48" s="26"/>
      <c r="I48" s="12" t="e">
        <f t="shared" si="0"/>
        <v>#REF!</v>
      </c>
    </row>
    <row r="49" spans="1:9" x14ac:dyDescent="0.75">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x14ac:dyDescent="0.75">
      <c r="A50" s="11">
        <v>43</v>
      </c>
      <c r="B50" s="11" t="e">
        <f>ConvertOsiris!I44</f>
        <v>#REF!</v>
      </c>
      <c r="C50" s="12" t="e">
        <f>ConvertOsiris!J44</f>
        <v>#REF!</v>
      </c>
      <c r="D50" s="12" t="e">
        <f>ConvertOsiris!K44</f>
        <v>#REF!</v>
      </c>
      <c r="E50" s="12" t="e">
        <f>ConvertOsiris!L44</f>
        <v>#REF!</v>
      </c>
      <c r="F50" s="11" t="s">
        <v>9</v>
      </c>
      <c r="G50" s="11" t="e">
        <f>ConvertOsiris!M44</f>
        <v>#REF!</v>
      </c>
      <c r="H50" s="26"/>
      <c r="I50" s="12" t="e">
        <f t="shared" si="0"/>
        <v>#REF!</v>
      </c>
    </row>
    <row r="51" spans="1:9" ht="44.25" x14ac:dyDescent="0.75">
      <c r="A51" s="11">
        <v>44</v>
      </c>
      <c r="B51" s="11" t="e">
        <f>ConvertOsiris!I45</f>
        <v>#REF!</v>
      </c>
      <c r="C51" s="12" t="e">
        <f>ConvertOsiris!J45</f>
        <v>#REF!</v>
      </c>
      <c r="D51" s="12" t="e">
        <f>ConvertOsiris!K45</f>
        <v>#REF!</v>
      </c>
      <c r="E51" s="12" t="e">
        <f>ConvertOsiris!L45</f>
        <v>#REF!</v>
      </c>
      <c r="F51" s="11" t="s">
        <v>9</v>
      </c>
      <c r="G51" s="11" t="e">
        <f>ConvertOsiris!M45</f>
        <v>#REF!</v>
      </c>
      <c r="H51" s="26"/>
      <c r="I51" s="12" t="e">
        <f t="shared" si="0"/>
        <v>#REF!</v>
      </c>
    </row>
    <row r="52" spans="1:9" ht="29.5" x14ac:dyDescent="0.75">
      <c r="A52" s="11">
        <v>45</v>
      </c>
      <c r="B52" s="11" t="e">
        <f>ConvertOsiris!I46</f>
        <v>#REF!</v>
      </c>
      <c r="C52" s="12" t="e">
        <f>ConvertOsiris!J46</f>
        <v>#REF!</v>
      </c>
      <c r="D52" s="12" t="e">
        <f>ConvertOsiris!K46</f>
        <v>#REF!</v>
      </c>
      <c r="E52" s="12" t="e">
        <f>ConvertOsiris!L46</f>
        <v>#REF!</v>
      </c>
      <c r="F52" s="11" t="s">
        <v>9</v>
      </c>
      <c r="G52" s="11" t="e">
        <f>ConvertOsiris!M46</f>
        <v>#REF!</v>
      </c>
      <c r="H52" s="26"/>
      <c r="I52" s="12" t="e">
        <f t="shared" si="0"/>
        <v>#REF!</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x14ac:dyDescent="0.75">
      <c r="A54" s="11">
        <v>47</v>
      </c>
      <c r="B54" s="11" t="e">
        <f>ConvertOsiris!I48</f>
        <v>#REF!</v>
      </c>
      <c r="C54" s="12" t="e">
        <f>ConvertOsiris!J48</f>
        <v>#REF!</v>
      </c>
      <c r="D54" s="12" t="e">
        <f>ConvertOsiris!K48</f>
        <v>#REF!</v>
      </c>
      <c r="E54" s="12" t="e">
        <f>ConvertOsiris!L48</f>
        <v>#REF!</v>
      </c>
      <c r="F54" s="11" t="s">
        <v>9</v>
      </c>
      <c r="G54" s="11" t="e">
        <f>ConvertOsiris!M48</f>
        <v>#REF!</v>
      </c>
      <c r="H54" s="26"/>
      <c r="I54" s="12" t="e">
        <f t="shared" si="0"/>
        <v>#REF!</v>
      </c>
    </row>
    <row r="55" spans="1:9" ht="59" x14ac:dyDescent="0.75">
      <c r="A55" s="11">
        <v>48</v>
      </c>
      <c r="B55" s="11" t="e">
        <f>ConvertOsiris!I49</f>
        <v>#REF!</v>
      </c>
      <c r="C55" s="12" t="e">
        <f>ConvertOsiris!J49</f>
        <v>#REF!</v>
      </c>
      <c r="D55" s="12" t="e">
        <f>ConvertOsiris!K49</f>
        <v>#REF!</v>
      </c>
      <c r="E55" s="12" t="e">
        <f>ConvertOsiris!L49</f>
        <v>#REF!</v>
      </c>
      <c r="F55" s="11" t="s">
        <v>9</v>
      </c>
      <c r="G55" s="11" t="e">
        <f>ConvertOsiris!M49</f>
        <v>#REF!</v>
      </c>
      <c r="H55" s="26"/>
      <c r="I55" s="12" t="e">
        <f t="shared" si="0"/>
        <v>#REF!</v>
      </c>
    </row>
    <row r="56" spans="1:9" ht="29.5" x14ac:dyDescent="0.7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x14ac:dyDescent="0.75">
      <c r="A57" s="11">
        <v>50</v>
      </c>
      <c r="B57" s="11" t="e">
        <f>ConvertOsiris!I51</f>
        <v>#REF!</v>
      </c>
      <c r="C57" s="12" t="e">
        <f>ConvertOsiris!J51</f>
        <v>#REF!</v>
      </c>
      <c r="D57" s="12" t="e">
        <f>ConvertOsiris!K51</f>
        <v>#REF!</v>
      </c>
      <c r="E57" s="12" t="e">
        <f>ConvertOsiris!L51</f>
        <v>#REF!</v>
      </c>
      <c r="F57" s="11" t="s">
        <v>9</v>
      </c>
      <c r="G57" s="11" t="e">
        <f>ConvertOsiris!M51</f>
        <v>#REF!</v>
      </c>
      <c r="H57" s="26"/>
      <c r="I57" s="12" t="e">
        <f t="shared" si="0"/>
        <v>#REF!</v>
      </c>
    </row>
    <row r="58" spans="1:9" ht="29.5" x14ac:dyDescent="0.75">
      <c r="A58" s="11">
        <v>51</v>
      </c>
      <c r="B58" s="11" t="e">
        <f>ConvertOsiris!I52</f>
        <v>#REF!</v>
      </c>
      <c r="C58" s="12" t="e">
        <f>ConvertOsiris!J52</f>
        <v>#REF!</v>
      </c>
      <c r="D58" s="12" t="e">
        <f>ConvertOsiris!K52</f>
        <v>#REF!</v>
      </c>
      <c r="E58" s="12" t="e">
        <f>ConvertOsiris!L52</f>
        <v>#REF!</v>
      </c>
      <c r="F58" s="11" t="s">
        <v>9</v>
      </c>
      <c r="G58" s="11" t="e">
        <f>ConvertOsiris!M52</f>
        <v>#REF!</v>
      </c>
      <c r="H58" s="26"/>
      <c r="I58" s="12" t="e">
        <f t="shared" si="0"/>
        <v>#REF!</v>
      </c>
    </row>
    <row r="59" spans="1:9" ht="29.5" x14ac:dyDescent="0.75">
      <c r="A59" s="11">
        <v>52</v>
      </c>
      <c r="B59" s="11" t="e">
        <f>ConvertOsiris!I53</f>
        <v>#REF!</v>
      </c>
      <c r="C59" s="12" t="e">
        <f>ConvertOsiris!J53</f>
        <v>#REF!</v>
      </c>
      <c r="D59" s="12" t="e">
        <f>ConvertOsiris!K53</f>
        <v>#REF!</v>
      </c>
      <c r="E59" s="12" t="e">
        <f>ConvertOsiris!L53</f>
        <v>#REF!</v>
      </c>
      <c r="F59" s="11" t="s">
        <v>9</v>
      </c>
      <c r="G59" s="11" t="e">
        <f>ConvertOsiris!M53</f>
        <v>#REF!</v>
      </c>
      <c r="H59" s="26"/>
      <c r="I59" s="12" t="e">
        <f t="shared" si="0"/>
        <v>#REF!</v>
      </c>
    </row>
    <row r="60" spans="1:9" ht="29.5" x14ac:dyDescent="0.7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x14ac:dyDescent="0.75">
      <c r="A61" s="11">
        <v>54</v>
      </c>
      <c r="B61" s="11" t="e">
        <f>ConvertOsiris!I55</f>
        <v>#REF!</v>
      </c>
      <c r="C61" s="12" t="e">
        <f>ConvertOsiris!J55</f>
        <v>#REF!</v>
      </c>
      <c r="D61" s="12" t="e">
        <f>ConvertOsiris!K55</f>
        <v>#REF!</v>
      </c>
      <c r="E61" s="12" t="e">
        <f>ConvertOsiris!L55</f>
        <v>#REF!</v>
      </c>
      <c r="F61" s="11" t="s">
        <v>9</v>
      </c>
      <c r="G61" s="11" t="e">
        <f>ConvertOsiris!M55</f>
        <v>#REF!</v>
      </c>
      <c r="H61" s="26"/>
      <c r="I61" s="12" t="e">
        <f t="shared" si="0"/>
        <v>#REF!</v>
      </c>
    </row>
    <row r="62" spans="1:9" ht="44.25" x14ac:dyDescent="0.75">
      <c r="A62" s="11">
        <v>55</v>
      </c>
      <c r="B62" s="11" t="e">
        <f>ConvertOsiris!I56</f>
        <v>#REF!</v>
      </c>
      <c r="C62" s="12" t="e">
        <f>ConvertOsiris!J56</f>
        <v>#REF!</v>
      </c>
      <c r="D62" s="12" t="e">
        <f>ConvertOsiris!K56</f>
        <v>#REF!</v>
      </c>
      <c r="E62" s="12" t="e">
        <f>ConvertOsiris!L56</f>
        <v>#REF!</v>
      </c>
      <c r="F62" s="11" t="s">
        <v>9</v>
      </c>
      <c r="G62" s="11" t="e">
        <f>ConvertOsiris!M56</f>
        <v>#REF!</v>
      </c>
      <c r="H62" s="26"/>
      <c r="I62" s="12" t="e">
        <f t="shared" si="0"/>
        <v>#REF!</v>
      </c>
    </row>
    <row r="63" spans="1:9" ht="59" x14ac:dyDescent="0.75">
      <c r="A63" s="11">
        <v>56</v>
      </c>
      <c r="B63" s="11" t="e">
        <f>ConvertOsiris!I57</f>
        <v>#REF!</v>
      </c>
      <c r="C63" s="12" t="e">
        <f>ConvertOsiris!J57</f>
        <v>#REF!</v>
      </c>
      <c r="D63" s="12" t="e">
        <f>ConvertOsiris!K57</f>
        <v>#REF!</v>
      </c>
      <c r="E63" s="12" t="e">
        <f>ConvertOsiris!L57</f>
        <v>#REF!</v>
      </c>
      <c r="F63" s="11" t="s">
        <v>9</v>
      </c>
      <c r="G63" s="11" t="e">
        <f>ConvertOsiris!M57</f>
        <v>#REF!</v>
      </c>
      <c r="H63" s="26"/>
      <c r="I63" s="12" t="e">
        <f t="shared" si="0"/>
        <v>#REF!</v>
      </c>
    </row>
    <row r="64" spans="1:9" ht="44.25" x14ac:dyDescent="0.75">
      <c r="A64" s="11">
        <v>57</v>
      </c>
      <c r="B64" s="11" t="e">
        <f>ConvertOsiris!I58</f>
        <v>#REF!</v>
      </c>
      <c r="C64" s="12" t="e">
        <f>ConvertOsiris!J58</f>
        <v>#REF!</v>
      </c>
      <c r="D64" s="12" t="e">
        <f>ConvertOsiris!K58</f>
        <v>#REF!</v>
      </c>
      <c r="E64" s="12" t="e">
        <f>ConvertOsiris!L58</f>
        <v>#REF!</v>
      </c>
      <c r="F64" s="11" t="s">
        <v>9</v>
      </c>
      <c r="G64" s="11" t="e">
        <f>ConvertOsiris!M58</f>
        <v>#REF!</v>
      </c>
      <c r="H64" s="26"/>
      <c r="I64" s="12" t="e">
        <f t="shared" si="0"/>
        <v>#REF!</v>
      </c>
    </row>
    <row r="65" spans="1:9" ht="44.25" x14ac:dyDescent="0.75">
      <c r="A65" s="11">
        <v>58</v>
      </c>
      <c r="B65" s="11" t="e">
        <f>ConvertOsiris!I59</f>
        <v>#REF!</v>
      </c>
      <c r="C65" s="12" t="e">
        <f>ConvertOsiris!J59</f>
        <v>#REF!</v>
      </c>
      <c r="D65" s="12" t="e">
        <f>ConvertOsiris!K59</f>
        <v>#REF!</v>
      </c>
      <c r="E65" s="12" t="e">
        <f>ConvertOsiris!L59</f>
        <v>#REF!</v>
      </c>
      <c r="F65" s="11" t="s">
        <v>9</v>
      </c>
      <c r="G65" s="11" t="e">
        <f>ConvertOsiris!M59</f>
        <v>#REF!</v>
      </c>
      <c r="H65" s="26"/>
      <c r="I65" s="12" t="e">
        <f t="shared" si="0"/>
        <v>#REF!</v>
      </c>
    </row>
    <row r="66" spans="1:9" ht="59" x14ac:dyDescent="0.75">
      <c r="A66" s="11">
        <v>59</v>
      </c>
      <c r="B66" s="11" t="e">
        <f>ConvertOsiris!I60</f>
        <v>#REF!</v>
      </c>
      <c r="C66" s="12" t="e">
        <f>ConvertOsiris!J60</f>
        <v>#REF!</v>
      </c>
      <c r="D66" s="12" t="e">
        <f>ConvertOsiris!K60</f>
        <v>#REF!</v>
      </c>
      <c r="E66" s="12" t="e">
        <f>ConvertOsiris!L60</f>
        <v>#REF!</v>
      </c>
      <c r="F66" s="11" t="s">
        <v>9</v>
      </c>
      <c r="G66" s="11" t="e">
        <f>ConvertOsiris!M60</f>
        <v>#REF!</v>
      </c>
      <c r="H66" s="26"/>
      <c r="I66" s="12" t="e">
        <f t="shared" si="0"/>
        <v>#REF!</v>
      </c>
    </row>
    <row r="67" spans="1:9" ht="44.25" x14ac:dyDescent="0.75">
      <c r="A67" s="11">
        <v>60</v>
      </c>
      <c r="B67" s="11" t="e">
        <f>ConvertOsiris!I61</f>
        <v>#REF!</v>
      </c>
      <c r="C67" s="12" t="e">
        <f>ConvertOsiris!J61</f>
        <v>#REF!</v>
      </c>
      <c r="D67" s="12" t="e">
        <f>ConvertOsiris!K61</f>
        <v>#REF!</v>
      </c>
      <c r="E67" s="12" t="e">
        <f>ConvertOsiris!L61</f>
        <v>#REF!</v>
      </c>
      <c r="F67" s="11" t="s">
        <v>9</v>
      </c>
      <c r="G67" s="11" t="e">
        <f>ConvertOsiris!M61</f>
        <v>#REF!</v>
      </c>
      <c r="H67" s="26"/>
      <c r="I67" s="12" t="e">
        <f t="shared" si="0"/>
        <v>#REF!</v>
      </c>
    </row>
    <row r="68" spans="1:9" ht="44.25" x14ac:dyDescent="0.75">
      <c r="A68" s="11">
        <v>61</v>
      </c>
      <c r="B68" s="11" t="e">
        <f>ConvertOsiris!I62</f>
        <v>#REF!</v>
      </c>
      <c r="C68" s="12" t="e">
        <f>ConvertOsiris!J62</f>
        <v>#REF!</v>
      </c>
      <c r="D68" s="12" t="e">
        <f>ConvertOsiris!K62</f>
        <v>#REF!</v>
      </c>
      <c r="E68" s="12" t="e">
        <f>ConvertOsiris!L62</f>
        <v>#REF!</v>
      </c>
      <c r="F68" s="11" t="s">
        <v>9</v>
      </c>
      <c r="G68" s="11" t="e">
        <f>ConvertOsiris!M62</f>
        <v>#REF!</v>
      </c>
      <c r="H68" s="26"/>
      <c r="I68" s="12" t="e">
        <f t="shared" si="0"/>
        <v>#REF!</v>
      </c>
    </row>
    <row r="69" spans="1:9" ht="59" x14ac:dyDescent="0.75">
      <c r="A69" s="11">
        <v>62</v>
      </c>
      <c r="B69" s="11" t="e">
        <f>ConvertOsiris!I63</f>
        <v>#REF!</v>
      </c>
      <c r="C69" s="12" t="e">
        <f>ConvertOsiris!J63</f>
        <v>#REF!</v>
      </c>
      <c r="D69" s="12" t="e">
        <f>ConvertOsiris!K63</f>
        <v>#REF!</v>
      </c>
      <c r="E69" s="12" t="e">
        <f>ConvertOsiris!L63</f>
        <v>#REF!</v>
      </c>
      <c r="F69" s="11" t="s">
        <v>9</v>
      </c>
      <c r="G69" s="11" t="e">
        <f>ConvertOsiris!M63</f>
        <v>#REF!</v>
      </c>
      <c r="H69" s="26"/>
      <c r="I69" s="12" t="e">
        <f t="shared" si="0"/>
        <v>#REF!</v>
      </c>
    </row>
    <row r="70" spans="1:9" ht="44.25" x14ac:dyDescent="0.75">
      <c r="A70" s="11">
        <v>63</v>
      </c>
      <c r="B70" s="11" t="e">
        <f>ConvertOsiris!I64</f>
        <v>#REF!</v>
      </c>
      <c r="C70" s="12" t="e">
        <f>ConvertOsiris!J64</f>
        <v>#REF!</v>
      </c>
      <c r="D70" s="12" t="e">
        <f>ConvertOsiris!K64</f>
        <v>#REF!</v>
      </c>
      <c r="E70" s="12" t="e">
        <f>ConvertOsiris!L64</f>
        <v>#REF!</v>
      </c>
      <c r="F70" s="11" t="s">
        <v>9</v>
      </c>
      <c r="G70" s="11" t="e">
        <f>ConvertOsiris!M64</f>
        <v>#REF!</v>
      </c>
      <c r="H70" s="26"/>
      <c r="I70" s="12" t="e">
        <f t="shared" si="0"/>
        <v>#REF!</v>
      </c>
    </row>
    <row r="71" spans="1:9" ht="29.5" x14ac:dyDescent="0.7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x14ac:dyDescent="0.75">
      <c r="A72" s="11">
        <v>65</v>
      </c>
      <c r="B72" s="11" t="e">
        <f>ConvertOsiris!I66</f>
        <v>#REF!</v>
      </c>
      <c r="C72" s="12" t="e">
        <f>ConvertOsiris!J66</f>
        <v>#REF!</v>
      </c>
      <c r="D72" s="12" t="e">
        <f>ConvertOsiris!K66</f>
        <v>#REF!</v>
      </c>
      <c r="E72" s="12" t="e">
        <f>ConvertOsiris!L66</f>
        <v>#REF!</v>
      </c>
      <c r="F72" s="11" t="s">
        <v>9</v>
      </c>
      <c r="G72" s="11" t="e">
        <f>ConvertOsiris!M66</f>
        <v>#REF!</v>
      </c>
      <c r="H72" s="26"/>
      <c r="I72" s="12" t="e">
        <f t="shared" ref="I72:I135" si="1">IF(B72=0,"//---- END",CONCATENATE("* ",B72, " ",E72,"..",F72," ",G72," ##34#",C72,"##34# ##334#",D72,"##334#"))</f>
        <v>#REF!</v>
      </c>
    </row>
    <row r="73" spans="1:9" ht="44.25" x14ac:dyDescent="0.75">
      <c r="A73" s="11">
        <v>66</v>
      </c>
      <c r="B73" s="11" t="e">
        <f>ConvertOsiris!I67</f>
        <v>#REF!</v>
      </c>
      <c r="C73" s="12" t="e">
        <f>ConvertOsiris!J67</f>
        <v>#REF!</v>
      </c>
      <c r="D73" s="12" t="e">
        <f>ConvertOsiris!K67</f>
        <v>#REF!</v>
      </c>
      <c r="E73" s="12" t="e">
        <f>ConvertOsiris!L67</f>
        <v>#REF!</v>
      </c>
      <c r="F73" s="11" t="s">
        <v>9</v>
      </c>
      <c r="G73" s="11" t="e">
        <f>ConvertOsiris!M67</f>
        <v>#REF!</v>
      </c>
      <c r="H73" s="26"/>
      <c r="I73" s="12" t="e">
        <f t="shared" si="1"/>
        <v>#REF!</v>
      </c>
    </row>
    <row r="74" spans="1:9" ht="44.25" x14ac:dyDescent="0.75">
      <c r="A74" s="11">
        <v>67</v>
      </c>
      <c r="B74" s="11" t="e">
        <f>ConvertOsiris!I68</f>
        <v>#REF!</v>
      </c>
      <c r="C74" s="12" t="e">
        <f>ConvertOsiris!J68</f>
        <v>#REF!</v>
      </c>
      <c r="D74" s="12" t="e">
        <f>ConvertOsiris!K68</f>
        <v>#REF!</v>
      </c>
      <c r="E74" s="12" t="e">
        <f>ConvertOsiris!L68</f>
        <v>#REF!</v>
      </c>
      <c r="F74" s="11" t="s">
        <v>9</v>
      </c>
      <c r="G74" s="11" t="e">
        <f>ConvertOsiris!M68</f>
        <v>#REF!</v>
      </c>
      <c r="H74" s="26"/>
      <c r="I74" s="12" t="e">
        <f t="shared" si="1"/>
        <v>#REF!</v>
      </c>
    </row>
    <row r="75" spans="1:9" ht="44.25" x14ac:dyDescent="0.75">
      <c r="A75" s="11">
        <v>68</v>
      </c>
      <c r="B75" s="11" t="e">
        <f>ConvertOsiris!I69</f>
        <v>#REF!</v>
      </c>
      <c r="C75" s="12" t="e">
        <f>ConvertOsiris!J69</f>
        <v>#REF!</v>
      </c>
      <c r="D75" s="12" t="e">
        <f>ConvertOsiris!K69</f>
        <v>#REF!</v>
      </c>
      <c r="E75" s="12" t="e">
        <f>ConvertOsiris!L69</f>
        <v>#REF!</v>
      </c>
      <c r="F75" s="11" t="s">
        <v>9</v>
      </c>
      <c r="G75" s="11" t="e">
        <f>ConvertOsiris!M69</f>
        <v>#REF!</v>
      </c>
      <c r="H75" s="26"/>
      <c r="I75" s="12" t="e">
        <f t="shared" si="1"/>
        <v>#REF!</v>
      </c>
    </row>
    <row r="76" spans="1:9" x14ac:dyDescent="0.75">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x14ac:dyDescent="0.75">
      <c r="A77" s="11">
        <v>70</v>
      </c>
      <c r="B77" s="11" t="e">
        <f>ConvertOsiris!I71</f>
        <v>#REF!</v>
      </c>
      <c r="C77" s="12" t="e">
        <f>ConvertOsiris!J71</f>
        <v>#REF!</v>
      </c>
      <c r="D77" s="12" t="e">
        <f>ConvertOsiris!K71</f>
        <v>#REF!</v>
      </c>
      <c r="E77" s="12" t="e">
        <f>ConvertOsiris!L71</f>
        <v>#REF!</v>
      </c>
      <c r="F77" s="11" t="s">
        <v>9</v>
      </c>
      <c r="G77" s="11" t="e">
        <f>ConvertOsiris!M71</f>
        <v>#REF!</v>
      </c>
      <c r="H77" s="26"/>
      <c r="I77" s="12" t="e">
        <f t="shared" si="1"/>
        <v>#REF!</v>
      </c>
    </row>
    <row r="78" spans="1:9" ht="29.5" x14ac:dyDescent="0.75">
      <c r="A78" s="11">
        <v>71</v>
      </c>
      <c r="B78" s="11" t="e">
        <f>ConvertOsiris!I72</f>
        <v>#REF!</v>
      </c>
      <c r="C78" s="12" t="e">
        <f>ConvertOsiris!J72</f>
        <v>#REF!</v>
      </c>
      <c r="D78" s="12" t="e">
        <f>ConvertOsiris!K72</f>
        <v>#REF!</v>
      </c>
      <c r="E78" s="12" t="e">
        <f>ConvertOsiris!L72</f>
        <v>#REF!</v>
      </c>
      <c r="F78" s="11" t="s">
        <v>9</v>
      </c>
      <c r="G78" s="11" t="e">
        <f>ConvertOsiris!M72</f>
        <v>#REF!</v>
      </c>
      <c r="H78" s="26"/>
      <c r="I78" s="12" t="e">
        <f t="shared" si="1"/>
        <v>#REF!</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x14ac:dyDescent="0.75">
      <c r="A80" s="11">
        <v>73</v>
      </c>
      <c r="B80" s="11" t="e">
        <f>ConvertOsiris!I74</f>
        <v>#REF!</v>
      </c>
      <c r="C80" s="12" t="e">
        <f>ConvertOsiris!J74</f>
        <v>#REF!</v>
      </c>
      <c r="D80" s="12" t="e">
        <f>ConvertOsiris!K74</f>
        <v>#REF!</v>
      </c>
      <c r="E80" s="12" t="e">
        <f>ConvertOsiris!L74</f>
        <v>#REF!</v>
      </c>
      <c r="F80" s="11" t="s">
        <v>9</v>
      </c>
      <c r="G80" s="11" t="e">
        <f>ConvertOsiris!M74</f>
        <v>#REF!</v>
      </c>
      <c r="H80" s="26"/>
      <c r="I80" s="12" t="e">
        <f t="shared" si="1"/>
        <v>#REF!</v>
      </c>
    </row>
    <row r="81" spans="1:9" ht="59" x14ac:dyDescent="0.75">
      <c r="A81" s="11">
        <v>74</v>
      </c>
      <c r="B81" s="11" t="e">
        <f>ConvertOsiris!I75</f>
        <v>#REF!</v>
      </c>
      <c r="C81" s="12" t="e">
        <f>ConvertOsiris!J75</f>
        <v>#REF!</v>
      </c>
      <c r="D81" s="12" t="e">
        <f>ConvertOsiris!K75</f>
        <v>#REF!</v>
      </c>
      <c r="E81" s="12" t="e">
        <f>ConvertOsiris!L75</f>
        <v>#REF!</v>
      </c>
      <c r="F81" s="11" t="s">
        <v>9</v>
      </c>
      <c r="G81" s="11" t="e">
        <f>ConvertOsiris!M75</f>
        <v>#REF!</v>
      </c>
      <c r="H81" s="26"/>
      <c r="I81" s="12" t="e">
        <f t="shared" si="1"/>
        <v>#REF!</v>
      </c>
    </row>
    <row r="82" spans="1:9" ht="44.25" x14ac:dyDescent="0.75">
      <c r="A82" s="11">
        <v>75</v>
      </c>
      <c r="B82" s="11" t="e">
        <f>ConvertOsiris!I76</f>
        <v>#REF!</v>
      </c>
      <c r="C82" s="12" t="e">
        <f>ConvertOsiris!J76</f>
        <v>#REF!</v>
      </c>
      <c r="D82" s="12" t="e">
        <f>ConvertOsiris!K76</f>
        <v>#REF!</v>
      </c>
      <c r="E82" s="12" t="e">
        <f>ConvertOsiris!L76</f>
        <v>#REF!</v>
      </c>
      <c r="F82" s="11" t="s">
        <v>9</v>
      </c>
      <c r="G82" s="11" t="e">
        <f>ConvertOsiris!M76</f>
        <v>#REF!</v>
      </c>
      <c r="H82" s="26"/>
      <c r="I82" s="12" t="e">
        <f t="shared" si="1"/>
        <v>#REF!</v>
      </c>
    </row>
    <row r="83" spans="1:9" ht="59" x14ac:dyDescent="0.75">
      <c r="A83" s="11">
        <v>76</v>
      </c>
      <c r="B83" s="11" t="e">
        <f>ConvertOsiris!I77</f>
        <v>#REF!</v>
      </c>
      <c r="C83" s="12" t="e">
        <f>ConvertOsiris!J77</f>
        <v>#REF!</v>
      </c>
      <c r="D83" s="12" t="e">
        <f>ConvertOsiris!K77</f>
        <v>#REF!</v>
      </c>
      <c r="E83" s="12" t="e">
        <f>ConvertOsiris!L77</f>
        <v>#REF!</v>
      </c>
      <c r="F83" s="11" t="s">
        <v>9</v>
      </c>
      <c r="G83" s="11" t="e">
        <f>ConvertOsiris!M77</f>
        <v>#REF!</v>
      </c>
      <c r="H83" s="26"/>
      <c r="I83" s="12" t="e">
        <f t="shared" si="1"/>
        <v>#REF!</v>
      </c>
    </row>
    <row r="84" spans="1:9" ht="59" x14ac:dyDescent="0.75">
      <c r="A84" s="11">
        <v>77</v>
      </c>
      <c r="B84" s="11" t="e">
        <f>ConvertOsiris!I78</f>
        <v>#REF!</v>
      </c>
      <c r="C84" s="12" t="e">
        <f>ConvertOsiris!J78</f>
        <v>#REF!</v>
      </c>
      <c r="D84" s="12" t="e">
        <f>ConvertOsiris!K78</f>
        <v>#REF!</v>
      </c>
      <c r="E84" s="12" t="e">
        <f>ConvertOsiris!L78</f>
        <v>#REF!</v>
      </c>
      <c r="F84" s="11" t="s">
        <v>9</v>
      </c>
      <c r="G84" s="11" t="e">
        <f>ConvertOsiris!M78</f>
        <v>#REF!</v>
      </c>
      <c r="H84" s="26"/>
      <c r="I84" s="12" t="e">
        <f t="shared" si="1"/>
        <v>#REF!</v>
      </c>
    </row>
    <row r="85" spans="1:9" ht="59" x14ac:dyDescent="0.75">
      <c r="A85" s="11">
        <v>78</v>
      </c>
      <c r="B85" s="11" t="e">
        <f>ConvertOsiris!I79</f>
        <v>#REF!</v>
      </c>
      <c r="C85" s="12" t="e">
        <f>ConvertOsiris!J79</f>
        <v>#REF!</v>
      </c>
      <c r="D85" s="12" t="e">
        <f>ConvertOsiris!K79</f>
        <v>#REF!</v>
      </c>
      <c r="E85" s="12" t="e">
        <f>ConvertOsiris!L79</f>
        <v>#REF!</v>
      </c>
      <c r="F85" s="11" t="s">
        <v>9</v>
      </c>
      <c r="G85" s="11" t="e">
        <f>ConvertOsiris!M79</f>
        <v>#REF!</v>
      </c>
      <c r="H85" s="26"/>
      <c r="I85" s="12" t="e">
        <f t="shared" si="1"/>
        <v>#REF!</v>
      </c>
    </row>
    <row r="86" spans="1:9" ht="59" x14ac:dyDescent="0.75">
      <c r="A86" s="11">
        <v>79</v>
      </c>
      <c r="B86" s="11" t="e">
        <f>ConvertOsiris!I80</f>
        <v>#REF!</v>
      </c>
      <c r="C86" s="12" t="e">
        <f>ConvertOsiris!J80</f>
        <v>#REF!</v>
      </c>
      <c r="D86" s="12" t="e">
        <f>ConvertOsiris!K80</f>
        <v>#REF!</v>
      </c>
      <c r="E86" s="12" t="e">
        <f>ConvertOsiris!L80</f>
        <v>#REF!</v>
      </c>
      <c r="F86" s="11" t="s">
        <v>9</v>
      </c>
      <c r="G86" s="11" t="e">
        <f>ConvertOsiris!M80</f>
        <v>#REF!</v>
      </c>
      <c r="H86" s="26"/>
      <c r="I86" s="12" t="e">
        <f t="shared" si="1"/>
        <v>#REF!</v>
      </c>
    </row>
    <row r="87" spans="1:9" ht="44.25" x14ac:dyDescent="0.75">
      <c r="A87" s="11">
        <v>80</v>
      </c>
      <c r="B87" s="11" t="e">
        <f>ConvertOsiris!I81</f>
        <v>#REF!</v>
      </c>
      <c r="C87" s="12" t="e">
        <f>ConvertOsiris!J81</f>
        <v>#REF!</v>
      </c>
      <c r="D87" s="12" t="e">
        <f>ConvertOsiris!K81</f>
        <v>#REF!</v>
      </c>
      <c r="E87" s="12" t="e">
        <f>ConvertOsiris!L81</f>
        <v>#REF!</v>
      </c>
      <c r="F87" s="11" t="s">
        <v>9</v>
      </c>
      <c r="G87" s="11" t="e">
        <f>ConvertOsiris!M81</f>
        <v>#REF!</v>
      </c>
      <c r="H87" s="26"/>
      <c r="I87" s="12" t="e">
        <f t="shared" si="1"/>
        <v>#REF!</v>
      </c>
    </row>
    <row r="88" spans="1:9" ht="29.5" x14ac:dyDescent="0.7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x14ac:dyDescent="0.75">
      <c r="A89" s="11">
        <v>82</v>
      </c>
      <c r="B89" s="11" t="e">
        <f>ConvertOsiris!I83</f>
        <v>#REF!</v>
      </c>
      <c r="C89" s="12" t="e">
        <f>ConvertOsiris!J83</f>
        <v>#REF!</v>
      </c>
      <c r="D89" s="12" t="e">
        <f>ConvertOsiris!K83</f>
        <v>#REF!</v>
      </c>
      <c r="E89" s="12" t="e">
        <f>ConvertOsiris!L83</f>
        <v>#REF!</v>
      </c>
      <c r="F89" s="11" t="s">
        <v>9</v>
      </c>
      <c r="G89" s="11" t="e">
        <f>ConvertOsiris!M83</f>
        <v>#REF!</v>
      </c>
      <c r="H89" s="26"/>
      <c r="I89" s="12" t="e">
        <f t="shared" si="1"/>
        <v>#REF!</v>
      </c>
    </row>
    <row r="90" spans="1:9" ht="59" x14ac:dyDescent="0.75">
      <c r="A90" s="11">
        <v>83</v>
      </c>
      <c r="B90" s="11" t="e">
        <f>ConvertOsiris!I84</f>
        <v>#REF!</v>
      </c>
      <c r="C90" s="12" t="e">
        <f>ConvertOsiris!J84</f>
        <v>#REF!</v>
      </c>
      <c r="D90" s="12" t="e">
        <f>ConvertOsiris!K84</f>
        <v>#REF!</v>
      </c>
      <c r="E90" s="12" t="e">
        <f>ConvertOsiris!L84</f>
        <v>#REF!</v>
      </c>
      <c r="F90" s="11" t="s">
        <v>9</v>
      </c>
      <c r="G90" s="11" t="e">
        <f>ConvertOsiris!M84</f>
        <v>#REF!</v>
      </c>
      <c r="H90" s="26"/>
      <c r="I90" s="12" t="e">
        <f t="shared" si="1"/>
        <v>#REF!</v>
      </c>
    </row>
    <row r="91" spans="1:9" ht="44.25" x14ac:dyDescent="0.75">
      <c r="A91" s="11">
        <v>84</v>
      </c>
      <c r="B91" s="11" t="e">
        <f>ConvertOsiris!I85</f>
        <v>#REF!</v>
      </c>
      <c r="C91" s="12" t="e">
        <f>ConvertOsiris!J85</f>
        <v>#REF!</v>
      </c>
      <c r="D91" s="12" t="e">
        <f>ConvertOsiris!K85</f>
        <v>#REF!</v>
      </c>
      <c r="E91" s="12" t="e">
        <f>ConvertOsiris!L85</f>
        <v>#REF!</v>
      </c>
      <c r="F91" s="11" t="s">
        <v>9</v>
      </c>
      <c r="G91" s="11" t="e">
        <f>ConvertOsiris!M85</f>
        <v>#REF!</v>
      </c>
      <c r="H91" s="26"/>
      <c r="I91" s="12" t="e">
        <f t="shared" si="1"/>
        <v>#REF!</v>
      </c>
    </row>
    <row r="92" spans="1:9" ht="44.25" x14ac:dyDescent="0.75">
      <c r="A92" s="11">
        <v>85</v>
      </c>
      <c r="B92" s="11" t="e">
        <f>ConvertOsiris!I86</f>
        <v>#REF!</v>
      </c>
      <c r="C92" s="12" t="e">
        <f>ConvertOsiris!J86</f>
        <v>#REF!</v>
      </c>
      <c r="D92" s="12" t="e">
        <f>ConvertOsiris!K86</f>
        <v>#REF!</v>
      </c>
      <c r="E92" s="12" t="e">
        <f>ConvertOsiris!L86</f>
        <v>#REF!</v>
      </c>
      <c r="F92" s="11" t="s">
        <v>9</v>
      </c>
      <c r="G92" s="11" t="e">
        <f>ConvertOsiris!M86</f>
        <v>#REF!</v>
      </c>
      <c r="H92" s="26"/>
      <c r="I92" s="12" t="e">
        <f t="shared" si="1"/>
        <v>#REF!</v>
      </c>
    </row>
    <row r="93" spans="1:9" x14ac:dyDescent="0.75">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x14ac:dyDescent="0.75">
      <c r="A94" s="11">
        <v>87</v>
      </c>
      <c r="B94" s="11" t="e">
        <f>ConvertOsiris!I88</f>
        <v>#REF!</v>
      </c>
      <c r="C94" s="12" t="e">
        <f>ConvertOsiris!J88</f>
        <v>#REF!</v>
      </c>
      <c r="D94" s="12" t="e">
        <f>ConvertOsiris!K88</f>
        <v>#REF!</v>
      </c>
      <c r="E94" s="12" t="e">
        <f>ConvertOsiris!L88</f>
        <v>#REF!</v>
      </c>
      <c r="F94" s="11" t="s">
        <v>9</v>
      </c>
      <c r="G94" s="11" t="e">
        <f>ConvertOsiris!M88</f>
        <v>#REF!</v>
      </c>
      <c r="H94" s="26"/>
      <c r="I94" s="12" t="e">
        <f t="shared" si="1"/>
        <v>#REF!</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x14ac:dyDescent="0.75">
      <c r="A96" s="11">
        <v>89</v>
      </c>
      <c r="B96" s="11" t="e">
        <f>ConvertOsiris!I90</f>
        <v>#REF!</v>
      </c>
      <c r="C96" s="12" t="e">
        <f>ConvertOsiris!J90</f>
        <v>#REF!</v>
      </c>
      <c r="D96" s="12" t="e">
        <f>ConvertOsiris!K90</f>
        <v>#REF!</v>
      </c>
      <c r="E96" s="12" t="e">
        <f>ConvertOsiris!L90</f>
        <v>#REF!</v>
      </c>
      <c r="F96" s="11" t="s">
        <v>9</v>
      </c>
      <c r="G96" s="11" t="e">
        <f>ConvertOsiris!M90</f>
        <v>#REF!</v>
      </c>
      <c r="H96" s="26"/>
      <c r="I96" s="12" t="e">
        <f t="shared" si="1"/>
        <v>#REF!</v>
      </c>
    </row>
    <row r="97" spans="1:9" ht="29.5" x14ac:dyDescent="0.7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x14ac:dyDescent="0.75">
      <c r="A98" s="11">
        <v>91</v>
      </c>
      <c r="B98" s="11" t="e">
        <f>ConvertOsiris!I92</f>
        <v>#REF!</v>
      </c>
      <c r="C98" s="12" t="e">
        <f>ConvertOsiris!J92</f>
        <v>#REF!</v>
      </c>
      <c r="D98" s="12" t="e">
        <f>ConvertOsiris!K92</f>
        <v>#REF!</v>
      </c>
      <c r="E98" s="12" t="e">
        <f>ConvertOsiris!L92</f>
        <v>#REF!</v>
      </c>
      <c r="F98" s="11" t="s">
        <v>9</v>
      </c>
      <c r="G98" s="11" t="e">
        <f>ConvertOsiris!M92</f>
        <v>#REF!</v>
      </c>
      <c r="H98" s="26"/>
      <c r="I98" s="12" t="e">
        <f t="shared" si="1"/>
        <v>#REF!</v>
      </c>
    </row>
    <row r="99" spans="1:9" ht="73.75" x14ac:dyDescent="0.75">
      <c r="A99" s="11">
        <v>92</v>
      </c>
      <c r="B99" s="11" t="e">
        <f>ConvertOsiris!I93</f>
        <v>#REF!</v>
      </c>
      <c r="C99" s="12" t="e">
        <f>ConvertOsiris!J93</f>
        <v>#REF!</v>
      </c>
      <c r="D99" s="12" t="e">
        <f>ConvertOsiris!K93</f>
        <v>#REF!</v>
      </c>
      <c r="E99" s="12" t="e">
        <f>ConvertOsiris!L93</f>
        <v>#REF!</v>
      </c>
      <c r="F99" s="11" t="s">
        <v>9</v>
      </c>
      <c r="G99" s="11" t="e">
        <f>ConvertOsiris!M93</f>
        <v>#REF!</v>
      </c>
      <c r="H99" s="26"/>
      <c r="I99" s="12" t="e">
        <f t="shared" si="1"/>
        <v>#REF!</v>
      </c>
    </row>
    <row r="100" spans="1:9" ht="59" x14ac:dyDescent="0.75">
      <c r="A100" s="11">
        <v>93</v>
      </c>
      <c r="B100" s="11" t="e">
        <f>ConvertOsiris!I94</f>
        <v>#REF!</v>
      </c>
      <c r="C100" s="12" t="e">
        <f>ConvertOsiris!J94</f>
        <v>#REF!</v>
      </c>
      <c r="D100" s="12" t="e">
        <f>ConvertOsiris!K94</f>
        <v>#REF!</v>
      </c>
      <c r="E100" s="12" t="e">
        <f>ConvertOsiris!L94</f>
        <v>#REF!</v>
      </c>
      <c r="F100" s="11" t="s">
        <v>9</v>
      </c>
      <c r="G100" s="11" t="e">
        <f>ConvertOsiris!M94</f>
        <v>#REF!</v>
      </c>
      <c r="H100" s="26"/>
      <c r="I100" s="12" t="e">
        <f t="shared" si="1"/>
        <v>#REF!</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x14ac:dyDescent="0.75">
      <c r="A102" s="11">
        <v>95</v>
      </c>
      <c r="B102" s="11" t="e">
        <f>ConvertOsiris!I96</f>
        <v>#REF!</v>
      </c>
      <c r="C102" s="12" t="e">
        <f>ConvertOsiris!J96</f>
        <v>#REF!</v>
      </c>
      <c r="D102" s="12" t="e">
        <f>ConvertOsiris!K96</f>
        <v>#REF!</v>
      </c>
      <c r="E102" s="12" t="e">
        <f>ConvertOsiris!L96</f>
        <v>#REF!</v>
      </c>
      <c r="F102" s="11" t="s">
        <v>9</v>
      </c>
      <c r="G102" s="11" t="e">
        <f>ConvertOsiris!M96</f>
        <v>#REF!</v>
      </c>
      <c r="H102" s="26"/>
      <c r="I102" s="12" t="e">
        <f t="shared" si="1"/>
        <v>#REF!</v>
      </c>
    </row>
    <row r="103" spans="1:9" ht="73.75" x14ac:dyDescent="0.75">
      <c r="A103" s="11">
        <v>96</v>
      </c>
      <c r="B103" s="11" t="e">
        <f>ConvertOsiris!I97</f>
        <v>#REF!</v>
      </c>
      <c r="C103" s="12" t="e">
        <f>ConvertOsiris!J97</f>
        <v>#REF!</v>
      </c>
      <c r="D103" s="12" t="e">
        <f>ConvertOsiris!K97</f>
        <v>#REF!</v>
      </c>
      <c r="E103" s="12" t="e">
        <f>ConvertOsiris!L97</f>
        <v>#REF!</v>
      </c>
      <c r="F103" s="11" t="s">
        <v>9</v>
      </c>
      <c r="G103" s="11" t="e">
        <f>ConvertOsiris!M97</f>
        <v>#REF!</v>
      </c>
      <c r="H103" s="26"/>
      <c r="I103" s="12" t="e">
        <f t="shared" si="1"/>
        <v>#REF!</v>
      </c>
    </row>
    <row r="104" spans="1:9" ht="73.75" x14ac:dyDescent="0.75">
      <c r="A104" s="11">
        <v>97</v>
      </c>
      <c r="B104" s="11" t="e">
        <f>ConvertOsiris!I98</f>
        <v>#REF!</v>
      </c>
      <c r="C104" s="12" t="e">
        <f>ConvertOsiris!J98</f>
        <v>#REF!</v>
      </c>
      <c r="D104" s="12" t="e">
        <f>ConvertOsiris!K98</f>
        <v>#REF!</v>
      </c>
      <c r="E104" s="12" t="e">
        <f>ConvertOsiris!L98</f>
        <v>#REF!</v>
      </c>
      <c r="F104" s="11" t="s">
        <v>9</v>
      </c>
      <c r="G104" s="11" t="e">
        <f>ConvertOsiris!M98</f>
        <v>#REF!</v>
      </c>
      <c r="H104" s="26"/>
      <c r="I104" s="12" t="e">
        <f t="shared" si="1"/>
        <v>#REF!</v>
      </c>
    </row>
    <row r="105" spans="1:9" ht="73.75" x14ac:dyDescent="0.75">
      <c r="A105" s="11">
        <v>98</v>
      </c>
      <c r="B105" s="11" t="e">
        <f>ConvertOsiris!I99</f>
        <v>#REF!</v>
      </c>
      <c r="C105" s="12" t="e">
        <f>ConvertOsiris!J99</f>
        <v>#REF!</v>
      </c>
      <c r="D105" s="12" t="e">
        <f>ConvertOsiris!K99</f>
        <v>#REF!</v>
      </c>
      <c r="E105" s="12" t="e">
        <f>ConvertOsiris!L99</f>
        <v>#REF!</v>
      </c>
      <c r="F105" s="11" t="s">
        <v>9</v>
      </c>
      <c r="G105" s="11" t="e">
        <f>ConvertOsiris!M99</f>
        <v>#REF!</v>
      </c>
      <c r="H105" s="26"/>
      <c r="I105" s="12" t="e">
        <f t="shared" si="1"/>
        <v>#REF!</v>
      </c>
    </row>
    <row r="106" spans="1:9" ht="29.5" x14ac:dyDescent="0.7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x14ac:dyDescent="0.75">
      <c r="A107" s="11">
        <v>100</v>
      </c>
      <c r="B107" s="11" t="e">
        <f>ConvertOsiris!I101</f>
        <v>#REF!</v>
      </c>
      <c r="C107" s="12" t="e">
        <f>ConvertOsiris!J101</f>
        <v>#REF!</v>
      </c>
      <c r="D107" s="12" t="e">
        <f>ConvertOsiris!K101</f>
        <v>#REF!</v>
      </c>
      <c r="E107" s="12" t="e">
        <f>ConvertOsiris!L101</f>
        <v>#REF!</v>
      </c>
      <c r="F107" s="11" t="s">
        <v>9</v>
      </c>
      <c r="G107" s="11" t="e">
        <f>ConvertOsiris!M101</f>
        <v>#REF!</v>
      </c>
      <c r="H107" s="26"/>
      <c r="I107" s="12" t="e">
        <f t="shared" si="1"/>
        <v>#REF!</v>
      </c>
    </row>
    <row r="108" spans="1:9" ht="44.25" x14ac:dyDescent="0.75">
      <c r="A108" s="11">
        <v>101</v>
      </c>
      <c r="B108" s="11" t="e">
        <f>ConvertOsiris!I102</f>
        <v>#REF!</v>
      </c>
      <c r="C108" s="12" t="e">
        <f>ConvertOsiris!J102</f>
        <v>#REF!</v>
      </c>
      <c r="D108" s="12" t="e">
        <f>ConvertOsiris!K102</f>
        <v>#REF!</v>
      </c>
      <c r="E108" s="12" t="e">
        <f>ConvertOsiris!L102</f>
        <v>#REF!</v>
      </c>
      <c r="F108" s="11" t="s">
        <v>9</v>
      </c>
      <c r="G108" s="11" t="e">
        <f>ConvertOsiris!M102</f>
        <v>#REF!</v>
      </c>
      <c r="H108" s="26"/>
      <c r="I108" s="12" t="e">
        <f t="shared" si="1"/>
        <v>#REF!</v>
      </c>
    </row>
    <row r="109" spans="1:9" ht="59" x14ac:dyDescent="0.75">
      <c r="A109" s="11">
        <v>102</v>
      </c>
      <c r="B109" s="11" t="e">
        <f>ConvertOsiris!I103</f>
        <v>#REF!</v>
      </c>
      <c r="C109" s="12" t="e">
        <f>ConvertOsiris!J103</f>
        <v>#REF!</v>
      </c>
      <c r="D109" s="12" t="e">
        <f>ConvertOsiris!K103</f>
        <v>#REF!</v>
      </c>
      <c r="E109" s="12" t="e">
        <f>ConvertOsiris!L103</f>
        <v>#REF!</v>
      </c>
      <c r="F109" s="11" t="s">
        <v>9</v>
      </c>
      <c r="G109" s="11" t="e">
        <f>ConvertOsiris!M103</f>
        <v>#REF!</v>
      </c>
      <c r="H109" s="26"/>
      <c r="I109" s="12" t="e">
        <f t="shared" si="1"/>
        <v>#REF!</v>
      </c>
    </row>
    <row r="110" spans="1:9" ht="29.5" x14ac:dyDescent="0.7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x14ac:dyDescent="0.75">
      <c r="A111" s="11">
        <v>104</v>
      </c>
      <c r="B111" s="11" t="e">
        <f>ConvertOsiris!I105</f>
        <v>#REF!</v>
      </c>
      <c r="C111" s="12" t="e">
        <f>ConvertOsiris!J105</f>
        <v>#REF!</v>
      </c>
      <c r="D111" s="12" t="e">
        <f>ConvertOsiris!K105</f>
        <v>#REF!</v>
      </c>
      <c r="E111" s="12" t="e">
        <f>ConvertOsiris!L105</f>
        <v>#REF!</v>
      </c>
      <c r="F111" s="11" t="s">
        <v>9</v>
      </c>
      <c r="G111" s="11" t="e">
        <f>ConvertOsiris!M105</f>
        <v>#REF!</v>
      </c>
      <c r="H111" s="26"/>
      <c r="I111" s="12" t="e">
        <f t="shared" si="1"/>
        <v>#REF!</v>
      </c>
    </row>
    <row r="112" spans="1:9" ht="59" x14ac:dyDescent="0.75">
      <c r="A112" s="11">
        <v>105</v>
      </c>
      <c r="B112" s="11" t="e">
        <f>ConvertOsiris!I106</f>
        <v>#REF!</v>
      </c>
      <c r="C112" s="12" t="e">
        <f>ConvertOsiris!J106</f>
        <v>#REF!</v>
      </c>
      <c r="D112" s="12" t="e">
        <f>ConvertOsiris!K106</f>
        <v>#REF!</v>
      </c>
      <c r="E112" s="12" t="e">
        <f>ConvertOsiris!L106</f>
        <v>#REF!</v>
      </c>
      <c r="F112" s="11" t="s">
        <v>9</v>
      </c>
      <c r="G112" s="11" t="e">
        <f>ConvertOsiris!M106</f>
        <v>#REF!</v>
      </c>
      <c r="H112" s="26"/>
      <c r="I112" s="12" t="e">
        <f t="shared" si="1"/>
        <v>#REF!</v>
      </c>
    </row>
    <row r="113" spans="1:9" ht="59" x14ac:dyDescent="0.75">
      <c r="A113" s="11">
        <v>106</v>
      </c>
      <c r="B113" s="11" t="e">
        <f>ConvertOsiris!I107</f>
        <v>#REF!</v>
      </c>
      <c r="C113" s="12" t="e">
        <f>ConvertOsiris!J107</f>
        <v>#REF!</v>
      </c>
      <c r="D113" s="12" t="e">
        <f>ConvertOsiris!K107</f>
        <v>#REF!</v>
      </c>
      <c r="E113" s="12" t="e">
        <f>ConvertOsiris!L107</f>
        <v>#REF!</v>
      </c>
      <c r="F113" s="11" t="s">
        <v>9</v>
      </c>
      <c r="G113" s="11" t="e">
        <f>ConvertOsiris!M107</f>
        <v>#REF!</v>
      </c>
      <c r="H113" s="26"/>
      <c r="I113" s="12" t="e">
        <f t="shared" si="1"/>
        <v>#REF!</v>
      </c>
    </row>
    <row r="114" spans="1:9" ht="59" x14ac:dyDescent="0.75">
      <c r="A114" s="11">
        <v>107</v>
      </c>
      <c r="B114" s="11" t="e">
        <f>ConvertOsiris!I108</f>
        <v>#REF!</v>
      </c>
      <c r="C114" s="12" t="e">
        <f>ConvertOsiris!J108</f>
        <v>#REF!</v>
      </c>
      <c r="D114" s="12" t="e">
        <f>ConvertOsiris!K108</f>
        <v>#REF!</v>
      </c>
      <c r="E114" s="12" t="e">
        <f>ConvertOsiris!L108</f>
        <v>#REF!</v>
      </c>
      <c r="F114" s="11" t="s">
        <v>9</v>
      </c>
      <c r="G114" s="11" t="e">
        <f>ConvertOsiris!M108</f>
        <v>#REF!</v>
      </c>
      <c r="H114" s="26"/>
      <c r="I114" s="12" t="e">
        <f t="shared" si="1"/>
        <v>#REF!</v>
      </c>
    </row>
    <row r="115" spans="1:9" ht="44.25" x14ac:dyDescent="0.75">
      <c r="A115" s="11">
        <v>108</v>
      </c>
      <c r="B115" s="11" t="e">
        <f>ConvertOsiris!I109</f>
        <v>#REF!</v>
      </c>
      <c r="C115" s="12" t="e">
        <f>ConvertOsiris!J109</f>
        <v>#REF!</v>
      </c>
      <c r="D115" s="12" t="e">
        <f>ConvertOsiris!K109</f>
        <v>#REF!</v>
      </c>
      <c r="E115" s="12" t="e">
        <f>ConvertOsiris!L109</f>
        <v>#REF!</v>
      </c>
      <c r="F115" s="11" t="s">
        <v>9</v>
      </c>
      <c r="G115" s="11" t="e">
        <f>ConvertOsiris!M109</f>
        <v>#REF!</v>
      </c>
      <c r="H115" s="26"/>
      <c r="I115" s="12" t="e">
        <f t="shared" si="1"/>
        <v>#REF!</v>
      </c>
    </row>
    <row r="116" spans="1:9" ht="29.5" x14ac:dyDescent="0.75">
      <c r="A116" s="11">
        <v>109</v>
      </c>
      <c r="B116" s="11" t="e">
        <f>ConvertOsiris!I110</f>
        <v>#REF!</v>
      </c>
      <c r="C116" s="12" t="e">
        <f>ConvertOsiris!J110</f>
        <v>#REF!</v>
      </c>
      <c r="D116" s="12" t="e">
        <f>ConvertOsiris!K110</f>
        <v>#REF!</v>
      </c>
      <c r="E116" s="12">
        <f>ConvertOsiris!L110</f>
        <v>1</v>
      </c>
      <c r="F116" s="11" t="s">
        <v>9</v>
      </c>
      <c r="G116" s="11" t="str">
        <f>ConvertOsiris!M110</f>
        <v>BackboneElement</v>
      </c>
      <c r="H116" s="26"/>
      <c r="I116" s="12" t="e">
        <f t="shared" si="1"/>
        <v>#REF!</v>
      </c>
    </row>
    <row r="117" spans="1:9" ht="59" x14ac:dyDescent="0.75">
      <c r="A117" s="11">
        <v>110</v>
      </c>
      <c r="B117" s="11" t="e">
        <f>ConvertOsiris!I111</f>
        <v>#REF!</v>
      </c>
      <c r="C117" s="12" t="e">
        <f>ConvertOsiris!J111</f>
        <v>#REF!</v>
      </c>
      <c r="D117" s="12" t="e">
        <f>ConvertOsiris!K111</f>
        <v>#REF!</v>
      </c>
      <c r="E117" s="12" t="e">
        <f>ConvertOsiris!L111</f>
        <v>#REF!</v>
      </c>
      <c r="F117" s="11" t="s">
        <v>9</v>
      </c>
      <c r="G117" s="11" t="e">
        <f>ConvertOsiris!M111</f>
        <v>#REF!</v>
      </c>
      <c r="H117" s="26"/>
      <c r="I117" s="12" t="e">
        <f t="shared" si="1"/>
        <v>#REF!</v>
      </c>
    </row>
    <row r="118" spans="1:9" ht="59" x14ac:dyDescent="0.75">
      <c r="A118" s="11">
        <v>111</v>
      </c>
      <c r="B118" s="11" t="e">
        <f>ConvertOsiris!I112</f>
        <v>#REF!</v>
      </c>
      <c r="C118" s="12" t="e">
        <f>ConvertOsiris!J112</f>
        <v>#REF!</v>
      </c>
      <c r="D118" s="12" t="e">
        <f>ConvertOsiris!K112</f>
        <v>#REF!</v>
      </c>
      <c r="E118" s="12" t="e">
        <f>ConvertOsiris!L112</f>
        <v>#REF!</v>
      </c>
      <c r="F118" s="11" t="s">
        <v>9</v>
      </c>
      <c r="G118" s="11" t="e">
        <f>ConvertOsiris!M112</f>
        <v>#REF!</v>
      </c>
      <c r="H118" s="26"/>
      <c r="I118" s="12" t="e">
        <f t="shared" si="1"/>
        <v>#REF!</v>
      </c>
    </row>
    <row r="119" spans="1:9" ht="44.25" x14ac:dyDescent="0.75">
      <c r="A119" s="11">
        <v>112</v>
      </c>
      <c r="B119" s="11" t="e">
        <f>ConvertOsiris!I113</f>
        <v>#REF!</v>
      </c>
      <c r="C119" s="12" t="e">
        <f>ConvertOsiris!J113</f>
        <v>#REF!</v>
      </c>
      <c r="D119" s="12" t="e">
        <f>ConvertOsiris!K113</f>
        <v>#REF!</v>
      </c>
      <c r="E119" s="12" t="e">
        <f>ConvertOsiris!L113</f>
        <v>#REF!</v>
      </c>
      <c r="F119" s="11" t="s">
        <v>9</v>
      </c>
      <c r="G119" s="11" t="e">
        <f>ConvertOsiris!M113</f>
        <v>#REF!</v>
      </c>
      <c r="H119" s="26"/>
      <c r="I119" s="12" t="e">
        <f t="shared" si="1"/>
        <v>#REF!</v>
      </c>
    </row>
    <row r="120" spans="1:9" ht="44.25" x14ac:dyDescent="0.75">
      <c r="A120" s="11">
        <v>113</v>
      </c>
      <c r="B120" s="11" t="e">
        <f>ConvertOsiris!I114</f>
        <v>#REF!</v>
      </c>
      <c r="C120" s="12" t="e">
        <f>ConvertOsiris!J114</f>
        <v>#REF!</v>
      </c>
      <c r="D120" s="12" t="e">
        <f>ConvertOsiris!K114</f>
        <v>#REF!</v>
      </c>
      <c r="E120" s="12" t="e">
        <f>ConvertOsiris!L114</f>
        <v>#REF!</v>
      </c>
      <c r="F120" s="11" t="s">
        <v>9</v>
      </c>
      <c r="G120" s="11" t="e">
        <f>ConvertOsiris!M114</f>
        <v>#REF!</v>
      </c>
      <c r="H120" s="26"/>
      <c r="I120" s="12" t="e">
        <f t="shared" si="1"/>
        <v>#REF!</v>
      </c>
    </row>
    <row r="121" spans="1:9" x14ac:dyDescent="0.75">
      <c r="A121" s="11">
        <v>114</v>
      </c>
      <c r="B121" s="11" t="e">
        <f>ConvertOsiris!I115</f>
        <v>#REF!</v>
      </c>
      <c r="C121" s="12" t="e">
        <f>ConvertOsiris!J115</f>
        <v>#REF!</v>
      </c>
      <c r="D121" s="12" t="e">
        <f>ConvertOsiris!K115</f>
        <v>#REF!</v>
      </c>
      <c r="E121" s="12">
        <f>ConvertOsiris!L115</f>
        <v>1</v>
      </c>
      <c r="F121" s="11" t="s">
        <v>9</v>
      </c>
      <c r="G121" s="11" t="str">
        <f>ConvertOsiris!M115</f>
        <v>BackboneElement</v>
      </c>
      <c r="H121" s="26"/>
      <c r="I121" s="12" t="e">
        <f t="shared" si="1"/>
        <v>#REF!</v>
      </c>
    </row>
    <row r="122" spans="1:9" ht="59" x14ac:dyDescent="0.75">
      <c r="A122" s="11">
        <v>115</v>
      </c>
      <c r="B122" s="11" t="e">
        <f>ConvertOsiris!I116</f>
        <v>#REF!</v>
      </c>
      <c r="C122" s="12" t="e">
        <f>ConvertOsiris!J116</f>
        <v>#REF!</v>
      </c>
      <c r="D122" s="12" t="e">
        <f>ConvertOsiris!K116</f>
        <v>#REF!</v>
      </c>
      <c r="E122" s="12" t="e">
        <f>ConvertOsiris!L116</f>
        <v>#REF!</v>
      </c>
      <c r="F122" s="11" t="s">
        <v>9</v>
      </c>
      <c r="G122" s="11" t="e">
        <f>ConvertOsiris!M116</f>
        <v>#REF!</v>
      </c>
      <c r="H122" s="26"/>
      <c r="I122" s="12" t="e">
        <f t="shared" si="1"/>
        <v>#REF!</v>
      </c>
    </row>
    <row r="123" spans="1:9" ht="44.25" x14ac:dyDescent="0.75">
      <c r="A123" s="11">
        <v>116</v>
      </c>
      <c r="B123" s="11" t="e">
        <f>ConvertOsiris!I117</f>
        <v>#REF!</v>
      </c>
      <c r="C123" s="12" t="e">
        <f>ConvertOsiris!J117</f>
        <v>#REF!</v>
      </c>
      <c r="D123" s="12" t="e">
        <f>ConvertOsiris!K117</f>
        <v>#REF!</v>
      </c>
      <c r="E123" s="12" t="e">
        <f>ConvertOsiris!L117</f>
        <v>#REF!</v>
      </c>
      <c r="F123" s="11" t="s">
        <v>9</v>
      </c>
      <c r="G123" s="11" t="e">
        <f>ConvertOsiris!M117</f>
        <v>#REF!</v>
      </c>
      <c r="H123" s="26"/>
      <c r="I123" s="12" t="e">
        <f t="shared" si="1"/>
        <v>#REF!</v>
      </c>
    </row>
    <row r="124" spans="1:9" ht="59" x14ac:dyDescent="0.75">
      <c r="A124" s="11">
        <v>117</v>
      </c>
      <c r="B124" s="11" t="e">
        <f>ConvertOsiris!I118</f>
        <v>#REF!</v>
      </c>
      <c r="C124" s="12" t="e">
        <f>ConvertOsiris!J118</f>
        <v>#REF!</v>
      </c>
      <c r="D124" s="12" t="e">
        <f>ConvertOsiris!K118</f>
        <v>#REF!</v>
      </c>
      <c r="E124" s="12" t="e">
        <f>ConvertOsiris!L118</f>
        <v>#REF!</v>
      </c>
      <c r="F124" s="11" t="s">
        <v>9</v>
      </c>
      <c r="G124" s="11" t="e">
        <f>ConvertOsiris!M118</f>
        <v>#REF!</v>
      </c>
      <c r="H124" s="26"/>
      <c r="I124" s="12" t="e">
        <f t="shared" si="1"/>
        <v>#REF!</v>
      </c>
    </row>
    <row r="125" spans="1:9" ht="44.25" x14ac:dyDescent="0.75">
      <c r="A125" s="11">
        <v>118</v>
      </c>
      <c r="B125" s="11" t="e">
        <f>ConvertOsiris!I119</f>
        <v>#REF!</v>
      </c>
      <c r="C125" s="12" t="e">
        <f>ConvertOsiris!J119</f>
        <v>#REF!</v>
      </c>
      <c r="D125" s="12" t="e">
        <f>ConvertOsiris!K119</f>
        <v>#REF!</v>
      </c>
      <c r="E125" s="12" t="e">
        <f>ConvertOsiris!L119</f>
        <v>#REF!</v>
      </c>
      <c r="F125" s="11" t="s">
        <v>9</v>
      </c>
      <c r="G125" s="11" t="e">
        <f>ConvertOsiris!M119</f>
        <v>#REF!</v>
      </c>
      <c r="H125" s="26"/>
      <c r="I125" s="12" t="e">
        <f t="shared" si="1"/>
        <v>#REF!</v>
      </c>
    </row>
    <row r="126" spans="1:9" ht="59" x14ac:dyDescent="0.75">
      <c r="A126" s="11">
        <v>119</v>
      </c>
      <c r="B126" s="11" t="e">
        <f>ConvertOsiris!I120</f>
        <v>#REF!</v>
      </c>
      <c r="C126" s="12" t="e">
        <f>ConvertOsiris!J120</f>
        <v>#REF!</v>
      </c>
      <c r="D126" s="12" t="e">
        <f>ConvertOsiris!K120</f>
        <v>#REF!</v>
      </c>
      <c r="E126" s="12" t="e">
        <f>ConvertOsiris!L120</f>
        <v>#REF!</v>
      </c>
      <c r="F126" s="11" t="s">
        <v>9</v>
      </c>
      <c r="G126" s="11" t="e">
        <f>ConvertOsiris!M120</f>
        <v>#REF!</v>
      </c>
      <c r="H126" s="26"/>
      <c r="I126" s="12" t="e">
        <f t="shared" si="1"/>
        <v>#REF!</v>
      </c>
    </row>
    <row r="127" spans="1:9" ht="59" x14ac:dyDescent="0.75">
      <c r="A127" s="11">
        <v>120</v>
      </c>
      <c r="B127" s="11" t="e">
        <f>ConvertOsiris!I121</f>
        <v>#REF!</v>
      </c>
      <c r="C127" s="12" t="e">
        <f>ConvertOsiris!J121</f>
        <v>#REF!</v>
      </c>
      <c r="D127" s="12" t="e">
        <f>ConvertOsiris!K121</f>
        <v>#REF!</v>
      </c>
      <c r="E127" s="12" t="e">
        <f>ConvertOsiris!L121</f>
        <v>#REF!</v>
      </c>
      <c r="F127" s="11" t="s">
        <v>9</v>
      </c>
      <c r="G127" s="11" t="e">
        <f>ConvertOsiris!M121</f>
        <v>#REF!</v>
      </c>
      <c r="H127" s="26"/>
      <c r="I127" s="12" t="e">
        <f t="shared" si="1"/>
        <v>#REF!</v>
      </c>
    </row>
    <row r="128" spans="1:9" ht="44.25" x14ac:dyDescent="0.75">
      <c r="A128" s="11">
        <v>121</v>
      </c>
      <c r="B128" s="11" t="e">
        <f>ConvertOsiris!I122</f>
        <v>#REF!</v>
      </c>
      <c r="C128" s="12" t="e">
        <f>ConvertOsiris!J122</f>
        <v>#REF!</v>
      </c>
      <c r="D128" s="12" t="e">
        <f>ConvertOsiris!K122</f>
        <v>#REF!</v>
      </c>
      <c r="E128" s="12" t="e">
        <f>ConvertOsiris!L122</f>
        <v>#REF!</v>
      </c>
      <c r="F128" s="11" t="s">
        <v>9</v>
      </c>
      <c r="G128" s="11" t="e">
        <f>ConvertOsiris!M122</f>
        <v>#REF!</v>
      </c>
      <c r="H128" s="26"/>
      <c r="I128" s="12" t="e">
        <f t="shared" si="1"/>
        <v>#REF!</v>
      </c>
    </row>
    <row r="129" spans="1:9" ht="44.25" x14ac:dyDescent="0.75">
      <c r="A129" s="11">
        <v>122</v>
      </c>
      <c r="B129" s="11" t="e">
        <f>ConvertOsiris!I123</f>
        <v>#REF!</v>
      </c>
      <c r="C129" s="12" t="e">
        <f>ConvertOsiris!J123</f>
        <v>#REF!</v>
      </c>
      <c r="D129" s="12" t="e">
        <f>ConvertOsiris!K123</f>
        <v>#REF!</v>
      </c>
      <c r="E129" s="12" t="e">
        <f>ConvertOsiris!L123</f>
        <v>#REF!</v>
      </c>
      <c r="F129" s="11" t="s">
        <v>9</v>
      </c>
      <c r="G129" s="11" t="e">
        <f>ConvertOsiris!M123</f>
        <v>#REF!</v>
      </c>
      <c r="H129" s="26"/>
      <c r="I129" s="12" t="e">
        <f t="shared" si="1"/>
        <v>#REF!</v>
      </c>
    </row>
    <row r="130" spans="1:9" x14ac:dyDescent="0.75">
      <c r="A130" s="11">
        <v>123</v>
      </c>
      <c r="B130" s="11" t="e">
        <f>ConvertOsiris!I124</f>
        <v>#REF!</v>
      </c>
      <c r="C130" s="12" t="e">
        <f>ConvertOsiris!J124</f>
        <v>#REF!</v>
      </c>
      <c r="D130" s="12" t="e">
        <f>ConvertOsiris!K124</f>
        <v>#REF!</v>
      </c>
      <c r="E130" s="12">
        <f>ConvertOsiris!L124</f>
        <v>1</v>
      </c>
      <c r="F130" s="11" t="s">
        <v>9</v>
      </c>
      <c r="G130" s="11" t="str">
        <f>ConvertOsiris!M124</f>
        <v>BackboneElement</v>
      </c>
      <c r="H130" s="26"/>
      <c r="I130" s="12" t="e">
        <f t="shared" si="1"/>
        <v>#REF!</v>
      </c>
    </row>
    <row r="131" spans="1:9" ht="44.25" x14ac:dyDescent="0.75">
      <c r="A131" s="11">
        <v>124</v>
      </c>
      <c r="B131" s="11" t="e">
        <f>ConvertOsiris!I125</f>
        <v>#REF!</v>
      </c>
      <c r="C131" s="12" t="e">
        <f>ConvertOsiris!J125</f>
        <v>#REF!</v>
      </c>
      <c r="D131" s="12" t="e">
        <f>ConvertOsiris!K125</f>
        <v>#REF!</v>
      </c>
      <c r="E131" s="12" t="e">
        <f>ConvertOsiris!L125</f>
        <v>#REF!</v>
      </c>
      <c r="F131" s="11" t="s">
        <v>9</v>
      </c>
      <c r="G131" s="11" t="e">
        <f>ConvertOsiris!M125</f>
        <v>#REF!</v>
      </c>
      <c r="H131" s="26"/>
      <c r="I131" s="12" t="e">
        <f t="shared" si="1"/>
        <v>#REF!</v>
      </c>
    </row>
    <row r="132" spans="1:9" ht="59" x14ac:dyDescent="0.75">
      <c r="A132" s="11">
        <v>125</v>
      </c>
      <c r="B132" s="11" t="e">
        <f>ConvertOsiris!I126</f>
        <v>#REF!</v>
      </c>
      <c r="C132" s="12" t="e">
        <f>ConvertOsiris!J126</f>
        <v>#REF!</v>
      </c>
      <c r="D132" s="12" t="e">
        <f>ConvertOsiris!K126</f>
        <v>#REF!</v>
      </c>
      <c r="E132" s="12" t="e">
        <f>ConvertOsiris!L126</f>
        <v>#REF!</v>
      </c>
      <c r="F132" s="11" t="s">
        <v>9</v>
      </c>
      <c r="G132" s="11" t="e">
        <f>ConvertOsiris!M126</f>
        <v>#REF!</v>
      </c>
      <c r="H132" s="26"/>
      <c r="I132" s="12" t="e">
        <f t="shared" si="1"/>
        <v>#REF!</v>
      </c>
    </row>
    <row r="133" spans="1:9" ht="44.25" x14ac:dyDescent="0.75">
      <c r="A133" s="11">
        <v>126</v>
      </c>
      <c r="B133" s="11" t="e">
        <f>ConvertOsiris!I127</f>
        <v>#REF!</v>
      </c>
      <c r="C133" s="12" t="e">
        <f>ConvertOsiris!J127</f>
        <v>#REF!</v>
      </c>
      <c r="D133" s="12" t="e">
        <f>ConvertOsiris!K127</f>
        <v>#REF!</v>
      </c>
      <c r="E133" s="12" t="e">
        <f>ConvertOsiris!L127</f>
        <v>#REF!</v>
      </c>
      <c r="F133" s="11" t="s">
        <v>9</v>
      </c>
      <c r="G133" s="11" t="e">
        <f>ConvertOsiris!M127</f>
        <v>#REF!</v>
      </c>
      <c r="H133" s="26"/>
      <c r="I133" s="12" t="e">
        <f t="shared" si="1"/>
        <v>#REF!</v>
      </c>
    </row>
    <row r="134" spans="1:9" ht="73.75" x14ac:dyDescent="0.75">
      <c r="A134" s="11">
        <v>127</v>
      </c>
      <c r="B134" s="11" t="e">
        <f>ConvertOsiris!I128</f>
        <v>#REF!</v>
      </c>
      <c r="C134" s="12" t="e">
        <f>ConvertOsiris!J128</f>
        <v>#REF!</v>
      </c>
      <c r="D134" s="12" t="e">
        <f>ConvertOsiris!K128</f>
        <v>#REF!</v>
      </c>
      <c r="E134" s="12" t="e">
        <f>ConvertOsiris!L128</f>
        <v>#REF!</v>
      </c>
      <c r="F134" s="11" t="s">
        <v>9</v>
      </c>
      <c r="G134" s="11" t="e">
        <f>ConvertOsiris!M128</f>
        <v>#REF!</v>
      </c>
      <c r="H134" s="26"/>
      <c r="I134" s="12" t="e">
        <f t="shared" si="1"/>
        <v>#REF!</v>
      </c>
    </row>
    <row r="135" spans="1:9" ht="44.25" x14ac:dyDescent="0.75">
      <c r="A135" s="11">
        <v>128</v>
      </c>
      <c r="B135" s="11" t="e">
        <f>ConvertOsiris!I129</f>
        <v>#REF!</v>
      </c>
      <c r="C135" s="12" t="e">
        <f>ConvertOsiris!J129</f>
        <v>#REF!</v>
      </c>
      <c r="D135" s="12" t="e">
        <f>ConvertOsiris!K129</f>
        <v>#REF!</v>
      </c>
      <c r="E135" s="12" t="e">
        <f>ConvertOsiris!L129</f>
        <v>#REF!</v>
      </c>
      <c r="F135" s="11" t="s">
        <v>9</v>
      </c>
      <c r="G135" s="11" t="e">
        <f>ConvertOsiris!M129</f>
        <v>#REF!</v>
      </c>
      <c r="H135" s="26"/>
      <c r="I135" s="12" t="e">
        <f t="shared" si="1"/>
        <v>#REF!</v>
      </c>
    </row>
    <row r="136" spans="1:9" x14ac:dyDescent="0.75">
      <c r="A136" s="11">
        <v>129</v>
      </c>
      <c r="B136" s="11" t="e">
        <f>ConvertOsiris!I130</f>
        <v>#REF!</v>
      </c>
      <c r="C136" s="12" t="e">
        <f>ConvertOsiris!J130</f>
        <v>#REF!</v>
      </c>
      <c r="D136" s="12" t="e">
        <f>ConvertOsiris!K130</f>
        <v>#REF!</v>
      </c>
      <c r="E136" s="12">
        <f>ConvertOsiris!L130</f>
        <v>1</v>
      </c>
      <c r="F136" s="11" t="s">
        <v>9</v>
      </c>
      <c r="G136" s="11" t="str">
        <f>ConvertOsiris!M130</f>
        <v>BackboneElement</v>
      </c>
      <c r="H136" s="26"/>
      <c r="I136" s="12" t="e">
        <f t="shared" ref="I136:I199" si="2">IF(B136=0,"//---- END",CONCATENATE("* ",B136, " ",E136,"..",F136," ",G136," ##34#",C136,"##34# ##334#",D136,"##334#"))</f>
        <v>#REF!</v>
      </c>
    </row>
    <row r="137" spans="1:9" ht="59" x14ac:dyDescent="0.75">
      <c r="A137" s="11">
        <v>130</v>
      </c>
      <c r="B137" s="11" t="e">
        <f>ConvertOsiris!I131</f>
        <v>#REF!</v>
      </c>
      <c r="C137" s="12" t="e">
        <f>ConvertOsiris!J131</f>
        <v>#REF!</v>
      </c>
      <c r="D137" s="12" t="e">
        <f>ConvertOsiris!K131</f>
        <v>#REF!</v>
      </c>
      <c r="E137" s="12" t="e">
        <f>ConvertOsiris!L131</f>
        <v>#REF!</v>
      </c>
      <c r="F137" s="11" t="s">
        <v>9</v>
      </c>
      <c r="G137" s="11" t="e">
        <f>ConvertOsiris!M131</f>
        <v>#REF!</v>
      </c>
      <c r="H137" s="26"/>
      <c r="I137" s="12" t="e">
        <f t="shared" si="2"/>
        <v>#REF!</v>
      </c>
    </row>
    <row r="138" spans="1:9" ht="59" x14ac:dyDescent="0.75">
      <c r="A138" s="11">
        <v>131</v>
      </c>
      <c r="B138" s="11" t="e">
        <f>ConvertOsiris!I132</f>
        <v>#REF!</v>
      </c>
      <c r="C138" s="12" t="e">
        <f>ConvertOsiris!J132</f>
        <v>#REF!</v>
      </c>
      <c r="D138" s="12" t="e">
        <f>ConvertOsiris!K132</f>
        <v>#REF!</v>
      </c>
      <c r="E138" s="12" t="e">
        <f>ConvertOsiris!L132</f>
        <v>#REF!</v>
      </c>
      <c r="F138" s="11" t="s">
        <v>9</v>
      </c>
      <c r="G138" s="11" t="e">
        <f>ConvertOsiris!M132</f>
        <v>#REF!</v>
      </c>
      <c r="H138" s="26"/>
      <c r="I138" s="12" t="e">
        <f t="shared" si="2"/>
        <v>#REF!</v>
      </c>
    </row>
    <row r="139" spans="1:9" ht="59" x14ac:dyDescent="0.75">
      <c r="A139" s="11">
        <v>132</v>
      </c>
      <c r="B139" s="11" t="e">
        <f>ConvertOsiris!I133</f>
        <v>#REF!</v>
      </c>
      <c r="C139" s="12" t="e">
        <f>ConvertOsiris!J133</f>
        <v>#REF!</v>
      </c>
      <c r="D139" s="12" t="e">
        <f>ConvertOsiris!K133</f>
        <v>#REF!</v>
      </c>
      <c r="E139" s="12" t="e">
        <f>ConvertOsiris!L133</f>
        <v>#REF!</v>
      </c>
      <c r="F139" s="11" t="s">
        <v>9</v>
      </c>
      <c r="G139" s="11" t="e">
        <f>ConvertOsiris!M133</f>
        <v>#REF!</v>
      </c>
      <c r="H139" s="26"/>
      <c r="I139" s="12" t="e">
        <f t="shared" si="2"/>
        <v>#REF!</v>
      </c>
    </row>
    <row r="140" spans="1:9" ht="29.5" x14ac:dyDescent="0.75">
      <c r="A140" s="11">
        <v>133</v>
      </c>
      <c r="B140" s="11" t="e">
        <f>ConvertOsiris!I134</f>
        <v>#REF!</v>
      </c>
      <c r="C140" s="12" t="e">
        <f>ConvertOsiris!J134</f>
        <v>#REF!</v>
      </c>
      <c r="D140" s="12" t="e">
        <f>ConvertOsiris!K134</f>
        <v>#REF!</v>
      </c>
      <c r="E140" s="12">
        <f>ConvertOsiris!L134</f>
        <v>0</v>
      </c>
      <c r="F140" s="11" t="s">
        <v>9</v>
      </c>
      <c r="G140" s="11" t="str">
        <f>ConvertOsiris!M134</f>
        <v>BackboneElement</v>
      </c>
      <c r="H140" s="26"/>
      <c r="I140" s="12" t="e">
        <f t="shared" si="2"/>
        <v>#REF!</v>
      </c>
    </row>
    <row r="141" spans="1:9" ht="59" x14ac:dyDescent="0.75">
      <c r="A141" s="11">
        <v>134</v>
      </c>
      <c r="B141" s="11" t="e">
        <f>ConvertOsiris!I135</f>
        <v>#REF!</v>
      </c>
      <c r="C141" s="12" t="e">
        <f>ConvertOsiris!J135</f>
        <v>#REF!</v>
      </c>
      <c r="D141" s="12" t="e">
        <f>ConvertOsiris!K135</f>
        <v>#REF!</v>
      </c>
      <c r="E141" s="12" t="e">
        <f>ConvertOsiris!L135</f>
        <v>#REF!</v>
      </c>
      <c r="F141" s="11" t="s">
        <v>9</v>
      </c>
      <c r="G141" s="11" t="e">
        <f>ConvertOsiris!M135</f>
        <v>#REF!</v>
      </c>
      <c r="H141" s="26"/>
      <c r="I141" s="12" t="e">
        <f t="shared" si="2"/>
        <v>#REF!</v>
      </c>
    </row>
    <row r="142" spans="1:9" ht="59" x14ac:dyDescent="0.75">
      <c r="A142" s="11">
        <v>135</v>
      </c>
      <c r="B142" s="11" t="e">
        <f>ConvertOsiris!I136</f>
        <v>#REF!</v>
      </c>
      <c r="C142" s="12" t="e">
        <f>ConvertOsiris!J136</f>
        <v>#REF!</v>
      </c>
      <c r="D142" s="12" t="e">
        <f>ConvertOsiris!K136</f>
        <v>#REF!</v>
      </c>
      <c r="E142" s="12" t="e">
        <f>ConvertOsiris!L136</f>
        <v>#REF!</v>
      </c>
      <c r="F142" s="11" t="s">
        <v>9</v>
      </c>
      <c r="G142" s="11" t="e">
        <f>ConvertOsiris!M136</f>
        <v>#REF!</v>
      </c>
      <c r="H142" s="26"/>
      <c r="I142" s="12" t="e">
        <f t="shared" si="2"/>
        <v>#REF!</v>
      </c>
    </row>
    <row r="143" spans="1:9" ht="44.25" x14ac:dyDescent="0.75">
      <c r="A143" s="11">
        <v>136</v>
      </c>
      <c r="B143" s="11" t="e">
        <f>ConvertOsiris!I137</f>
        <v>#REF!</v>
      </c>
      <c r="C143" s="12" t="e">
        <f>ConvertOsiris!J137</f>
        <v>#REF!</v>
      </c>
      <c r="D143" s="12" t="e">
        <f>ConvertOsiris!K137</f>
        <v>#REF!</v>
      </c>
      <c r="E143" s="12" t="e">
        <f>ConvertOsiris!L137</f>
        <v>#REF!</v>
      </c>
      <c r="F143" s="11" t="s">
        <v>9</v>
      </c>
      <c r="G143" s="11" t="e">
        <f>ConvertOsiris!M137</f>
        <v>#REF!</v>
      </c>
      <c r="H143" s="26"/>
      <c r="I143" s="12" t="e">
        <f t="shared" si="2"/>
        <v>#REF!</v>
      </c>
    </row>
    <row r="144" spans="1:9" ht="73.75" x14ac:dyDescent="0.75">
      <c r="A144" s="11">
        <v>137</v>
      </c>
      <c r="B144" s="11" t="e">
        <f>ConvertOsiris!I138</f>
        <v>#REF!</v>
      </c>
      <c r="C144" s="12" t="e">
        <f>ConvertOsiris!J138</f>
        <v>#REF!</v>
      </c>
      <c r="D144" s="12" t="e">
        <f>ConvertOsiris!K138</f>
        <v>#REF!</v>
      </c>
      <c r="E144" s="12" t="e">
        <f>ConvertOsiris!L138</f>
        <v>#REF!</v>
      </c>
      <c r="F144" s="11" t="s">
        <v>9</v>
      </c>
      <c r="G144" s="11" t="e">
        <f>ConvertOsiris!M138</f>
        <v>#REF!</v>
      </c>
      <c r="H144" s="26"/>
      <c r="I144" s="12" t="e">
        <f t="shared" si="2"/>
        <v>#REF!</v>
      </c>
    </row>
    <row r="145" spans="1:9" ht="44.25" x14ac:dyDescent="0.75">
      <c r="A145" s="11">
        <v>138</v>
      </c>
      <c r="B145" s="11" t="e">
        <f>ConvertOsiris!I139</f>
        <v>#REF!</v>
      </c>
      <c r="C145" s="12" t="e">
        <f>ConvertOsiris!J139</f>
        <v>#REF!</v>
      </c>
      <c r="D145" s="12" t="e">
        <f>ConvertOsiris!K139</f>
        <v>#REF!</v>
      </c>
      <c r="E145" s="12" t="e">
        <f>ConvertOsiris!L139</f>
        <v>#REF!</v>
      </c>
      <c r="F145" s="11" t="s">
        <v>9</v>
      </c>
      <c r="G145" s="11" t="e">
        <f>ConvertOsiris!M139</f>
        <v>#REF!</v>
      </c>
      <c r="H145" s="26"/>
      <c r="I145" s="12" t="e">
        <f t="shared" si="2"/>
        <v>#REF!</v>
      </c>
    </row>
    <row r="146" spans="1:9" ht="59" x14ac:dyDescent="0.75">
      <c r="A146" s="11">
        <v>139</v>
      </c>
      <c r="B146" s="11" t="e">
        <f>ConvertOsiris!I140</f>
        <v>#REF!</v>
      </c>
      <c r="C146" s="12" t="e">
        <f>ConvertOsiris!J140</f>
        <v>#REF!</v>
      </c>
      <c r="D146" s="12" t="e">
        <f>ConvertOsiris!K140</f>
        <v>#REF!</v>
      </c>
      <c r="E146" s="12" t="e">
        <f>ConvertOsiris!L140</f>
        <v>#REF!</v>
      </c>
      <c r="F146" s="11" t="s">
        <v>9</v>
      </c>
      <c r="G146" s="11" t="e">
        <f>ConvertOsiris!M140</f>
        <v>#REF!</v>
      </c>
      <c r="H146" s="26"/>
      <c r="I146" s="12" t="e">
        <f t="shared" si="2"/>
        <v>#REF!</v>
      </c>
    </row>
    <row r="147" spans="1:9" ht="44.25" x14ac:dyDescent="0.75">
      <c r="A147" s="11">
        <v>140</v>
      </c>
      <c r="B147" s="11" t="e">
        <f>ConvertOsiris!I141</f>
        <v>#REF!</v>
      </c>
      <c r="C147" s="12" t="e">
        <f>ConvertOsiris!J141</f>
        <v>#REF!</v>
      </c>
      <c r="D147" s="12" t="e">
        <f>ConvertOsiris!K141</f>
        <v>#REF!</v>
      </c>
      <c r="E147" s="12" t="e">
        <f>ConvertOsiris!L141</f>
        <v>#REF!</v>
      </c>
      <c r="F147" s="11" t="s">
        <v>9</v>
      </c>
      <c r="G147" s="11" t="e">
        <f>ConvertOsiris!M141</f>
        <v>#REF!</v>
      </c>
      <c r="H147" s="26"/>
      <c r="I147" s="12" t="e">
        <f t="shared" si="2"/>
        <v>#REF!</v>
      </c>
    </row>
    <row r="148" spans="1:9" ht="44.25" x14ac:dyDescent="0.75">
      <c r="A148" s="11">
        <v>141</v>
      </c>
      <c r="B148" s="11" t="e">
        <f>ConvertOsiris!I142</f>
        <v>#REF!</v>
      </c>
      <c r="C148" s="12" t="e">
        <f>ConvertOsiris!J142</f>
        <v>#REF!</v>
      </c>
      <c r="D148" s="12" t="e">
        <f>ConvertOsiris!K142</f>
        <v>#REF!</v>
      </c>
      <c r="E148" s="12" t="e">
        <f>ConvertOsiris!L142</f>
        <v>#REF!</v>
      </c>
      <c r="F148" s="11" t="s">
        <v>9</v>
      </c>
      <c r="G148" s="11" t="e">
        <f>ConvertOsiris!M142</f>
        <v>#REF!</v>
      </c>
      <c r="H148" s="26"/>
      <c r="I148" s="12" t="e">
        <f t="shared" si="2"/>
        <v>#REF!</v>
      </c>
    </row>
    <row r="149" spans="1:9" ht="59" x14ac:dyDescent="0.75">
      <c r="A149" s="11">
        <v>142</v>
      </c>
      <c r="B149" s="11" t="e">
        <f>ConvertOsiris!I143</f>
        <v>#REF!</v>
      </c>
      <c r="C149" s="12" t="e">
        <f>ConvertOsiris!J143</f>
        <v>#REF!</v>
      </c>
      <c r="D149" s="12" t="e">
        <f>ConvertOsiris!K143</f>
        <v>#REF!</v>
      </c>
      <c r="E149" s="12" t="e">
        <f>ConvertOsiris!L143</f>
        <v>#REF!</v>
      </c>
      <c r="F149" s="11" t="s">
        <v>9</v>
      </c>
      <c r="G149" s="11" t="e">
        <f>ConvertOsiris!M143</f>
        <v>#REF!</v>
      </c>
      <c r="H149" s="26"/>
      <c r="I149" s="12" t="e">
        <f t="shared" si="2"/>
        <v>#REF!</v>
      </c>
    </row>
    <row r="150" spans="1:9" ht="44.25" x14ac:dyDescent="0.75">
      <c r="A150" s="11">
        <v>143</v>
      </c>
      <c r="B150" s="11" t="e">
        <f>ConvertOsiris!I144</f>
        <v>#REF!</v>
      </c>
      <c r="C150" s="12" t="e">
        <f>ConvertOsiris!J144</f>
        <v>#REF!</v>
      </c>
      <c r="D150" s="12" t="e">
        <f>ConvertOsiris!K144</f>
        <v>#REF!</v>
      </c>
      <c r="E150" s="12" t="e">
        <f>ConvertOsiris!L144</f>
        <v>#REF!</v>
      </c>
      <c r="F150" s="11" t="s">
        <v>9</v>
      </c>
      <c r="G150" s="11" t="e">
        <f>ConvertOsiris!M144</f>
        <v>#REF!</v>
      </c>
      <c r="H150" s="26"/>
      <c r="I150" s="12" t="e">
        <f t="shared" si="2"/>
        <v>#REF!</v>
      </c>
    </row>
    <row r="151" spans="1:9" ht="44.25" x14ac:dyDescent="0.75">
      <c r="A151" s="11">
        <v>144</v>
      </c>
      <c r="B151" s="11" t="e">
        <f>ConvertOsiris!I145</f>
        <v>#REF!</v>
      </c>
      <c r="C151" s="12" t="e">
        <f>ConvertOsiris!J145</f>
        <v>#REF!</v>
      </c>
      <c r="D151" s="12" t="e">
        <f>ConvertOsiris!K145</f>
        <v>#REF!</v>
      </c>
      <c r="E151" s="12" t="e">
        <f>ConvertOsiris!L145</f>
        <v>#REF!</v>
      </c>
      <c r="F151" s="11" t="s">
        <v>9</v>
      </c>
      <c r="G151" s="11" t="e">
        <f>ConvertOsiris!M145</f>
        <v>#REF!</v>
      </c>
      <c r="H151" s="26"/>
      <c r="I151" s="12" t="e">
        <f t="shared" si="2"/>
        <v>#REF!</v>
      </c>
    </row>
    <row r="152" spans="1:9" ht="59" x14ac:dyDescent="0.75">
      <c r="A152" s="11">
        <v>145</v>
      </c>
      <c r="B152" s="11" t="e">
        <f>ConvertOsiris!I146</f>
        <v>#REF!</v>
      </c>
      <c r="C152" s="12" t="e">
        <f>ConvertOsiris!J146</f>
        <v>#REF!</v>
      </c>
      <c r="D152" s="12" t="e">
        <f>ConvertOsiris!K146</f>
        <v>#REF!</v>
      </c>
      <c r="E152" s="12" t="e">
        <f>ConvertOsiris!L146</f>
        <v>#REF!</v>
      </c>
      <c r="F152" s="11" t="s">
        <v>9</v>
      </c>
      <c r="G152" s="11" t="e">
        <f>ConvertOsiris!M146</f>
        <v>#REF!</v>
      </c>
      <c r="H152" s="26"/>
      <c r="I152" s="12" t="e">
        <f t="shared" si="2"/>
        <v>#REF!</v>
      </c>
    </row>
    <row r="153" spans="1:9" ht="59" x14ac:dyDescent="0.75">
      <c r="A153" s="11">
        <v>146</v>
      </c>
      <c r="B153" s="11" t="e">
        <f>ConvertOsiris!I147</f>
        <v>#REF!</v>
      </c>
      <c r="C153" s="12" t="e">
        <f>ConvertOsiris!J147</f>
        <v>#REF!</v>
      </c>
      <c r="D153" s="12" t="e">
        <f>ConvertOsiris!K147</f>
        <v>#REF!</v>
      </c>
      <c r="E153" s="12" t="e">
        <f>ConvertOsiris!L147</f>
        <v>#REF!</v>
      </c>
      <c r="F153" s="11" t="s">
        <v>9</v>
      </c>
      <c r="G153" s="11" t="e">
        <f>ConvertOsiris!M147</f>
        <v>#REF!</v>
      </c>
      <c r="H153" s="26"/>
      <c r="I153" s="12" t="e">
        <f t="shared" si="2"/>
        <v>#REF!</v>
      </c>
    </row>
    <row r="154" spans="1:9" ht="59" x14ac:dyDescent="0.75">
      <c r="A154" s="11">
        <v>147</v>
      </c>
      <c r="B154" s="11" t="e">
        <f>ConvertOsiris!I148</f>
        <v>#REF!</v>
      </c>
      <c r="C154" s="12" t="e">
        <f>ConvertOsiris!J148</f>
        <v>#REF!</v>
      </c>
      <c r="D154" s="12" t="e">
        <f>ConvertOsiris!K148</f>
        <v>#REF!</v>
      </c>
      <c r="E154" s="12" t="e">
        <f>ConvertOsiris!L148</f>
        <v>#REF!</v>
      </c>
      <c r="F154" s="11" t="s">
        <v>9</v>
      </c>
      <c r="G154" s="11" t="e">
        <f>ConvertOsiris!M148</f>
        <v>#REF!</v>
      </c>
      <c r="H154" s="26"/>
      <c r="I154" s="12" t="e">
        <f t="shared" si="2"/>
        <v>#REF!</v>
      </c>
    </row>
    <row r="155" spans="1:9" ht="59" x14ac:dyDescent="0.75">
      <c r="A155" s="11">
        <v>148</v>
      </c>
      <c r="B155" s="11" t="e">
        <f>ConvertOsiris!I149</f>
        <v>#REF!</v>
      </c>
      <c r="C155" s="12" t="e">
        <f>ConvertOsiris!J149</f>
        <v>#REF!</v>
      </c>
      <c r="D155" s="12" t="e">
        <f>ConvertOsiris!K149</f>
        <v>#REF!</v>
      </c>
      <c r="E155" s="12" t="e">
        <f>ConvertOsiris!L149</f>
        <v>#REF!</v>
      </c>
      <c r="F155" s="11" t="s">
        <v>9</v>
      </c>
      <c r="G155" s="11" t="e">
        <f>ConvertOsiris!M149</f>
        <v>#REF!</v>
      </c>
      <c r="H155" s="26"/>
      <c r="I155" s="12" t="e">
        <f t="shared" si="2"/>
        <v>#REF!</v>
      </c>
    </row>
    <row r="156" spans="1:9" ht="44.25" x14ac:dyDescent="0.75">
      <c r="A156" s="11">
        <v>149</v>
      </c>
      <c r="B156" s="11" t="e">
        <f>ConvertOsiris!I150</f>
        <v>#REF!</v>
      </c>
      <c r="C156" s="12" t="e">
        <f>ConvertOsiris!J150</f>
        <v>#REF!</v>
      </c>
      <c r="D156" s="12" t="e">
        <f>ConvertOsiris!K150</f>
        <v>#REF!</v>
      </c>
      <c r="E156" s="12" t="e">
        <f>ConvertOsiris!L150</f>
        <v>#REF!</v>
      </c>
      <c r="F156" s="11" t="s">
        <v>9</v>
      </c>
      <c r="G156" s="11" t="e">
        <f>ConvertOsiris!M150</f>
        <v>#REF!</v>
      </c>
      <c r="H156" s="26"/>
      <c r="I156" s="12" t="e">
        <f t="shared" si="2"/>
        <v>#REF!</v>
      </c>
    </row>
    <row r="157" spans="1:9" ht="59" x14ac:dyDescent="0.75">
      <c r="A157" s="11">
        <v>150</v>
      </c>
      <c r="B157" s="11" t="e">
        <f>ConvertOsiris!I151</f>
        <v>#REF!</v>
      </c>
      <c r="C157" s="12" t="e">
        <f>ConvertOsiris!J151</f>
        <v>#REF!</v>
      </c>
      <c r="D157" s="12" t="e">
        <f>ConvertOsiris!K151</f>
        <v>#REF!</v>
      </c>
      <c r="E157" s="12" t="e">
        <f>ConvertOsiris!L151</f>
        <v>#REF!</v>
      </c>
      <c r="F157" s="11" t="s">
        <v>9</v>
      </c>
      <c r="G157" s="11" t="e">
        <f>ConvertOsiris!M151</f>
        <v>#REF!</v>
      </c>
      <c r="H157" s="26"/>
      <c r="I157" s="12" t="e">
        <f t="shared" si="2"/>
        <v>#REF!</v>
      </c>
    </row>
    <row r="158" spans="1:9" ht="29.5" x14ac:dyDescent="0.75">
      <c r="A158" s="11">
        <v>151</v>
      </c>
      <c r="B158" s="11" t="e">
        <f>ConvertOsiris!I152</f>
        <v>#REF!</v>
      </c>
      <c r="C158" s="12" t="e">
        <f>ConvertOsiris!J152</f>
        <v>#REF!</v>
      </c>
      <c r="D158" s="12" t="e">
        <f>ConvertOsiris!K152</f>
        <v>#REF!</v>
      </c>
      <c r="E158" s="12">
        <f>ConvertOsiris!L152</f>
        <v>1</v>
      </c>
      <c r="F158" s="11" t="s">
        <v>9</v>
      </c>
      <c r="G158" s="11" t="str">
        <f>ConvertOsiris!M152</f>
        <v>BackboneElement</v>
      </c>
      <c r="H158" s="26"/>
      <c r="I158" s="12" t="e">
        <f t="shared" si="2"/>
        <v>#REF!</v>
      </c>
    </row>
    <row r="159" spans="1:9" ht="59" x14ac:dyDescent="0.75">
      <c r="A159" s="11">
        <v>152</v>
      </c>
      <c r="B159" s="11" t="e">
        <f>ConvertOsiris!I153</f>
        <v>#REF!</v>
      </c>
      <c r="C159" s="12" t="e">
        <f>ConvertOsiris!J153</f>
        <v>#REF!</v>
      </c>
      <c r="D159" s="12" t="e">
        <f>ConvertOsiris!K153</f>
        <v>#REF!</v>
      </c>
      <c r="E159" s="12" t="e">
        <f>ConvertOsiris!L153</f>
        <v>#REF!</v>
      </c>
      <c r="F159" s="11" t="s">
        <v>9</v>
      </c>
      <c r="G159" s="11" t="e">
        <f>ConvertOsiris!M153</f>
        <v>#REF!</v>
      </c>
      <c r="H159" s="26"/>
      <c r="I159" s="12" t="e">
        <f t="shared" si="2"/>
        <v>#REF!</v>
      </c>
    </row>
    <row r="160" spans="1:9" ht="59" x14ac:dyDescent="0.75">
      <c r="A160" s="11">
        <v>153</v>
      </c>
      <c r="B160" s="11" t="e">
        <f>ConvertOsiris!I154</f>
        <v>#REF!</v>
      </c>
      <c r="C160" s="12" t="e">
        <f>ConvertOsiris!J154</f>
        <v>#REF!</v>
      </c>
      <c r="D160" s="12" t="e">
        <f>ConvertOsiris!K154</f>
        <v>#REF!</v>
      </c>
      <c r="E160" s="12" t="e">
        <f>ConvertOsiris!L154</f>
        <v>#REF!</v>
      </c>
      <c r="F160" s="11" t="s">
        <v>9</v>
      </c>
      <c r="G160" s="11" t="e">
        <f>ConvertOsiris!M154</f>
        <v>#REF!</v>
      </c>
      <c r="H160" s="26"/>
      <c r="I160" s="12" t="e">
        <f t="shared" si="2"/>
        <v>#REF!</v>
      </c>
    </row>
    <row r="161" spans="1:9" ht="59" x14ac:dyDescent="0.75">
      <c r="A161" s="11">
        <v>154</v>
      </c>
      <c r="B161" s="11" t="e">
        <f>ConvertOsiris!I155</f>
        <v>#REF!</v>
      </c>
      <c r="C161" s="12" t="e">
        <f>ConvertOsiris!J155</f>
        <v>#REF!</v>
      </c>
      <c r="D161" s="12" t="e">
        <f>ConvertOsiris!K155</f>
        <v>#REF!</v>
      </c>
      <c r="E161" s="12" t="e">
        <f>ConvertOsiris!L155</f>
        <v>#REF!</v>
      </c>
      <c r="F161" s="11" t="s">
        <v>9</v>
      </c>
      <c r="G161" s="11" t="e">
        <f>ConvertOsiris!M155</f>
        <v>#REF!</v>
      </c>
      <c r="H161" s="26"/>
      <c r="I161" s="12" t="e">
        <f t="shared" si="2"/>
        <v>#REF!</v>
      </c>
    </row>
    <row r="162" spans="1:9" ht="73.75" x14ac:dyDescent="0.75">
      <c r="A162" s="11">
        <v>155</v>
      </c>
      <c r="B162" s="11" t="e">
        <f>ConvertOsiris!I156</f>
        <v>#REF!</v>
      </c>
      <c r="C162" s="12" t="e">
        <f>ConvertOsiris!J156</f>
        <v>#REF!</v>
      </c>
      <c r="D162" s="12" t="e">
        <f>ConvertOsiris!K156</f>
        <v>#REF!</v>
      </c>
      <c r="E162" s="12" t="e">
        <f>ConvertOsiris!L156</f>
        <v>#REF!</v>
      </c>
      <c r="F162" s="11" t="s">
        <v>9</v>
      </c>
      <c r="G162" s="11" t="e">
        <f>ConvertOsiris!M156</f>
        <v>#REF!</v>
      </c>
      <c r="H162" s="26"/>
      <c r="I162" s="12" t="e">
        <f t="shared" si="2"/>
        <v>#REF!</v>
      </c>
    </row>
    <row r="163" spans="1:9" ht="59" x14ac:dyDescent="0.75">
      <c r="A163" s="11">
        <v>156</v>
      </c>
      <c r="B163" s="11" t="e">
        <f>ConvertOsiris!I157</f>
        <v>#REF!</v>
      </c>
      <c r="C163" s="12" t="e">
        <f>ConvertOsiris!J157</f>
        <v>#REF!</v>
      </c>
      <c r="D163" s="12" t="e">
        <f>ConvertOsiris!K157</f>
        <v>#REF!</v>
      </c>
      <c r="E163" s="12" t="e">
        <f>ConvertOsiris!L157</f>
        <v>#REF!</v>
      </c>
      <c r="F163" s="11" t="s">
        <v>9</v>
      </c>
      <c r="G163" s="11" t="str">
        <f>ConvertOsiris!M157</f>
        <v>BackboneElement</v>
      </c>
      <c r="H163" s="26"/>
      <c r="I163" s="12" t="e">
        <f t="shared" si="2"/>
        <v>#REF!</v>
      </c>
    </row>
    <row r="164" spans="1:9" ht="29.5" x14ac:dyDescent="0.75">
      <c r="A164" s="11">
        <v>157</v>
      </c>
      <c r="B164" s="11" t="e">
        <f>ConvertOsiris!I158</f>
        <v>#REF!</v>
      </c>
      <c r="C164" s="12" t="e">
        <f>ConvertOsiris!J158</f>
        <v>#REF!</v>
      </c>
      <c r="D164" s="12" t="e">
        <f>ConvertOsiris!K158</f>
        <v>#REF!</v>
      </c>
      <c r="E164" s="12">
        <f>ConvertOsiris!L158</f>
        <v>1</v>
      </c>
      <c r="F164" s="11" t="s">
        <v>9</v>
      </c>
      <c r="G164" s="11" t="str">
        <f>ConvertOsiris!M158</f>
        <v>BackboneElement</v>
      </c>
      <c r="H164" s="26"/>
      <c r="I164" s="12" t="e">
        <f t="shared" si="2"/>
        <v>#REF!</v>
      </c>
    </row>
    <row r="165" spans="1:9" ht="73.75" x14ac:dyDescent="0.75">
      <c r="A165" s="11">
        <v>158</v>
      </c>
      <c r="B165" s="11" t="e">
        <f>ConvertOsiris!I159</f>
        <v>#REF!</v>
      </c>
      <c r="C165" s="12" t="e">
        <f>ConvertOsiris!J159</f>
        <v>#REF!</v>
      </c>
      <c r="D165" s="12" t="e">
        <f>ConvertOsiris!K159</f>
        <v>#REF!</v>
      </c>
      <c r="E165" s="12" t="e">
        <f>ConvertOsiris!L159</f>
        <v>#REF!</v>
      </c>
      <c r="F165" s="11" t="s">
        <v>9</v>
      </c>
      <c r="G165" s="11" t="str">
        <f>ConvertOsiris!M159</f>
        <v>BackboneElement</v>
      </c>
      <c r="H165" s="26"/>
      <c r="I165" s="12" t="e">
        <f t="shared" si="2"/>
        <v>#REF!</v>
      </c>
    </row>
    <row r="166" spans="1:9" ht="44.25" x14ac:dyDescent="0.75">
      <c r="A166" s="11">
        <v>159</v>
      </c>
      <c r="B166" s="11" t="e">
        <f>ConvertOsiris!I160</f>
        <v>#REF!</v>
      </c>
      <c r="C166" s="12" t="e">
        <f>ConvertOsiris!J160</f>
        <v>#REF!</v>
      </c>
      <c r="D166" s="12" t="e">
        <f>ConvertOsiris!K160</f>
        <v>#REF!</v>
      </c>
      <c r="E166" s="12" t="e">
        <f>ConvertOsiris!L160</f>
        <v>#REF!</v>
      </c>
      <c r="F166" s="11" t="s">
        <v>9</v>
      </c>
      <c r="G166" s="11" t="str">
        <f>ConvertOsiris!M160</f>
        <v>BackboneElement</v>
      </c>
      <c r="H166" s="26"/>
      <c r="I166" s="12" t="e">
        <f t="shared" si="2"/>
        <v>#REF!</v>
      </c>
    </row>
    <row r="167" spans="1:9" ht="29.5" x14ac:dyDescent="0.75">
      <c r="A167" s="11">
        <v>160</v>
      </c>
      <c r="B167" s="11" t="e">
        <f>ConvertOsiris!I161</f>
        <v>#REF!</v>
      </c>
      <c r="C167" s="12" t="e">
        <f>ConvertOsiris!J161</f>
        <v>#REF!</v>
      </c>
      <c r="D167" s="12" t="e">
        <f>ConvertOsiris!K161</f>
        <v>#REF!</v>
      </c>
      <c r="E167" s="12">
        <f>ConvertOsiris!L161</f>
        <v>0</v>
      </c>
      <c r="F167" s="11" t="s">
        <v>9</v>
      </c>
      <c r="G167" s="11" t="str">
        <f>ConvertOsiris!M161</f>
        <v>BackboneElement</v>
      </c>
      <c r="H167" s="26"/>
      <c r="I167" s="12" t="e">
        <f t="shared" si="2"/>
        <v>#REF!</v>
      </c>
    </row>
    <row r="168" spans="1:9" ht="59" x14ac:dyDescent="0.75">
      <c r="A168" s="11">
        <v>161</v>
      </c>
      <c r="B168" s="11" t="e">
        <f>ConvertOsiris!I162</f>
        <v>#REF!</v>
      </c>
      <c r="C168" s="12" t="e">
        <f>ConvertOsiris!J162</f>
        <v>#REF!</v>
      </c>
      <c r="D168" s="12" t="e">
        <f>ConvertOsiris!K162</f>
        <v>#REF!</v>
      </c>
      <c r="E168" s="12" t="e">
        <f>ConvertOsiris!L162</f>
        <v>#REF!</v>
      </c>
      <c r="F168" s="11" t="s">
        <v>9</v>
      </c>
      <c r="G168" s="11" t="str">
        <f>ConvertOsiris!M162</f>
        <v>BackboneElement</v>
      </c>
      <c r="H168" s="26"/>
      <c r="I168" s="12" t="e">
        <f t="shared" si="2"/>
        <v>#REF!</v>
      </c>
    </row>
    <row r="169" spans="1:9" ht="59" x14ac:dyDescent="0.75">
      <c r="A169" s="11">
        <v>162</v>
      </c>
      <c r="B169" s="11" t="e">
        <f>ConvertOsiris!I163</f>
        <v>#REF!</v>
      </c>
      <c r="C169" s="12" t="e">
        <f>ConvertOsiris!J163</f>
        <v>#REF!</v>
      </c>
      <c r="D169" s="12" t="e">
        <f>ConvertOsiris!K163</f>
        <v>#REF!</v>
      </c>
      <c r="E169" s="12" t="e">
        <f>ConvertOsiris!L163</f>
        <v>#REF!</v>
      </c>
      <c r="F169" s="11" t="s">
        <v>9</v>
      </c>
      <c r="G169" s="11" t="str">
        <f>ConvertOsiris!M163</f>
        <v>BackboneElement</v>
      </c>
      <c r="H169" s="26"/>
      <c r="I169" s="12" t="e">
        <f t="shared" si="2"/>
        <v>#REF!</v>
      </c>
    </row>
    <row r="170" spans="1:9" x14ac:dyDescent="0.75">
      <c r="A170" s="11">
        <v>163</v>
      </c>
      <c r="B170" s="11" t="e">
        <f>ConvertOsiris!I164</f>
        <v>#REF!</v>
      </c>
      <c r="C170" s="12" t="e">
        <f>ConvertOsiris!J164</f>
        <v>#REF!</v>
      </c>
      <c r="D170" s="12" t="e">
        <f>ConvertOsiris!K164</f>
        <v>#REF!</v>
      </c>
      <c r="E170" s="12">
        <f>ConvertOsiris!L164</f>
        <v>0</v>
      </c>
      <c r="F170" s="11" t="s">
        <v>9</v>
      </c>
      <c r="G170" s="11" t="str">
        <f>ConvertOsiris!M164</f>
        <v>BackboneElement</v>
      </c>
      <c r="H170" s="26"/>
      <c r="I170" s="12" t="e">
        <f t="shared" si="2"/>
        <v>#REF!</v>
      </c>
    </row>
    <row r="171" spans="1:9" ht="59" x14ac:dyDescent="0.75">
      <c r="A171" s="11">
        <v>164</v>
      </c>
      <c r="B171" s="11" t="e">
        <f>ConvertOsiris!I165</f>
        <v>#REF!</v>
      </c>
      <c r="C171" s="12" t="e">
        <f>ConvertOsiris!J165</f>
        <v>#REF!</v>
      </c>
      <c r="D171" s="12" t="e">
        <f>ConvertOsiris!K165</f>
        <v>#REF!</v>
      </c>
      <c r="E171" s="12" t="e">
        <f>ConvertOsiris!L165</f>
        <v>#REF!</v>
      </c>
      <c r="F171" s="11" t="s">
        <v>9</v>
      </c>
      <c r="G171" s="11" t="str">
        <f>ConvertOsiris!M165</f>
        <v>BackboneElement</v>
      </c>
      <c r="H171" s="26"/>
      <c r="I171" s="12" t="e">
        <f t="shared" si="2"/>
        <v>#REF!</v>
      </c>
    </row>
    <row r="172" spans="1:9" ht="59" x14ac:dyDescent="0.75">
      <c r="A172" s="11">
        <v>165</v>
      </c>
      <c r="B172" s="11" t="e">
        <f>ConvertOsiris!I166</f>
        <v>#REF!</v>
      </c>
      <c r="C172" s="12" t="e">
        <f>ConvertOsiris!J166</f>
        <v>#REF!</v>
      </c>
      <c r="D172" s="12" t="e">
        <f>ConvertOsiris!K166</f>
        <v>#REF!</v>
      </c>
      <c r="E172" s="12" t="e">
        <f>ConvertOsiris!L166</f>
        <v>#REF!</v>
      </c>
      <c r="F172" s="11" t="s">
        <v>9</v>
      </c>
      <c r="G172" s="11" t="str">
        <f>ConvertOsiris!M166</f>
        <v>BackboneElement</v>
      </c>
      <c r="H172" s="26"/>
      <c r="I172" s="12" t="e">
        <f t="shared" si="2"/>
        <v>#REF!</v>
      </c>
    </row>
    <row r="173" spans="1:9" ht="59" x14ac:dyDescent="0.75">
      <c r="A173" s="11">
        <v>166</v>
      </c>
      <c r="B173" s="11" t="e">
        <f>ConvertOsiris!I167</f>
        <v>#REF!</v>
      </c>
      <c r="C173" s="12" t="e">
        <f>ConvertOsiris!J167</f>
        <v>#REF!</v>
      </c>
      <c r="D173" s="12" t="e">
        <f>ConvertOsiris!K167</f>
        <v>#REF!</v>
      </c>
      <c r="E173" s="12" t="e">
        <f>ConvertOsiris!L167</f>
        <v>#REF!</v>
      </c>
      <c r="F173" s="11" t="s">
        <v>9</v>
      </c>
      <c r="G173" s="11" t="str">
        <f>ConvertOsiris!M167</f>
        <v>BackboneElement</v>
      </c>
      <c r="H173" s="26"/>
      <c r="I173" s="12" t="e">
        <f t="shared" si="2"/>
        <v>#REF!</v>
      </c>
    </row>
    <row r="174" spans="1:9" ht="44.25" x14ac:dyDescent="0.75">
      <c r="A174" s="11">
        <v>167</v>
      </c>
      <c r="B174" s="11" t="e">
        <f>ConvertOsiris!I168</f>
        <v>#REF!</v>
      </c>
      <c r="C174" s="12" t="e">
        <f>ConvertOsiris!J168</f>
        <v>#REF!</v>
      </c>
      <c r="D174" s="12" t="e">
        <f>ConvertOsiris!K168</f>
        <v>#REF!</v>
      </c>
      <c r="E174" s="12" t="e">
        <f>ConvertOsiris!L168</f>
        <v>#REF!</v>
      </c>
      <c r="F174" s="11" t="s">
        <v>9</v>
      </c>
      <c r="G174" s="11" t="str">
        <f>ConvertOsiris!M168</f>
        <v>BackboneElement</v>
      </c>
      <c r="H174" s="26"/>
      <c r="I174" s="12" t="e">
        <f t="shared" si="2"/>
        <v>#REF!</v>
      </c>
    </row>
    <row r="175" spans="1:9" ht="59" x14ac:dyDescent="0.75">
      <c r="A175" s="11">
        <v>168</v>
      </c>
      <c r="B175" s="11" t="e">
        <f>ConvertOsiris!I169</f>
        <v>#REF!</v>
      </c>
      <c r="C175" s="12" t="e">
        <f>ConvertOsiris!J169</f>
        <v>#REF!</v>
      </c>
      <c r="D175" s="12" t="e">
        <f>ConvertOsiris!K169</f>
        <v>#REF!</v>
      </c>
      <c r="E175" s="12" t="e">
        <f>ConvertOsiris!L169</f>
        <v>#REF!</v>
      </c>
      <c r="F175" s="11" t="s">
        <v>9</v>
      </c>
      <c r="G175" s="11" t="str">
        <f>ConvertOsiris!M169</f>
        <v>BackboneElement</v>
      </c>
      <c r="H175" s="26"/>
      <c r="I175" s="12" t="e">
        <f t="shared" si="2"/>
        <v>#REF!</v>
      </c>
    </row>
    <row r="176" spans="1:9" ht="59" x14ac:dyDescent="0.75">
      <c r="A176" s="11">
        <v>169</v>
      </c>
      <c r="B176" s="11" t="e">
        <f>ConvertOsiris!I170</f>
        <v>#REF!</v>
      </c>
      <c r="C176" s="12" t="e">
        <f>ConvertOsiris!J170</f>
        <v>#REF!</v>
      </c>
      <c r="D176" s="12" t="e">
        <f>ConvertOsiris!K170</f>
        <v>#REF!</v>
      </c>
      <c r="E176" s="12" t="e">
        <f>ConvertOsiris!L170</f>
        <v>#REF!</v>
      </c>
      <c r="F176" s="11" t="s">
        <v>9</v>
      </c>
      <c r="G176" s="11" t="str">
        <f>ConvertOsiris!M170</f>
        <v>BackboneElement</v>
      </c>
      <c r="H176" s="26"/>
      <c r="I176" s="12" t="e">
        <f t="shared" si="2"/>
        <v>#REF!</v>
      </c>
    </row>
    <row r="177" spans="1:9" ht="59" x14ac:dyDescent="0.75">
      <c r="A177" s="11">
        <v>170</v>
      </c>
      <c r="B177" s="11" t="e">
        <f>ConvertOsiris!I171</f>
        <v>#REF!</v>
      </c>
      <c r="C177" s="12" t="e">
        <f>ConvertOsiris!J171</f>
        <v>#REF!</v>
      </c>
      <c r="D177" s="12" t="e">
        <f>ConvertOsiris!K171</f>
        <v>#REF!</v>
      </c>
      <c r="E177" s="12" t="e">
        <f>ConvertOsiris!L171</f>
        <v>#REF!</v>
      </c>
      <c r="F177" s="11" t="s">
        <v>9</v>
      </c>
      <c r="G177" s="11" t="str">
        <f>ConvertOsiris!M171</f>
        <v>BackboneElement</v>
      </c>
      <c r="H177" s="26"/>
      <c r="I177" s="12" t="e">
        <f t="shared" si="2"/>
        <v>#REF!</v>
      </c>
    </row>
    <row r="178" spans="1:9" x14ac:dyDescent="0.75">
      <c r="A178" s="11">
        <v>171</v>
      </c>
      <c r="B178" s="11" t="e">
        <f>ConvertOsiris!I172</f>
        <v>#REF!</v>
      </c>
      <c r="C178" s="12" t="e">
        <f>ConvertOsiris!J172</f>
        <v>#REF!</v>
      </c>
      <c r="D178" s="12" t="e">
        <f>ConvertOsiris!K172</f>
        <v>#REF!</v>
      </c>
      <c r="E178" s="12">
        <f>ConvertOsiris!L172</f>
        <v>0</v>
      </c>
      <c r="F178" s="11" t="s">
        <v>9</v>
      </c>
      <c r="G178" s="11" t="str">
        <f>ConvertOsiris!M172</f>
        <v>BackboneElement</v>
      </c>
      <c r="H178" s="26"/>
      <c r="I178" s="12" t="e">
        <f t="shared" si="2"/>
        <v>#REF!</v>
      </c>
    </row>
    <row r="179" spans="1:9" ht="59" x14ac:dyDescent="0.75">
      <c r="A179" s="11">
        <v>172</v>
      </c>
      <c r="B179" s="11" t="e">
        <f>ConvertOsiris!I173</f>
        <v>#REF!</v>
      </c>
      <c r="C179" s="12" t="e">
        <f>ConvertOsiris!J173</f>
        <v>#REF!</v>
      </c>
      <c r="D179" s="12" t="e">
        <f>ConvertOsiris!K173</f>
        <v>#REF!</v>
      </c>
      <c r="E179" s="12" t="e">
        <f>ConvertOsiris!L173</f>
        <v>#REF!</v>
      </c>
      <c r="F179" s="11" t="s">
        <v>9</v>
      </c>
      <c r="G179" s="11" t="str">
        <f>ConvertOsiris!M173</f>
        <v>BackboneElement</v>
      </c>
      <c r="H179" s="26"/>
      <c r="I179" s="12" t="e">
        <f t="shared" si="2"/>
        <v>#REF!</v>
      </c>
    </row>
    <row r="180" spans="1:9" ht="59" x14ac:dyDescent="0.75">
      <c r="A180" s="11">
        <v>173</v>
      </c>
      <c r="B180" s="11" t="e">
        <f>ConvertOsiris!I174</f>
        <v>#REF!</v>
      </c>
      <c r="C180" s="12" t="e">
        <f>ConvertOsiris!J174</f>
        <v>#REF!</v>
      </c>
      <c r="D180" s="12" t="e">
        <f>ConvertOsiris!K174</f>
        <v>#REF!</v>
      </c>
      <c r="E180" s="12" t="e">
        <f>ConvertOsiris!L174</f>
        <v>#REF!</v>
      </c>
      <c r="F180" s="11" t="s">
        <v>9</v>
      </c>
      <c r="G180" s="11" t="str">
        <f>ConvertOsiris!M174</f>
        <v>BackboneElement</v>
      </c>
      <c r="H180" s="26"/>
      <c r="I180" s="12" t="e">
        <f t="shared" si="2"/>
        <v>#REF!</v>
      </c>
    </row>
    <row r="181" spans="1:9" ht="59" x14ac:dyDescent="0.75">
      <c r="A181" s="11">
        <v>174</v>
      </c>
      <c r="B181" s="11" t="e">
        <f>ConvertOsiris!I175</f>
        <v>#REF!</v>
      </c>
      <c r="C181" s="12" t="e">
        <f>ConvertOsiris!J175</f>
        <v>#REF!</v>
      </c>
      <c r="D181" s="12" t="e">
        <f>ConvertOsiris!K175</f>
        <v>#REF!</v>
      </c>
      <c r="E181" s="12" t="e">
        <f>ConvertOsiris!L175</f>
        <v>#REF!</v>
      </c>
      <c r="F181" s="11" t="s">
        <v>9</v>
      </c>
      <c r="G181" s="11" t="str">
        <f>ConvertOsiris!M175</f>
        <v>BackboneElement</v>
      </c>
      <c r="H181" s="26"/>
      <c r="I181" s="12" t="e">
        <f t="shared" si="2"/>
        <v>#REF!</v>
      </c>
    </row>
    <row r="182" spans="1:9" ht="59" x14ac:dyDescent="0.75">
      <c r="A182" s="11">
        <v>175</v>
      </c>
      <c r="B182" s="11" t="e">
        <f>ConvertOsiris!I176</f>
        <v>#REF!</v>
      </c>
      <c r="C182" s="12" t="e">
        <f>ConvertOsiris!J176</f>
        <v>#REF!</v>
      </c>
      <c r="D182" s="12" t="e">
        <f>ConvertOsiris!K176</f>
        <v>#REF!</v>
      </c>
      <c r="E182" s="12" t="e">
        <f>ConvertOsiris!L176</f>
        <v>#REF!</v>
      </c>
      <c r="F182" s="11" t="s">
        <v>9</v>
      </c>
      <c r="G182" s="11" t="str">
        <f>ConvertOsiris!M176</f>
        <v>BackboneElement</v>
      </c>
      <c r="H182" s="26"/>
      <c r="I182" s="12" t="e">
        <f t="shared" si="2"/>
        <v>#REF!</v>
      </c>
    </row>
    <row r="183" spans="1:9" ht="59" x14ac:dyDescent="0.75">
      <c r="A183" s="11">
        <v>176</v>
      </c>
      <c r="B183" s="11" t="e">
        <f>ConvertOsiris!I177</f>
        <v>#REF!</v>
      </c>
      <c r="C183" s="12" t="e">
        <f>ConvertOsiris!J177</f>
        <v>#REF!</v>
      </c>
      <c r="D183" s="12" t="e">
        <f>ConvertOsiris!K177</f>
        <v>#REF!</v>
      </c>
      <c r="E183" s="12" t="e">
        <f>ConvertOsiris!L177</f>
        <v>#REF!</v>
      </c>
      <c r="F183" s="11" t="s">
        <v>9</v>
      </c>
      <c r="G183" s="11" t="str">
        <f>ConvertOsiris!M177</f>
        <v>BackboneElement</v>
      </c>
      <c r="H183" s="26"/>
      <c r="I183" s="12" t="e">
        <f t="shared" si="2"/>
        <v>#REF!</v>
      </c>
    </row>
    <row r="184" spans="1:9" ht="59" x14ac:dyDescent="0.75">
      <c r="A184" s="11">
        <v>177</v>
      </c>
      <c r="B184" s="11" t="e">
        <f>ConvertOsiris!I178</f>
        <v>#REF!</v>
      </c>
      <c r="C184" s="12" t="e">
        <f>ConvertOsiris!J178</f>
        <v>#REF!</v>
      </c>
      <c r="D184" s="12" t="e">
        <f>ConvertOsiris!K178</f>
        <v>#REF!</v>
      </c>
      <c r="E184" s="12" t="e">
        <f>ConvertOsiris!L178</f>
        <v>#REF!</v>
      </c>
      <c r="F184" s="11" t="s">
        <v>9</v>
      </c>
      <c r="G184" s="11" t="str">
        <f>ConvertOsiris!M178</f>
        <v>BackboneElement</v>
      </c>
      <c r="H184" s="26"/>
      <c r="I184" s="12" t="e">
        <f t="shared" si="2"/>
        <v>#REF!</v>
      </c>
    </row>
    <row r="185" spans="1:9" ht="59" x14ac:dyDescent="0.75">
      <c r="A185" s="11">
        <v>178</v>
      </c>
      <c r="B185" s="11" t="e">
        <f>ConvertOsiris!I179</f>
        <v>#REF!</v>
      </c>
      <c r="C185" s="12" t="e">
        <f>ConvertOsiris!J179</f>
        <v>#REF!</v>
      </c>
      <c r="D185" s="12" t="e">
        <f>ConvertOsiris!K179</f>
        <v>#REF!</v>
      </c>
      <c r="E185" s="12" t="e">
        <f>ConvertOsiris!L179</f>
        <v>#REF!</v>
      </c>
      <c r="F185" s="11" t="s">
        <v>9</v>
      </c>
      <c r="G185" s="11" t="str">
        <f>ConvertOsiris!M179</f>
        <v>BackboneElement</v>
      </c>
      <c r="H185" s="26"/>
      <c r="I185" s="12" t="e">
        <f t="shared" si="2"/>
        <v>#REF!</v>
      </c>
    </row>
    <row r="186" spans="1:9" x14ac:dyDescent="0.75">
      <c r="A186" s="11">
        <v>179</v>
      </c>
      <c r="B186" s="11" t="e">
        <f>ConvertOsiris!I180</f>
        <v>#REF!</v>
      </c>
      <c r="C186" s="12" t="e">
        <f>ConvertOsiris!J180</f>
        <v>#REF!</v>
      </c>
      <c r="D186" s="12" t="e">
        <f>ConvertOsiris!K180</f>
        <v>#REF!</v>
      </c>
      <c r="E186" s="12">
        <f>ConvertOsiris!L180</f>
        <v>0</v>
      </c>
      <c r="F186" s="11" t="s">
        <v>9</v>
      </c>
      <c r="G186" s="11" t="str">
        <f>ConvertOsiris!M180</f>
        <v>BackboneElement</v>
      </c>
      <c r="H186" s="26"/>
      <c r="I186" s="12" t="e">
        <f t="shared" si="2"/>
        <v>#REF!</v>
      </c>
    </row>
    <row r="187" spans="1:9" ht="59" x14ac:dyDescent="0.75">
      <c r="A187" s="11">
        <v>180</v>
      </c>
      <c r="B187" s="11" t="e">
        <f>ConvertOsiris!I181</f>
        <v>#REF!</v>
      </c>
      <c r="C187" s="12" t="e">
        <f>ConvertOsiris!J181</f>
        <v>#REF!</v>
      </c>
      <c r="D187" s="12" t="e">
        <f>ConvertOsiris!K181</f>
        <v>#REF!</v>
      </c>
      <c r="E187" s="12" t="e">
        <f>ConvertOsiris!L181</f>
        <v>#REF!</v>
      </c>
      <c r="F187" s="11" t="s">
        <v>9</v>
      </c>
      <c r="G187" s="11" t="str">
        <f>ConvertOsiris!M181</f>
        <v>BackboneElement</v>
      </c>
      <c r="H187" s="26"/>
      <c r="I187" s="12" t="e">
        <f t="shared" si="2"/>
        <v>#REF!</v>
      </c>
    </row>
    <row r="188" spans="1:9" ht="59" x14ac:dyDescent="0.75">
      <c r="A188" s="11">
        <v>181</v>
      </c>
      <c r="B188" s="11" t="e">
        <f>ConvertOsiris!I182</f>
        <v>#REF!</v>
      </c>
      <c r="C188" s="12" t="e">
        <f>ConvertOsiris!J182</f>
        <v>#REF!</v>
      </c>
      <c r="D188" s="12" t="e">
        <f>ConvertOsiris!K182</f>
        <v>#REF!</v>
      </c>
      <c r="E188" s="12" t="e">
        <f>ConvertOsiris!L182</f>
        <v>#REF!</v>
      </c>
      <c r="F188" s="11" t="s">
        <v>9</v>
      </c>
      <c r="G188" s="11" t="str">
        <f>ConvertOsiris!M182</f>
        <v>BackboneElement</v>
      </c>
      <c r="H188" s="26"/>
      <c r="I188" s="12" t="e">
        <f t="shared" si="2"/>
        <v>#REF!</v>
      </c>
    </row>
    <row r="189" spans="1:9" ht="59" x14ac:dyDescent="0.75">
      <c r="A189" s="11">
        <v>182</v>
      </c>
      <c r="B189" s="11" t="e">
        <f>ConvertOsiris!I183</f>
        <v>#REF!</v>
      </c>
      <c r="C189" s="12" t="e">
        <f>ConvertOsiris!J183</f>
        <v>#REF!</v>
      </c>
      <c r="D189" s="12" t="e">
        <f>ConvertOsiris!K183</f>
        <v>#REF!</v>
      </c>
      <c r="E189" s="12" t="e">
        <f>ConvertOsiris!L183</f>
        <v>#REF!</v>
      </c>
      <c r="F189" s="11" t="s">
        <v>9</v>
      </c>
      <c r="G189" s="11" t="str">
        <f>ConvertOsiris!M183</f>
        <v>BackboneElement</v>
      </c>
      <c r="H189" s="26"/>
      <c r="I189" s="12" t="e">
        <f t="shared" si="2"/>
        <v>#REF!</v>
      </c>
    </row>
    <row r="190" spans="1:9" ht="59" x14ac:dyDescent="0.75">
      <c r="A190" s="11">
        <v>183</v>
      </c>
      <c r="B190" s="11" t="e">
        <f>ConvertOsiris!I184</f>
        <v>#REF!</v>
      </c>
      <c r="C190" s="12" t="e">
        <f>ConvertOsiris!J184</f>
        <v>#REF!</v>
      </c>
      <c r="D190" s="12" t="e">
        <f>ConvertOsiris!K184</f>
        <v>#REF!</v>
      </c>
      <c r="E190" s="12" t="e">
        <f>ConvertOsiris!L184</f>
        <v>#REF!</v>
      </c>
      <c r="F190" s="11" t="s">
        <v>9</v>
      </c>
      <c r="G190" s="11" t="str">
        <f>ConvertOsiris!M184</f>
        <v>BackboneElement</v>
      </c>
      <c r="H190" s="26"/>
      <c r="I190" s="12" t="e">
        <f t="shared" si="2"/>
        <v>#REF!</v>
      </c>
    </row>
    <row r="191" spans="1:9" ht="73.75" x14ac:dyDescent="0.75">
      <c r="A191" s="11">
        <v>184</v>
      </c>
      <c r="B191" s="11" t="e">
        <f>ConvertOsiris!I185</f>
        <v>#REF!</v>
      </c>
      <c r="C191" s="12" t="e">
        <f>ConvertOsiris!J185</f>
        <v>#REF!</v>
      </c>
      <c r="D191" s="12" t="e">
        <f>ConvertOsiris!K185</f>
        <v>#REF!</v>
      </c>
      <c r="E191" s="12" t="e">
        <f>ConvertOsiris!L185</f>
        <v>#REF!</v>
      </c>
      <c r="F191" s="11" t="s">
        <v>9</v>
      </c>
      <c r="G191" s="11" t="str">
        <f>ConvertOsiris!M185</f>
        <v>BackboneElement</v>
      </c>
      <c r="H191" s="26"/>
      <c r="I191" s="12" t="e">
        <f t="shared" si="2"/>
        <v>#REF!</v>
      </c>
    </row>
    <row r="192" spans="1:9" ht="59" x14ac:dyDescent="0.75">
      <c r="A192" s="11">
        <v>185</v>
      </c>
      <c r="B192" s="11" t="e">
        <f>ConvertOsiris!I186</f>
        <v>#REF!</v>
      </c>
      <c r="C192" s="12" t="e">
        <f>ConvertOsiris!J186</f>
        <v>#REF!</v>
      </c>
      <c r="D192" s="12" t="e">
        <f>ConvertOsiris!K186</f>
        <v>#REF!</v>
      </c>
      <c r="E192" s="12" t="e">
        <f>ConvertOsiris!L186</f>
        <v>#REF!</v>
      </c>
      <c r="F192" s="11" t="s">
        <v>9</v>
      </c>
      <c r="G192" s="11" t="str">
        <f>ConvertOsiris!M186</f>
        <v>BackboneElement</v>
      </c>
      <c r="H192" s="26"/>
      <c r="I192" s="12" t="e">
        <f t="shared" si="2"/>
        <v>#REF!</v>
      </c>
    </row>
    <row r="193" spans="1:9" ht="29.5" x14ac:dyDescent="0.75">
      <c r="A193" s="11">
        <v>186</v>
      </c>
      <c r="B193" s="11" t="e">
        <f>ConvertOsiris!I187</f>
        <v>#REF!</v>
      </c>
      <c r="C193" s="12" t="e">
        <f>ConvertOsiris!J187</f>
        <v>#REF!</v>
      </c>
      <c r="D193" s="12" t="e">
        <f>ConvertOsiris!K187</f>
        <v>#REF!</v>
      </c>
      <c r="E193" s="12">
        <f>ConvertOsiris!L187</f>
        <v>0</v>
      </c>
      <c r="F193" s="11" t="s">
        <v>9</v>
      </c>
      <c r="G193" s="11" t="str">
        <f>ConvertOsiris!M187</f>
        <v>BackboneElement</v>
      </c>
      <c r="H193" s="26"/>
      <c r="I193" s="12" t="e">
        <f t="shared" si="2"/>
        <v>#REF!</v>
      </c>
    </row>
    <row r="194" spans="1:9" ht="59" x14ac:dyDescent="0.75">
      <c r="A194" s="11">
        <v>187</v>
      </c>
      <c r="B194" s="11" t="e">
        <f>ConvertOsiris!I188</f>
        <v>#REF!</v>
      </c>
      <c r="C194" s="12" t="e">
        <f>ConvertOsiris!J188</f>
        <v>#REF!</v>
      </c>
      <c r="D194" s="12" t="e">
        <f>ConvertOsiris!K188</f>
        <v>#REF!</v>
      </c>
      <c r="E194" s="12" t="e">
        <f>ConvertOsiris!L188</f>
        <v>#REF!</v>
      </c>
      <c r="F194" s="11" t="s">
        <v>9</v>
      </c>
      <c r="G194" s="11" t="str">
        <f>ConvertOsiris!M188</f>
        <v>BackboneElement</v>
      </c>
      <c r="H194" s="26"/>
      <c r="I194" s="12" t="e">
        <f t="shared" si="2"/>
        <v>#REF!</v>
      </c>
    </row>
    <row r="195" spans="1:9" ht="59" x14ac:dyDescent="0.75">
      <c r="A195" s="11">
        <v>188</v>
      </c>
      <c r="B195" s="11" t="e">
        <f>ConvertOsiris!I189</f>
        <v>#REF!</v>
      </c>
      <c r="C195" s="12" t="e">
        <f>ConvertOsiris!J189</f>
        <v>#REF!</v>
      </c>
      <c r="D195" s="12" t="e">
        <f>ConvertOsiris!K189</f>
        <v>#REF!</v>
      </c>
      <c r="E195" s="12" t="e">
        <f>ConvertOsiris!L189</f>
        <v>#REF!</v>
      </c>
      <c r="F195" s="11" t="s">
        <v>9</v>
      </c>
      <c r="G195" s="11" t="str">
        <f>ConvertOsiris!M189</f>
        <v>BackboneElement</v>
      </c>
      <c r="H195" s="26"/>
      <c r="I195" s="12" t="e">
        <f t="shared" si="2"/>
        <v>#REF!</v>
      </c>
    </row>
    <row r="196" spans="1:9" ht="59" x14ac:dyDescent="0.75">
      <c r="A196" s="11">
        <v>189</v>
      </c>
      <c r="B196" s="11" t="e">
        <f>ConvertOsiris!I190</f>
        <v>#REF!</v>
      </c>
      <c r="C196" s="12" t="e">
        <f>ConvertOsiris!J190</f>
        <v>#REF!</v>
      </c>
      <c r="D196" s="12" t="e">
        <f>ConvertOsiris!K190</f>
        <v>#REF!</v>
      </c>
      <c r="E196" s="12" t="e">
        <f>ConvertOsiris!L190</f>
        <v>#REF!</v>
      </c>
      <c r="F196" s="11" t="s">
        <v>9</v>
      </c>
      <c r="G196" s="11" t="str">
        <f>ConvertOsiris!M190</f>
        <v>BackboneElement</v>
      </c>
      <c r="H196" s="26"/>
      <c r="I196" s="12" t="e">
        <f t="shared" si="2"/>
        <v>#REF!</v>
      </c>
    </row>
    <row r="197" spans="1:9" ht="44.25" x14ac:dyDescent="0.75">
      <c r="A197" s="11">
        <v>190</v>
      </c>
      <c r="B197" s="11" t="e">
        <f>ConvertOsiris!I191</f>
        <v>#REF!</v>
      </c>
      <c r="C197" s="12" t="e">
        <f>ConvertOsiris!J191</f>
        <v>#REF!</v>
      </c>
      <c r="D197" s="12" t="e">
        <f>ConvertOsiris!K191</f>
        <v>#REF!</v>
      </c>
      <c r="E197" s="12" t="e">
        <f>ConvertOsiris!L191</f>
        <v>#REF!</v>
      </c>
      <c r="F197" s="11" t="s">
        <v>9</v>
      </c>
      <c r="G197" s="11" t="str">
        <f>ConvertOsiris!M191</f>
        <v>BackboneElement</v>
      </c>
      <c r="H197" s="26"/>
      <c r="I197" s="12" t="e">
        <f t="shared" si="2"/>
        <v>#REF!</v>
      </c>
    </row>
    <row r="198" spans="1:9" ht="59" x14ac:dyDescent="0.75">
      <c r="A198" s="11">
        <v>191</v>
      </c>
      <c r="B198" s="11" t="e">
        <f>ConvertOsiris!I192</f>
        <v>#REF!</v>
      </c>
      <c r="C198" s="12" t="e">
        <f>ConvertOsiris!J192</f>
        <v>#REF!</v>
      </c>
      <c r="D198" s="12" t="e">
        <f>ConvertOsiris!K192</f>
        <v>#REF!</v>
      </c>
      <c r="E198" s="12" t="e">
        <f>ConvertOsiris!L192</f>
        <v>#REF!</v>
      </c>
      <c r="F198" s="11" t="s">
        <v>9</v>
      </c>
      <c r="G198" s="11" t="str">
        <f>ConvertOsiris!M192</f>
        <v>BackboneElement</v>
      </c>
      <c r="H198" s="26"/>
      <c r="I198" s="12" t="e">
        <f t="shared" si="2"/>
        <v>#REF!</v>
      </c>
    </row>
    <row r="199" spans="1:9" ht="59" x14ac:dyDescent="0.75">
      <c r="A199" s="11">
        <v>192</v>
      </c>
      <c r="B199" s="11" t="e">
        <f>ConvertOsiris!I193</f>
        <v>#REF!</v>
      </c>
      <c r="C199" s="12" t="e">
        <f>ConvertOsiris!J193</f>
        <v>#REF!</v>
      </c>
      <c r="D199" s="12" t="e">
        <f>ConvertOsiris!K193</f>
        <v>#REF!</v>
      </c>
      <c r="E199" s="12" t="e">
        <f>ConvertOsiris!L193</f>
        <v>#REF!</v>
      </c>
      <c r="F199" s="11" t="s">
        <v>9</v>
      </c>
      <c r="G199" s="11" t="str">
        <f>ConvertOsiris!M193</f>
        <v>BackboneElement</v>
      </c>
      <c r="H199" s="26"/>
      <c r="I199" s="12" t="e">
        <f t="shared" si="2"/>
        <v>#REF!</v>
      </c>
    </row>
    <row r="200" spans="1:9" ht="29.5" x14ac:dyDescent="0.75">
      <c r="A200" s="11">
        <v>193</v>
      </c>
      <c r="B200" s="11" t="e">
        <f>ConvertOsiris!I194</f>
        <v>#REF!</v>
      </c>
      <c r="C200" s="12" t="e">
        <f>ConvertOsiris!J194</f>
        <v>#REF!</v>
      </c>
      <c r="D200" s="12" t="e">
        <f>ConvertOsiris!K194</f>
        <v>#REF!</v>
      </c>
      <c r="E200" s="12">
        <f>ConvertOsiris!L194</f>
        <v>0</v>
      </c>
      <c r="F200" s="11" t="s">
        <v>9</v>
      </c>
      <c r="G200" s="11" t="str">
        <f>ConvertOsiris!M194</f>
        <v>BackboneElement</v>
      </c>
      <c r="H200" s="26"/>
      <c r="I200" s="12" t="e">
        <f t="shared" ref="I200:I262" si="3">IF(B200=0,"//---- END",CONCATENATE("* ",B200, " ",E200,"..",F200," ",G200," ##34#",C200,"##34# ##334#",D200,"##334#"))</f>
        <v>#REF!</v>
      </c>
    </row>
    <row r="201" spans="1:9" ht="59" x14ac:dyDescent="0.75">
      <c r="A201" s="11">
        <v>194</v>
      </c>
      <c r="B201" s="11" t="e">
        <f>ConvertOsiris!I195</f>
        <v>#REF!</v>
      </c>
      <c r="C201" s="12" t="e">
        <f>ConvertOsiris!J195</f>
        <v>#REF!</v>
      </c>
      <c r="D201" s="12" t="e">
        <f>ConvertOsiris!K195</f>
        <v>#REF!</v>
      </c>
      <c r="E201" s="12" t="e">
        <f>ConvertOsiris!L195</f>
        <v>#REF!</v>
      </c>
      <c r="F201" s="11" t="s">
        <v>9</v>
      </c>
      <c r="G201" s="11" t="str">
        <f>ConvertOsiris!M195</f>
        <v>BackboneElement</v>
      </c>
      <c r="H201" s="26"/>
      <c r="I201" s="12" t="e">
        <f t="shared" si="3"/>
        <v>#REF!</v>
      </c>
    </row>
    <row r="202" spans="1:9" ht="59" x14ac:dyDescent="0.75">
      <c r="A202" s="11">
        <v>195</v>
      </c>
      <c r="B202" s="11" t="e">
        <f>ConvertOsiris!I196</f>
        <v>#REF!</v>
      </c>
      <c r="C202" s="12" t="e">
        <f>ConvertOsiris!J196</f>
        <v>#REF!</v>
      </c>
      <c r="D202" s="12" t="e">
        <f>ConvertOsiris!K196</f>
        <v>#REF!</v>
      </c>
      <c r="E202" s="12" t="e">
        <f>ConvertOsiris!L196</f>
        <v>#REF!</v>
      </c>
      <c r="F202" s="11" t="s">
        <v>9</v>
      </c>
      <c r="G202" s="11" t="str">
        <f>ConvertOsiris!M196</f>
        <v>BackboneElement</v>
      </c>
      <c r="H202" s="26"/>
      <c r="I202" s="12" t="e">
        <f t="shared" si="3"/>
        <v>#REF!</v>
      </c>
    </row>
    <row r="203" spans="1:9" ht="59" x14ac:dyDescent="0.75">
      <c r="A203" s="11">
        <v>196</v>
      </c>
      <c r="B203" s="11" t="e">
        <f>ConvertOsiris!I197</f>
        <v>#REF!</v>
      </c>
      <c r="C203" s="12" t="e">
        <f>ConvertOsiris!J197</f>
        <v>#REF!</v>
      </c>
      <c r="D203" s="12" t="e">
        <f>ConvertOsiris!K197</f>
        <v>#REF!</v>
      </c>
      <c r="E203" s="12" t="e">
        <f>ConvertOsiris!L197</f>
        <v>#REF!</v>
      </c>
      <c r="F203" s="11" t="s">
        <v>9</v>
      </c>
      <c r="G203" s="11" t="str">
        <f>ConvertOsiris!M197</f>
        <v>BackboneElement</v>
      </c>
      <c r="H203" s="26"/>
      <c r="I203" s="12" t="e">
        <f t="shared" si="3"/>
        <v>#REF!</v>
      </c>
    </row>
    <row r="204" spans="1:9" ht="59" x14ac:dyDescent="0.75">
      <c r="A204" s="11">
        <v>197</v>
      </c>
      <c r="B204" s="11" t="e">
        <f>ConvertOsiris!I198</f>
        <v>#REF!</v>
      </c>
      <c r="C204" s="12" t="e">
        <f>ConvertOsiris!J198</f>
        <v>#REF!</v>
      </c>
      <c r="D204" s="12" t="e">
        <f>ConvertOsiris!K198</f>
        <v>#REF!</v>
      </c>
      <c r="E204" s="12" t="e">
        <f>ConvertOsiris!L198</f>
        <v>#REF!</v>
      </c>
      <c r="F204" s="11" t="s">
        <v>9</v>
      </c>
      <c r="G204" s="11" t="str">
        <f>ConvertOsiris!M198</f>
        <v>BackboneElement</v>
      </c>
      <c r="H204" s="26"/>
      <c r="I204" s="12" t="e">
        <f t="shared" si="3"/>
        <v>#REF!</v>
      </c>
    </row>
    <row r="205" spans="1:9" ht="59" x14ac:dyDescent="0.75">
      <c r="A205" s="11">
        <v>198</v>
      </c>
      <c r="B205" s="11" t="e">
        <f>ConvertOsiris!I199</f>
        <v>#REF!</v>
      </c>
      <c r="C205" s="12" t="e">
        <f>ConvertOsiris!J199</f>
        <v>#REF!</v>
      </c>
      <c r="D205" s="12" t="e">
        <f>ConvertOsiris!K199</f>
        <v>#REF!</v>
      </c>
      <c r="E205" s="12" t="e">
        <f>ConvertOsiris!L199</f>
        <v>#REF!</v>
      </c>
      <c r="F205" s="11" t="s">
        <v>9</v>
      </c>
      <c r="G205" s="11" t="str">
        <f>ConvertOsiris!M199</f>
        <v>BackboneElement</v>
      </c>
      <c r="H205" s="26"/>
      <c r="I205" s="12" t="e">
        <f t="shared" si="3"/>
        <v>#REF!</v>
      </c>
    </row>
    <row r="206" spans="1:9" ht="59" x14ac:dyDescent="0.75">
      <c r="A206" s="11">
        <v>199</v>
      </c>
      <c r="B206" s="11" t="e">
        <f>ConvertOsiris!I200</f>
        <v>#REF!</v>
      </c>
      <c r="C206" s="12" t="e">
        <f>ConvertOsiris!J200</f>
        <v>#REF!</v>
      </c>
      <c r="D206" s="12" t="e">
        <f>ConvertOsiris!K200</f>
        <v>#REF!</v>
      </c>
      <c r="E206" s="12" t="e">
        <f>ConvertOsiris!L200</f>
        <v>#REF!</v>
      </c>
      <c r="F206" s="11" t="s">
        <v>9</v>
      </c>
      <c r="G206" s="11" t="str">
        <f>ConvertOsiris!M200</f>
        <v>BackboneElement</v>
      </c>
      <c r="H206" s="26"/>
      <c r="I206" s="12" t="e">
        <f t="shared" si="3"/>
        <v>#REF!</v>
      </c>
    </row>
    <row r="207" spans="1:9" ht="59" x14ac:dyDescent="0.75">
      <c r="A207" s="11">
        <v>200</v>
      </c>
      <c r="B207" s="11" t="e">
        <f>ConvertOsiris!I201</f>
        <v>#REF!</v>
      </c>
      <c r="C207" s="12" t="e">
        <f>ConvertOsiris!J201</f>
        <v>#REF!</v>
      </c>
      <c r="D207" s="12" t="e">
        <f>ConvertOsiris!K201</f>
        <v>#REF!</v>
      </c>
      <c r="E207" s="12" t="e">
        <f>ConvertOsiris!L201</f>
        <v>#REF!</v>
      </c>
      <c r="F207" s="11" t="s">
        <v>9</v>
      </c>
      <c r="G207" s="11" t="str">
        <f>ConvertOsiris!M201</f>
        <v>BackboneElement</v>
      </c>
      <c r="H207" s="26"/>
      <c r="I207" s="12" t="e">
        <f t="shared" si="3"/>
        <v>#REF!</v>
      </c>
    </row>
    <row r="208" spans="1:9" ht="59" x14ac:dyDescent="0.75">
      <c r="A208" s="11">
        <v>201</v>
      </c>
      <c r="B208" s="11" t="e">
        <f>ConvertOsiris!I202</f>
        <v>#REF!</v>
      </c>
      <c r="C208" s="12" t="e">
        <f>ConvertOsiris!J202</f>
        <v>#REF!</v>
      </c>
      <c r="D208" s="12" t="e">
        <f>ConvertOsiris!K202</f>
        <v>#REF!</v>
      </c>
      <c r="E208" s="12" t="e">
        <f>ConvertOsiris!L202</f>
        <v>#REF!</v>
      </c>
      <c r="F208" s="11" t="s">
        <v>9</v>
      </c>
      <c r="G208" s="11" t="str">
        <f>ConvertOsiris!M202</f>
        <v>BackboneElement</v>
      </c>
      <c r="H208" s="26"/>
      <c r="I208" s="12" t="e">
        <f t="shared" si="3"/>
        <v>#REF!</v>
      </c>
    </row>
    <row r="209" spans="1:9" ht="59" x14ac:dyDescent="0.75">
      <c r="A209" s="11">
        <v>202</v>
      </c>
      <c r="B209" s="11" t="e">
        <f>ConvertOsiris!I203</f>
        <v>#REF!</v>
      </c>
      <c r="C209" s="12" t="e">
        <f>ConvertOsiris!J203</f>
        <v>#REF!</v>
      </c>
      <c r="D209" s="12" t="e">
        <f>ConvertOsiris!K203</f>
        <v>#REF!</v>
      </c>
      <c r="E209" s="12" t="e">
        <f>ConvertOsiris!L203</f>
        <v>#REF!</v>
      </c>
      <c r="F209" s="11" t="s">
        <v>9</v>
      </c>
      <c r="G209" s="11" t="str">
        <f>ConvertOsiris!M203</f>
        <v>BackboneElement</v>
      </c>
      <c r="H209" s="26"/>
      <c r="I209" s="12" t="e">
        <f t="shared" si="3"/>
        <v>#REF!</v>
      </c>
    </row>
    <row r="210" spans="1:9" x14ac:dyDescent="0.75">
      <c r="A210" s="11">
        <v>203</v>
      </c>
      <c r="B210" s="11" t="e">
        <f>ConvertOsiris!I204</f>
        <v>#REF!</v>
      </c>
      <c r="C210" s="12" t="e">
        <f>ConvertOsiris!J204</f>
        <v>#REF!</v>
      </c>
      <c r="D210" s="12" t="e">
        <f>ConvertOsiris!K204</f>
        <v>#REF!</v>
      </c>
      <c r="E210" s="12">
        <f>ConvertOsiris!L204</f>
        <v>0</v>
      </c>
      <c r="F210" s="11" t="s">
        <v>9</v>
      </c>
      <c r="G210" s="11" t="str">
        <f>ConvertOsiris!M204</f>
        <v>BackboneElement</v>
      </c>
      <c r="H210" s="26"/>
      <c r="I210" s="12" t="e">
        <f t="shared" si="3"/>
        <v>#REF!</v>
      </c>
    </row>
    <row r="211" spans="1:9" ht="44.25" x14ac:dyDescent="0.75">
      <c r="A211" s="11">
        <v>204</v>
      </c>
      <c r="B211" s="11" t="e">
        <f>ConvertOsiris!I205</f>
        <v>#REF!</v>
      </c>
      <c r="C211" s="12" t="e">
        <f>ConvertOsiris!J205</f>
        <v>#REF!</v>
      </c>
      <c r="D211" s="12" t="e">
        <f>ConvertOsiris!K205</f>
        <v>#REF!</v>
      </c>
      <c r="E211" s="12" t="e">
        <f>ConvertOsiris!L205</f>
        <v>#REF!</v>
      </c>
      <c r="F211" s="11" t="s">
        <v>9</v>
      </c>
      <c r="G211" s="11" t="str">
        <f>ConvertOsiris!M205</f>
        <v>BackboneElement</v>
      </c>
      <c r="H211" s="26"/>
      <c r="I211" s="12" t="e">
        <f t="shared" si="3"/>
        <v>#REF!</v>
      </c>
    </row>
    <row r="212" spans="1:9" ht="59" x14ac:dyDescent="0.75">
      <c r="A212" s="11">
        <v>205</v>
      </c>
      <c r="B212" s="11" t="e">
        <f>ConvertOsiris!I206</f>
        <v>#REF!</v>
      </c>
      <c r="C212" s="12" t="e">
        <f>ConvertOsiris!J206</f>
        <v>#REF!</v>
      </c>
      <c r="D212" s="12" t="e">
        <f>ConvertOsiris!K206</f>
        <v>#REF!</v>
      </c>
      <c r="E212" s="12" t="e">
        <f>ConvertOsiris!L206</f>
        <v>#REF!</v>
      </c>
      <c r="F212" s="11" t="s">
        <v>9</v>
      </c>
      <c r="G212" s="11" t="str">
        <f>ConvertOsiris!M206</f>
        <v>BackboneElement</v>
      </c>
      <c r="H212" s="26"/>
      <c r="I212" s="12" t="e">
        <f t="shared" si="3"/>
        <v>#REF!</v>
      </c>
    </row>
    <row r="213" spans="1:9" ht="59" x14ac:dyDescent="0.75">
      <c r="A213" s="11">
        <v>206</v>
      </c>
      <c r="B213" s="11" t="e">
        <f>ConvertOsiris!I207</f>
        <v>#REF!</v>
      </c>
      <c r="C213" s="12" t="e">
        <f>ConvertOsiris!J207</f>
        <v>#REF!</v>
      </c>
      <c r="D213" s="12" t="e">
        <f>ConvertOsiris!K207</f>
        <v>#REF!</v>
      </c>
      <c r="E213" s="12" t="e">
        <f>ConvertOsiris!L207</f>
        <v>#REF!</v>
      </c>
      <c r="F213" s="11" t="s">
        <v>9</v>
      </c>
      <c r="G213" s="11" t="str">
        <f>ConvertOsiris!M207</f>
        <v>BackboneElement</v>
      </c>
      <c r="H213" s="26"/>
      <c r="I213" s="12" t="e">
        <f t="shared" si="3"/>
        <v>#REF!</v>
      </c>
    </row>
    <row r="214" spans="1:9" ht="59" x14ac:dyDescent="0.75">
      <c r="A214" s="11">
        <v>207</v>
      </c>
      <c r="B214" s="11" t="e">
        <f>ConvertOsiris!I208</f>
        <v>#REF!</v>
      </c>
      <c r="C214" s="12" t="e">
        <f>ConvertOsiris!J208</f>
        <v>#REF!</v>
      </c>
      <c r="D214" s="12" t="e">
        <f>ConvertOsiris!K208</f>
        <v>#REF!</v>
      </c>
      <c r="E214" s="12" t="e">
        <f>ConvertOsiris!L208</f>
        <v>#REF!</v>
      </c>
      <c r="F214" s="11" t="s">
        <v>9</v>
      </c>
      <c r="G214" s="11" t="str">
        <f>ConvertOsiris!M208</f>
        <v>BackboneElement</v>
      </c>
      <c r="H214" s="26"/>
      <c r="I214" s="12" t="e">
        <f t="shared" si="3"/>
        <v>#REF!</v>
      </c>
    </row>
    <row r="215" spans="1:9" ht="59" x14ac:dyDescent="0.75">
      <c r="A215" s="11">
        <v>208</v>
      </c>
      <c r="B215" s="11" t="e">
        <f>ConvertOsiris!I209</f>
        <v>#REF!</v>
      </c>
      <c r="C215" s="12" t="e">
        <f>ConvertOsiris!J209</f>
        <v>#REF!</v>
      </c>
      <c r="D215" s="12" t="e">
        <f>ConvertOsiris!K209</f>
        <v>#REF!</v>
      </c>
      <c r="E215" s="12" t="e">
        <f>ConvertOsiris!L209</f>
        <v>#REF!</v>
      </c>
      <c r="F215" s="11" t="s">
        <v>9</v>
      </c>
      <c r="G215" s="11" t="str">
        <f>ConvertOsiris!M209</f>
        <v>BackboneElement</v>
      </c>
      <c r="H215" s="26"/>
      <c r="I215" s="12" t="e">
        <f t="shared" si="3"/>
        <v>#REF!</v>
      </c>
    </row>
    <row r="216" spans="1:9" ht="59" x14ac:dyDescent="0.75">
      <c r="A216" s="11">
        <v>209</v>
      </c>
      <c r="B216" s="11" t="e">
        <f>ConvertOsiris!I210</f>
        <v>#REF!</v>
      </c>
      <c r="C216" s="12" t="e">
        <f>ConvertOsiris!J210</f>
        <v>#REF!</v>
      </c>
      <c r="D216" s="12" t="e">
        <f>ConvertOsiris!K210</f>
        <v>#REF!</v>
      </c>
      <c r="E216" s="12" t="e">
        <f>ConvertOsiris!L210</f>
        <v>#REF!</v>
      </c>
      <c r="F216" s="11" t="s">
        <v>9</v>
      </c>
      <c r="G216" s="11" t="str">
        <f>ConvertOsiris!M210</f>
        <v>BackboneElement</v>
      </c>
      <c r="H216" s="26"/>
      <c r="I216" s="12" t="e">
        <f t="shared" si="3"/>
        <v>#REF!</v>
      </c>
    </row>
    <row r="217" spans="1:9" x14ac:dyDescent="0.75">
      <c r="A217" s="11">
        <v>210</v>
      </c>
      <c r="B217" s="11" t="e">
        <f>ConvertOsiris!I211</f>
        <v>#REF!</v>
      </c>
      <c r="C217" s="12" t="e">
        <f>ConvertOsiris!J211</f>
        <v>#REF!</v>
      </c>
      <c r="D217" s="12" t="e">
        <f>ConvertOsiris!K211</f>
        <v>#REF!</v>
      </c>
      <c r="E217" s="12">
        <f>ConvertOsiris!L211</f>
        <v>0</v>
      </c>
      <c r="F217" s="11" t="s">
        <v>9</v>
      </c>
      <c r="G217" s="11" t="str">
        <f>ConvertOsiris!M211</f>
        <v>BackboneElement</v>
      </c>
      <c r="H217" s="26"/>
      <c r="I217" s="12" t="e">
        <f t="shared" si="3"/>
        <v>#REF!</v>
      </c>
    </row>
    <row r="218" spans="1:9" ht="73.75" x14ac:dyDescent="0.75">
      <c r="A218" s="11">
        <v>211</v>
      </c>
      <c r="B218" s="11" t="e">
        <f>ConvertOsiris!I212</f>
        <v>#REF!</v>
      </c>
      <c r="C218" s="12" t="e">
        <f>ConvertOsiris!J212</f>
        <v>#REF!</v>
      </c>
      <c r="D218" s="12" t="e">
        <f>ConvertOsiris!K212</f>
        <v>#REF!</v>
      </c>
      <c r="E218" s="12" t="e">
        <f>ConvertOsiris!L212</f>
        <v>#REF!</v>
      </c>
      <c r="F218" s="11" t="s">
        <v>9</v>
      </c>
      <c r="G218" s="11" t="str">
        <f>ConvertOsiris!M212</f>
        <v>BackboneElement</v>
      </c>
      <c r="H218" s="26"/>
      <c r="I218" s="12" t="e">
        <f t="shared" si="3"/>
        <v>#REF!</v>
      </c>
    </row>
    <row r="219" spans="1:9" ht="59" x14ac:dyDescent="0.75">
      <c r="A219" s="11">
        <v>212</v>
      </c>
      <c r="B219" s="11" t="e">
        <f>ConvertOsiris!I213</f>
        <v>#REF!</v>
      </c>
      <c r="C219" s="12" t="e">
        <f>ConvertOsiris!J213</f>
        <v>#REF!</v>
      </c>
      <c r="D219" s="12" t="e">
        <f>ConvertOsiris!K213</f>
        <v>#REF!</v>
      </c>
      <c r="E219" s="12" t="e">
        <f>ConvertOsiris!L213</f>
        <v>#REF!</v>
      </c>
      <c r="F219" s="11" t="s">
        <v>9</v>
      </c>
      <c r="G219" s="11" t="str">
        <f>ConvertOsiris!M213</f>
        <v>BackboneElement</v>
      </c>
      <c r="H219" s="26"/>
      <c r="I219" s="12" t="e">
        <f t="shared" si="3"/>
        <v>#REF!</v>
      </c>
    </row>
    <row r="220" spans="1:9" ht="59" x14ac:dyDescent="0.75">
      <c r="A220" s="11">
        <v>213</v>
      </c>
      <c r="B220" s="11" t="e">
        <f>ConvertOsiris!I214</f>
        <v>#REF!</v>
      </c>
      <c r="C220" s="12" t="e">
        <f>ConvertOsiris!J214</f>
        <v>#REF!</v>
      </c>
      <c r="D220" s="12" t="e">
        <f>ConvertOsiris!K214</f>
        <v>#REF!</v>
      </c>
      <c r="E220" s="12" t="e">
        <f>ConvertOsiris!L214</f>
        <v>#REF!</v>
      </c>
      <c r="F220" s="11" t="s">
        <v>9</v>
      </c>
      <c r="G220" s="11" t="str">
        <f>ConvertOsiris!M214</f>
        <v>BackboneElement</v>
      </c>
      <c r="H220" s="26"/>
      <c r="I220" s="12" t="e">
        <f t="shared" si="3"/>
        <v>#REF!</v>
      </c>
    </row>
    <row r="221" spans="1:9" ht="29.5" x14ac:dyDescent="0.75">
      <c r="A221" s="11">
        <v>214</v>
      </c>
      <c r="B221" s="11" t="e">
        <f>ConvertOsiris!I215</f>
        <v>#REF!</v>
      </c>
      <c r="C221" s="12" t="e">
        <f>ConvertOsiris!J215</f>
        <v>#REF!</v>
      </c>
      <c r="D221" s="12" t="e">
        <f>ConvertOsiris!K215</f>
        <v>#REF!</v>
      </c>
      <c r="E221" s="12">
        <f>ConvertOsiris!L215</f>
        <v>0</v>
      </c>
      <c r="F221" s="11" t="s">
        <v>9</v>
      </c>
      <c r="G221" s="11" t="str">
        <f>ConvertOsiris!M215</f>
        <v>BackboneElement</v>
      </c>
      <c r="H221" s="26"/>
      <c r="I221" s="12" t="e">
        <f t="shared" si="3"/>
        <v>#REF!</v>
      </c>
    </row>
    <row r="222" spans="1:9" ht="73.75" x14ac:dyDescent="0.75">
      <c r="A222" s="11">
        <v>215</v>
      </c>
      <c r="B222" s="11" t="e">
        <f>ConvertOsiris!I216</f>
        <v>#REF!</v>
      </c>
      <c r="C222" s="12" t="e">
        <f>ConvertOsiris!J216</f>
        <v>#REF!</v>
      </c>
      <c r="D222" s="12" t="e">
        <f>ConvertOsiris!K216</f>
        <v>#REF!</v>
      </c>
      <c r="E222" s="12" t="e">
        <f>ConvertOsiris!L216</f>
        <v>#REF!</v>
      </c>
      <c r="F222" s="11" t="s">
        <v>9</v>
      </c>
      <c r="G222" s="11" t="str">
        <f>ConvertOsiris!M216</f>
        <v>BackboneElement</v>
      </c>
      <c r="H222" s="26"/>
      <c r="I222" s="12" t="e">
        <f t="shared" si="3"/>
        <v>#REF!</v>
      </c>
    </row>
    <row r="223" spans="1:9" ht="59" x14ac:dyDescent="0.75">
      <c r="A223" s="11">
        <v>216</v>
      </c>
      <c r="B223" s="11" t="e">
        <f>ConvertOsiris!I217</f>
        <v>#REF!</v>
      </c>
      <c r="C223" s="12" t="e">
        <f>ConvertOsiris!J217</f>
        <v>#REF!</v>
      </c>
      <c r="D223" s="12" t="e">
        <f>ConvertOsiris!K217</f>
        <v>#REF!</v>
      </c>
      <c r="E223" s="12" t="e">
        <f>ConvertOsiris!L217</f>
        <v>#REF!</v>
      </c>
      <c r="F223" s="11" t="s">
        <v>9</v>
      </c>
      <c r="G223" s="11" t="str">
        <f>ConvertOsiris!M217</f>
        <v>BackboneElement</v>
      </c>
      <c r="H223" s="26"/>
      <c r="I223" s="12" t="e">
        <f t="shared" si="3"/>
        <v>#REF!</v>
      </c>
    </row>
    <row r="224" spans="1:9" ht="59" x14ac:dyDescent="0.75">
      <c r="A224" s="11">
        <v>217</v>
      </c>
      <c r="B224" s="11" t="e">
        <f>ConvertOsiris!I218</f>
        <v>#REF!</v>
      </c>
      <c r="C224" s="12" t="e">
        <f>ConvertOsiris!J218</f>
        <v>#REF!</v>
      </c>
      <c r="D224" s="12" t="e">
        <f>ConvertOsiris!K218</f>
        <v>#REF!</v>
      </c>
      <c r="E224" s="12" t="e">
        <f>ConvertOsiris!L218</f>
        <v>#REF!</v>
      </c>
      <c r="F224" s="11" t="s">
        <v>9</v>
      </c>
      <c r="G224" s="11" t="str">
        <f>ConvertOsiris!M218</f>
        <v>BackboneElement</v>
      </c>
      <c r="H224" s="26"/>
      <c r="I224" s="12" t="e">
        <f t="shared" si="3"/>
        <v>#REF!</v>
      </c>
    </row>
    <row r="225" spans="1:9" ht="29.5" x14ac:dyDescent="0.75">
      <c r="A225" s="11">
        <v>218</v>
      </c>
      <c r="B225" s="11" t="e">
        <f>ConvertOsiris!I219</f>
        <v>#REF!</v>
      </c>
      <c r="C225" s="12" t="e">
        <f>ConvertOsiris!J219</f>
        <v>#REF!</v>
      </c>
      <c r="D225" s="12" t="e">
        <f>ConvertOsiris!K219</f>
        <v>#REF!</v>
      </c>
      <c r="E225" s="12">
        <f>ConvertOsiris!L219</f>
        <v>0</v>
      </c>
      <c r="F225" s="11" t="s">
        <v>9</v>
      </c>
      <c r="G225" s="11" t="str">
        <f>ConvertOsiris!M219</f>
        <v>BackboneElement</v>
      </c>
      <c r="H225" s="26"/>
      <c r="I225" s="12" t="e">
        <f t="shared" si="3"/>
        <v>#REF!</v>
      </c>
    </row>
    <row r="226" spans="1:9" ht="59" x14ac:dyDescent="0.75">
      <c r="A226" s="11">
        <v>219</v>
      </c>
      <c r="B226" s="11" t="e">
        <f>ConvertOsiris!I220</f>
        <v>#REF!</v>
      </c>
      <c r="C226" s="12" t="e">
        <f>ConvertOsiris!J220</f>
        <v>#REF!</v>
      </c>
      <c r="D226" s="12" t="e">
        <f>ConvertOsiris!K220</f>
        <v>#REF!</v>
      </c>
      <c r="E226" s="12" t="e">
        <f>ConvertOsiris!L220</f>
        <v>#REF!</v>
      </c>
      <c r="F226" s="11" t="s">
        <v>9</v>
      </c>
      <c r="G226" s="11" t="str">
        <f>ConvertOsiris!M220</f>
        <v>BackboneElement</v>
      </c>
      <c r="H226" s="26"/>
      <c r="I226" s="12" t="e">
        <f t="shared" si="3"/>
        <v>#REF!</v>
      </c>
    </row>
    <row r="227" spans="1:9" ht="59" x14ac:dyDescent="0.75">
      <c r="A227" s="11">
        <v>220</v>
      </c>
      <c r="B227" s="11" t="e">
        <f>ConvertOsiris!I221</f>
        <v>#REF!</v>
      </c>
      <c r="C227" s="12" t="e">
        <f>ConvertOsiris!J221</f>
        <v>#REF!</v>
      </c>
      <c r="D227" s="12" t="e">
        <f>ConvertOsiris!K221</f>
        <v>#REF!</v>
      </c>
      <c r="E227" s="12" t="e">
        <f>ConvertOsiris!L221</f>
        <v>#REF!</v>
      </c>
      <c r="F227" s="11" t="s">
        <v>9</v>
      </c>
      <c r="G227" s="11" t="str">
        <f>ConvertOsiris!M221</f>
        <v>BackboneElement</v>
      </c>
      <c r="H227" s="26"/>
      <c r="I227" s="12" t="e">
        <f t="shared" si="3"/>
        <v>#REF!</v>
      </c>
    </row>
    <row r="228" spans="1:9" ht="73.75" x14ac:dyDescent="0.75">
      <c r="A228" s="11">
        <v>221</v>
      </c>
      <c r="B228" s="11" t="e">
        <f>ConvertOsiris!I222</f>
        <v>#REF!</v>
      </c>
      <c r="C228" s="12" t="e">
        <f>ConvertOsiris!J222</f>
        <v>#REF!</v>
      </c>
      <c r="D228" s="12" t="e">
        <f>ConvertOsiris!K222</f>
        <v>#REF!</v>
      </c>
      <c r="E228" s="12" t="e">
        <f>ConvertOsiris!L222</f>
        <v>#REF!</v>
      </c>
      <c r="F228" s="11" t="s">
        <v>9</v>
      </c>
      <c r="G228" s="11" t="str">
        <f>ConvertOsiris!M222</f>
        <v>BackboneElement</v>
      </c>
      <c r="H228" s="26"/>
      <c r="I228" s="12" t="e">
        <f t="shared" si="3"/>
        <v>#REF!</v>
      </c>
    </row>
    <row r="229" spans="1:9" ht="73.75" x14ac:dyDescent="0.75">
      <c r="A229" s="11">
        <v>222</v>
      </c>
      <c r="B229" s="11" t="e">
        <f>ConvertOsiris!I223</f>
        <v>#REF!</v>
      </c>
      <c r="C229" s="12" t="e">
        <f>ConvertOsiris!J223</f>
        <v>#REF!</v>
      </c>
      <c r="D229" s="12" t="e">
        <f>ConvertOsiris!K223</f>
        <v>#REF!</v>
      </c>
      <c r="E229" s="12" t="e">
        <f>ConvertOsiris!L223</f>
        <v>#REF!</v>
      </c>
      <c r="F229" s="11" t="s">
        <v>9</v>
      </c>
      <c r="G229" s="11" t="str">
        <f>ConvertOsiris!M223</f>
        <v>BackboneElement</v>
      </c>
      <c r="H229" s="26"/>
      <c r="I229" s="12" t="e">
        <f t="shared" si="3"/>
        <v>#REF!</v>
      </c>
    </row>
    <row r="230" spans="1:9" ht="44.25" x14ac:dyDescent="0.75">
      <c r="A230" s="11">
        <v>223</v>
      </c>
      <c r="B230" s="11" t="e">
        <f>ConvertOsiris!I224</f>
        <v>#REF!</v>
      </c>
      <c r="C230" s="12" t="e">
        <f>ConvertOsiris!J224</f>
        <v>#REF!</v>
      </c>
      <c r="D230" s="12" t="e">
        <f>ConvertOsiris!K224</f>
        <v>#REF!</v>
      </c>
      <c r="E230" s="12" t="e">
        <f>ConvertOsiris!L224</f>
        <v>#REF!</v>
      </c>
      <c r="F230" s="11" t="s">
        <v>9</v>
      </c>
      <c r="G230" s="11" t="str">
        <f>ConvertOsiris!M224</f>
        <v>BackboneElement</v>
      </c>
      <c r="H230" s="26"/>
      <c r="I230" s="12" t="e">
        <f t="shared" si="3"/>
        <v>#REF!</v>
      </c>
    </row>
    <row r="231" spans="1:9" ht="59" x14ac:dyDescent="0.75">
      <c r="A231" s="11">
        <v>224</v>
      </c>
      <c r="B231" s="11" t="e">
        <f>ConvertOsiris!I225</f>
        <v>#REF!</v>
      </c>
      <c r="C231" s="12" t="e">
        <f>ConvertOsiris!J225</f>
        <v>#REF!</v>
      </c>
      <c r="D231" s="12" t="e">
        <f>ConvertOsiris!K225</f>
        <v>#REF!</v>
      </c>
      <c r="E231" s="12" t="e">
        <f>ConvertOsiris!L225</f>
        <v>#REF!</v>
      </c>
      <c r="F231" s="11" t="s">
        <v>9</v>
      </c>
      <c r="G231" s="11" t="str">
        <f>ConvertOsiris!M225</f>
        <v>BackboneElement</v>
      </c>
      <c r="H231" s="26"/>
      <c r="I231" s="12" t="e">
        <f t="shared" si="3"/>
        <v>#REF!</v>
      </c>
    </row>
    <row r="232" spans="1:9" ht="59" x14ac:dyDescent="0.75">
      <c r="A232" s="11">
        <v>225</v>
      </c>
      <c r="B232" s="11" t="e">
        <f>ConvertOsiris!I226</f>
        <v>#REF!</v>
      </c>
      <c r="C232" s="12" t="e">
        <f>ConvertOsiris!J226</f>
        <v>#REF!</v>
      </c>
      <c r="D232" s="12" t="e">
        <f>ConvertOsiris!K226</f>
        <v>#REF!</v>
      </c>
      <c r="E232" s="12" t="e">
        <f>ConvertOsiris!L226</f>
        <v>#REF!</v>
      </c>
      <c r="F232" s="11" t="s">
        <v>9</v>
      </c>
      <c r="G232" s="11" t="str">
        <f>ConvertOsiris!M226</f>
        <v>BackboneElement</v>
      </c>
      <c r="H232" s="26"/>
      <c r="I232" s="12" t="e">
        <f t="shared" si="3"/>
        <v>#REF!</v>
      </c>
    </row>
    <row r="233" spans="1:9" ht="59" x14ac:dyDescent="0.75">
      <c r="A233" s="11">
        <v>226</v>
      </c>
      <c r="B233" s="11" t="e">
        <f>ConvertOsiris!I227</f>
        <v>#REF!</v>
      </c>
      <c r="C233" s="12" t="e">
        <f>ConvertOsiris!J227</f>
        <v>#REF!</v>
      </c>
      <c r="D233" s="12" t="e">
        <f>ConvertOsiris!K227</f>
        <v>#REF!</v>
      </c>
      <c r="E233" s="12" t="e">
        <f>ConvertOsiris!L227</f>
        <v>#REF!</v>
      </c>
      <c r="F233" s="11" t="s">
        <v>9</v>
      </c>
      <c r="G233" s="11" t="str">
        <f>ConvertOsiris!M227</f>
        <v>BackboneElement</v>
      </c>
      <c r="H233" s="26"/>
      <c r="I233" s="12" t="e">
        <f t="shared" si="3"/>
        <v>#REF!</v>
      </c>
    </row>
    <row r="234" spans="1:9" ht="29.5" x14ac:dyDescent="0.75">
      <c r="A234" s="11">
        <v>227</v>
      </c>
      <c r="B234" s="11" t="e">
        <f>ConvertOsiris!I228</f>
        <v>#REF!</v>
      </c>
      <c r="C234" s="12" t="e">
        <f>ConvertOsiris!J228</f>
        <v>#REF!</v>
      </c>
      <c r="D234" s="12" t="e">
        <f>ConvertOsiris!K228</f>
        <v>#REF!</v>
      </c>
      <c r="E234" s="12">
        <f>ConvertOsiris!L228</f>
        <v>0</v>
      </c>
      <c r="F234" s="11" t="s">
        <v>9</v>
      </c>
      <c r="G234" s="11" t="str">
        <f>ConvertOsiris!M228</f>
        <v>BackboneElement</v>
      </c>
      <c r="H234" s="26"/>
      <c r="I234" s="12" t="e">
        <f t="shared" si="3"/>
        <v>#REF!</v>
      </c>
    </row>
    <row r="235" spans="1:9" ht="73.75" x14ac:dyDescent="0.75">
      <c r="A235" s="11">
        <v>228</v>
      </c>
      <c r="B235" s="11" t="e">
        <f>ConvertOsiris!I229</f>
        <v>#REF!</v>
      </c>
      <c r="C235" s="12" t="e">
        <f>ConvertOsiris!J229</f>
        <v>#REF!</v>
      </c>
      <c r="D235" s="12" t="e">
        <f>ConvertOsiris!K229</f>
        <v>#REF!</v>
      </c>
      <c r="E235" s="12" t="e">
        <f>ConvertOsiris!L229</f>
        <v>#REF!</v>
      </c>
      <c r="F235" s="11" t="s">
        <v>9</v>
      </c>
      <c r="G235" s="11" t="str">
        <f>ConvertOsiris!M229</f>
        <v>BackboneElement</v>
      </c>
      <c r="H235" s="26"/>
      <c r="I235" s="12" t="e">
        <f t="shared" si="3"/>
        <v>#REF!</v>
      </c>
    </row>
    <row r="236" spans="1:9" ht="59" x14ac:dyDescent="0.75">
      <c r="A236" s="11">
        <v>229</v>
      </c>
      <c r="B236" s="11" t="e">
        <f>ConvertOsiris!I230</f>
        <v>#REF!</v>
      </c>
      <c r="C236" s="12" t="e">
        <f>ConvertOsiris!J230</f>
        <v>#REF!</v>
      </c>
      <c r="D236" s="12" t="e">
        <f>ConvertOsiris!K230</f>
        <v>#REF!</v>
      </c>
      <c r="E236" s="12" t="e">
        <f>ConvertOsiris!L230</f>
        <v>#REF!</v>
      </c>
      <c r="F236" s="11" t="s">
        <v>9</v>
      </c>
      <c r="G236" s="11" t="str">
        <f>ConvertOsiris!M230</f>
        <v>BackboneElement</v>
      </c>
      <c r="H236" s="26"/>
      <c r="I236" s="12" t="e">
        <f t="shared" si="3"/>
        <v>#REF!</v>
      </c>
    </row>
    <row r="237" spans="1:9" ht="59" x14ac:dyDescent="0.75">
      <c r="A237" s="11">
        <v>230</v>
      </c>
      <c r="B237" s="11" t="e">
        <f>ConvertOsiris!I231</f>
        <v>#REF!</v>
      </c>
      <c r="C237" s="12" t="e">
        <f>ConvertOsiris!J231</f>
        <v>#REF!</v>
      </c>
      <c r="D237" s="12" t="e">
        <f>ConvertOsiris!K231</f>
        <v>#REF!</v>
      </c>
      <c r="E237" s="12" t="e">
        <f>ConvertOsiris!L231</f>
        <v>#REF!</v>
      </c>
      <c r="F237" s="11" t="s">
        <v>9</v>
      </c>
      <c r="G237" s="11" t="str">
        <f>ConvertOsiris!M231</f>
        <v>BackboneElement</v>
      </c>
      <c r="H237" s="26"/>
      <c r="I237" s="12" t="e">
        <f t="shared" si="3"/>
        <v>#REF!</v>
      </c>
    </row>
    <row r="238" spans="1:9" ht="59" x14ac:dyDescent="0.75">
      <c r="A238" s="11">
        <v>231</v>
      </c>
      <c r="B238" s="11" t="e">
        <f>ConvertOsiris!I232</f>
        <v>#REF!</v>
      </c>
      <c r="C238" s="12" t="e">
        <f>ConvertOsiris!J232</f>
        <v>#REF!</v>
      </c>
      <c r="D238" s="12" t="e">
        <f>ConvertOsiris!K232</f>
        <v>#REF!</v>
      </c>
      <c r="E238" s="12" t="e">
        <f>ConvertOsiris!L232</f>
        <v>#REF!</v>
      </c>
      <c r="F238" s="11" t="s">
        <v>9</v>
      </c>
      <c r="G238" s="11" t="str">
        <f>ConvertOsiris!M232</f>
        <v>BackboneElement</v>
      </c>
      <c r="H238" s="26"/>
      <c r="I238" s="12" t="e">
        <f t="shared" si="3"/>
        <v>#REF!</v>
      </c>
    </row>
    <row r="239" spans="1:9" ht="44.25" x14ac:dyDescent="0.75">
      <c r="A239" s="11">
        <v>232</v>
      </c>
      <c r="B239" s="11" t="e">
        <f>ConvertOsiris!I233</f>
        <v>#REF!</v>
      </c>
      <c r="C239" s="12" t="e">
        <f>ConvertOsiris!J233</f>
        <v>#REF!</v>
      </c>
      <c r="D239" s="12" t="e">
        <f>ConvertOsiris!K233</f>
        <v>#REF!</v>
      </c>
      <c r="E239" s="12" t="e">
        <f>ConvertOsiris!L233</f>
        <v>#REF!</v>
      </c>
      <c r="F239" s="11" t="s">
        <v>9</v>
      </c>
      <c r="G239" s="11" t="str">
        <f>ConvertOsiris!M233</f>
        <v>BackboneElement</v>
      </c>
      <c r="H239" s="26"/>
      <c r="I239" s="12" t="e">
        <f t="shared" si="3"/>
        <v>#REF!</v>
      </c>
    </row>
    <row r="240" spans="1:9" ht="44.25" x14ac:dyDescent="0.75">
      <c r="A240" s="11">
        <v>233</v>
      </c>
      <c r="B240" s="11" t="e">
        <f>ConvertOsiris!I234</f>
        <v>#REF!</v>
      </c>
      <c r="C240" s="12" t="e">
        <f>ConvertOsiris!J234</f>
        <v>#REF!</v>
      </c>
      <c r="D240" s="12" t="e">
        <f>ConvertOsiris!K234</f>
        <v>#REF!</v>
      </c>
      <c r="E240" s="12" t="e">
        <f>ConvertOsiris!L234</f>
        <v>#REF!</v>
      </c>
      <c r="F240" s="11" t="s">
        <v>9</v>
      </c>
      <c r="G240" s="11" t="str">
        <f>ConvertOsiris!M234</f>
        <v>BackboneElement</v>
      </c>
      <c r="H240" s="26"/>
      <c r="I240" s="12" t="e">
        <f t="shared" si="3"/>
        <v>#REF!</v>
      </c>
    </row>
    <row r="241" spans="1:9" ht="29.5" x14ac:dyDescent="0.75">
      <c r="A241" s="11">
        <v>234</v>
      </c>
      <c r="B241" s="11" t="e">
        <f>ConvertOsiris!I235</f>
        <v>#REF!</v>
      </c>
      <c r="C241" s="12" t="e">
        <f>ConvertOsiris!J235</f>
        <v>#REF!</v>
      </c>
      <c r="D241" s="12" t="e">
        <f>ConvertOsiris!K235</f>
        <v>#REF!</v>
      </c>
      <c r="E241" s="12">
        <f>ConvertOsiris!L235</f>
        <v>0</v>
      </c>
      <c r="F241" s="11" t="s">
        <v>9</v>
      </c>
      <c r="G241" s="11" t="str">
        <f>ConvertOsiris!M235</f>
        <v>BackboneElement</v>
      </c>
      <c r="H241" s="26"/>
      <c r="I241" s="12" t="e">
        <f t="shared" si="3"/>
        <v>#REF!</v>
      </c>
    </row>
    <row r="242" spans="1:9" ht="59" x14ac:dyDescent="0.75">
      <c r="A242" s="11">
        <v>235</v>
      </c>
      <c r="B242" s="11" t="e">
        <f>ConvertOsiris!I236</f>
        <v>#REF!</v>
      </c>
      <c r="C242" s="12" t="e">
        <f>ConvertOsiris!J236</f>
        <v>#REF!</v>
      </c>
      <c r="D242" s="12" t="e">
        <f>ConvertOsiris!K236</f>
        <v>#REF!</v>
      </c>
      <c r="E242" s="12" t="e">
        <f>ConvertOsiris!L236</f>
        <v>#REF!</v>
      </c>
      <c r="F242" s="11" t="s">
        <v>9</v>
      </c>
      <c r="G242" s="11" t="str">
        <f>ConvertOsiris!M236</f>
        <v>BackboneElement</v>
      </c>
      <c r="H242" s="26"/>
      <c r="I242" s="12" t="e">
        <f t="shared" si="3"/>
        <v>#REF!</v>
      </c>
    </row>
    <row r="243" spans="1:9" ht="59" x14ac:dyDescent="0.75">
      <c r="A243" s="11">
        <v>236</v>
      </c>
      <c r="B243" s="11" t="e">
        <f>ConvertOsiris!I237</f>
        <v>#REF!</v>
      </c>
      <c r="C243" s="12" t="e">
        <f>ConvertOsiris!J237</f>
        <v>#REF!</v>
      </c>
      <c r="D243" s="12" t="e">
        <f>ConvertOsiris!K237</f>
        <v>#REF!</v>
      </c>
      <c r="E243" s="12" t="e">
        <f>ConvertOsiris!L237</f>
        <v>#REF!</v>
      </c>
      <c r="F243" s="11" t="s">
        <v>9</v>
      </c>
      <c r="G243" s="11" t="str">
        <f>ConvertOsiris!M237</f>
        <v>BackboneElement</v>
      </c>
      <c r="H243" s="26"/>
      <c r="I243" s="12" t="e">
        <f t="shared" si="3"/>
        <v>#REF!</v>
      </c>
    </row>
    <row r="244" spans="1:9" ht="59" x14ac:dyDescent="0.75">
      <c r="A244" s="11">
        <v>237</v>
      </c>
      <c r="B244" s="11" t="e">
        <f>ConvertOsiris!I238</f>
        <v>#REF!</v>
      </c>
      <c r="C244" s="12" t="e">
        <f>ConvertOsiris!J238</f>
        <v>#REF!</v>
      </c>
      <c r="D244" s="12" t="e">
        <f>ConvertOsiris!K238</f>
        <v>#REF!</v>
      </c>
      <c r="E244" s="12" t="e">
        <f>ConvertOsiris!L238</f>
        <v>#REF!</v>
      </c>
      <c r="F244" s="11" t="s">
        <v>9</v>
      </c>
      <c r="G244" s="11" t="str">
        <f>ConvertOsiris!M238</f>
        <v>BackboneElement</v>
      </c>
      <c r="H244" s="26"/>
      <c r="I244" s="12" t="e">
        <f t="shared" si="3"/>
        <v>#REF!</v>
      </c>
    </row>
    <row r="245" spans="1:9" ht="59" x14ac:dyDescent="0.75">
      <c r="A245" s="11">
        <v>238</v>
      </c>
      <c r="B245" s="11" t="e">
        <f>ConvertOsiris!I239</f>
        <v>#REF!</v>
      </c>
      <c r="C245" s="12" t="e">
        <f>ConvertOsiris!J239</f>
        <v>#REF!</v>
      </c>
      <c r="D245" s="12" t="e">
        <f>ConvertOsiris!K239</f>
        <v>#REF!</v>
      </c>
      <c r="E245" s="12" t="e">
        <f>ConvertOsiris!L239</f>
        <v>#REF!</v>
      </c>
      <c r="F245" s="11" t="s">
        <v>9</v>
      </c>
      <c r="G245" s="11" t="str">
        <f>ConvertOsiris!M239</f>
        <v>BackboneElement</v>
      </c>
      <c r="H245" s="26"/>
      <c r="I245" s="12" t="e">
        <f t="shared" si="3"/>
        <v>#REF!</v>
      </c>
    </row>
    <row r="246" spans="1:9" ht="59" x14ac:dyDescent="0.75">
      <c r="A246" s="11">
        <v>239</v>
      </c>
      <c r="B246" s="11" t="e">
        <f>ConvertOsiris!I240</f>
        <v>#REF!</v>
      </c>
      <c r="C246" s="12" t="e">
        <f>ConvertOsiris!J240</f>
        <v>#REF!</v>
      </c>
      <c r="D246" s="12" t="e">
        <f>ConvertOsiris!K240</f>
        <v>#REF!</v>
      </c>
      <c r="E246" s="12" t="e">
        <f>ConvertOsiris!L240</f>
        <v>#REF!</v>
      </c>
      <c r="F246" s="11" t="s">
        <v>9</v>
      </c>
      <c r="G246" s="11" t="str">
        <f>ConvertOsiris!M240</f>
        <v>BackboneElement</v>
      </c>
      <c r="H246" s="26"/>
      <c r="I246" s="12" t="e">
        <f t="shared" si="3"/>
        <v>#REF!</v>
      </c>
    </row>
    <row r="247" spans="1:9" ht="59" x14ac:dyDescent="0.75">
      <c r="A247" s="11">
        <v>240</v>
      </c>
      <c r="B247" s="11" t="e">
        <f>ConvertOsiris!I241</f>
        <v>#REF!</v>
      </c>
      <c r="C247" s="12" t="e">
        <f>ConvertOsiris!J241</f>
        <v>#REF!</v>
      </c>
      <c r="D247" s="12" t="e">
        <f>ConvertOsiris!K241</f>
        <v>#REF!</v>
      </c>
      <c r="E247" s="12" t="e">
        <f>ConvertOsiris!L241</f>
        <v>#REF!</v>
      </c>
      <c r="F247" s="11" t="s">
        <v>9</v>
      </c>
      <c r="G247" s="11" t="str">
        <f>ConvertOsiris!M241</f>
        <v>BackboneElement</v>
      </c>
      <c r="H247" s="26"/>
      <c r="I247" s="12" t="e">
        <f t="shared" si="3"/>
        <v>#REF!</v>
      </c>
    </row>
    <row r="248" spans="1:9" ht="59" x14ac:dyDescent="0.75">
      <c r="A248" s="11">
        <v>241</v>
      </c>
      <c r="B248" s="11" t="e">
        <f>ConvertOsiris!I242</f>
        <v>#REF!</v>
      </c>
      <c r="C248" s="12" t="e">
        <f>ConvertOsiris!J242</f>
        <v>#REF!</v>
      </c>
      <c r="D248" s="12" t="e">
        <f>ConvertOsiris!K242</f>
        <v>#REF!</v>
      </c>
      <c r="E248" s="12" t="e">
        <f>ConvertOsiris!L242</f>
        <v>#REF!</v>
      </c>
      <c r="F248" s="11" t="s">
        <v>9</v>
      </c>
      <c r="G248" s="11" t="str">
        <f>ConvertOsiris!M242</f>
        <v>BackboneElement</v>
      </c>
      <c r="H248" s="26"/>
      <c r="I248" s="12" t="e">
        <f t="shared" si="3"/>
        <v>#REF!</v>
      </c>
    </row>
    <row r="249" spans="1:9" ht="59" x14ac:dyDescent="0.75">
      <c r="A249" s="11">
        <v>242</v>
      </c>
      <c r="B249" s="11" t="e">
        <f>ConvertOsiris!I243</f>
        <v>#REF!</v>
      </c>
      <c r="C249" s="12" t="e">
        <f>ConvertOsiris!J243</f>
        <v>#REF!</v>
      </c>
      <c r="D249" s="12" t="e">
        <f>ConvertOsiris!K243</f>
        <v>#REF!</v>
      </c>
      <c r="E249" s="12" t="e">
        <f>ConvertOsiris!L243</f>
        <v>#REF!</v>
      </c>
      <c r="F249" s="11" t="s">
        <v>9</v>
      </c>
      <c r="G249" s="11" t="str">
        <f>ConvertOsiris!M243</f>
        <v>BackboneElement</v>
      </c>
      <c r="H249" s="26"/>
      <c r="I249" s="12" t="e">
        <f t="shared" si="3"/>
        <v>#REF!</v>
      </c>
    </row>
    <row r="250" spans="1:9" ht="59" x14ac:dyDescent="0.75">
      <c r="A250" s="11">
        <v>243</v>
      </c>
      <c r="B250" s="11" t="e">
        <f>ConvertOsiris!I244</f>
        <v>#REF!</v>
      </c>
      <c r="C250" s="12" t="e">
        <f>ConvertOsiris!J244</f>
        <v>#REF!</v>
      </c>
      <c r="D250" s="12" t="e">
        <f>ConvertOsiris!K244</f>
        <v>#REF!</v>
      </c>
      <c r="E250" s="12" t="e">
        <f>ConvertOsiris!L244</f>
        <v>#REF!</v>
      </c>
      <c r="F250" s="11" t="s">
        <v>9</v>
      </c>
      <c r="G250" s="11" t="str">
        <f>ConvertOsiris!M244</f>
        <v>BackboneElement</v>
      </c>
      <c r="H250" s="26"/>
      <c r="I250" s="12" t="e">
        <f t="shared" si="3"/>
        <v>#REF!</v>
      </c>
    </row>
    <row r="251" spans="1:9" ht="73.75" x14ac:dyDescent="0.75">
      <c r="A251" s="11">
        <v>244</v>
      </c>
      <c r="B251" s="11" t="e">
        <f>ConvertOsiris!I245</f>
        <v>#REF!</v>
      </c>
      <c r="C251" s="12" t="e">
        <f>ConvertOsiris!J245</f>
        <v>#REF!</v>
      </c>
      <c r="D251" s="12" t="e">
        <f>ConvertOsiris!K245</f>
        <v>#REF!</v>
      </c>
      <c r="E251" s="12" t="e">
        <f>ConvertOsiris!L245</f>
        <v>#REF!</v>
      </c>
      <c r="F251" s="11" t="s">
        <v>9</v>
      </c>
      <c r="G251" s="11" t="str">
        <f>ConvertOsiris!M245</f>
        <v>BackboneElement</v>
      </c>
      <c r="H251" s="26"/>
      <c r="I251" s="12" t="e">
        <f t="shared" si="3"/>
        <v>#REF!</v>
      </c>
    </row>
    <row r="252" spans="1:9" ht="59" x14ac:dyDescent="0.75">
      <c r="A252" s="11">
        <v>245</v>
      </c>
      <c r="B252" s="11" t="e">
        <f>ConvertOsiris!I246</f>
        <v>#REF!</v>
      </c>
      <c r="C252" s="12" t="e">
        <f>ConvertOsiris!J246</f>
        <v>#REF!</v>
      </c>
      <c r="D252" s="12" t="e">
        <f>ConvertOsiris!K246</f>
        <v>#REF!</v>
      </c>
      <c r="E252" s="12" t="e">
        <f>ConvertOsiris!L246</f>
        <v>#REF!</v>
      </c>
      <c r="F252" s="11" t="s">
        <v>9</v>
      </c>
      <c r="G252" s="11" t="str">
        <f>ConvertOsiris!M246</f>
        <v>BackboneElement</v>
      </c>
      <c r="H252" s="26"/>
      <c r="I252" s="12" t="e">
        <f t="shared" si="3"/>
        <v>#REF!</v>
      </c>
    </row>
    <row r="253" spans="1:9" ht="59" x14ac:dyDescent="0.75">
      <c r="A253" s="11">
        <v>246</v>
      </c>
      <c r="B253" s="11" t="e">
        <f>ConvertOsiris!I247</f>
        <v>#REF!</v>
      </c>
      <c r="C253" s="12" t="e">
        <f>ConvertOsiris!J247</f>
        <v>#REF!</v>
      </c>
      <c r="D253" s="12" t="e">
        <f>ConvertOsiris!K247</f>
        <v>#REF!</v>
      </c>
      <c r="E253" s="12" t="e">
        <f>ConvertOsiris!L247</f>
        <v>#REF!</v>
      </c>
      <c r="F253" s="11" t="s">
        <v>9</v>
      </c>
      <c r="G253" s="11" t="str">
        <f>ConvertOsiris!M247</f>
        <v>BackboneElement</v>
      </c>
      <c r="H253" s="26"/>
      <c r="I253" s="12" t="e">
        <f t="shared" si="3"/>
        <v>#REF!</v>
      </c>
    </row>
    <row r="254" spans="1:9" ht="59" x14ac:dyDescent="0.75">
      <c r="A254" s="11">
        <v>247</v>
      </c>
      <c r="B254" s="11" t="e">
        <f>ConvertOsiris!I248</f>
        <v>#REF!</v>
      </c>
      <c r="C254" s="12" t="e">
        <f>ConvertOsiris!J248</f>
        <v>#REF!</v>
      </c>
      <c r="D254" s="12" t="e">
        <f>ConvertOsiris!K248</f>
        <v>#REF!</v>
      </c>
      <c r="E254" s="12" t="e">
        <f>ConvertOsiris!L248</f>
        <v>#REF!</v>
      </c>
      <c r="F254" s="11" t="s">
        <v>9</v>
      </c>
      <c r="G254" s="11" t="str">
        <f>ConvertOsiris!M248</f>
        <v>BackboneElement</v>
      </c>
      <c r="H254" s="26"/>
      <c r="I254" s="12" t="e">
        <f t="shared" si="3"/>
        <v>#REF!</v>
      </c>
    </row>
    <row r="255" spans="1:9" x14ac:dyDescent="0.75">
      <c r="A255" s="11">
        <v>248</v>
      </c>
      <c r="B255" s="11" t="e">
        <f>ConvertOsiris!I249</f>
        <v>#REF!</v>
      </c>
      <c r="C255" s="12" t="e">
        <f>ConvertOsiris!J249</f>
        <v>#REF!</v>
      </c>
      <c r="D255" s="12" t="e">
        <f>ConvertOsiris!K249</f>
        <v>#REF!</v>
      </c>
      <c r="E255" s="12">
        <f>ConvertOsiris!L249</f>
        <v>0</v>
      </c>
      <c r="F255" s="11" t="s">
        <v>9</v>
      </c>
      <c r="G255" s="11" t="str">
        <f>ConvertOsiris!M249</f>
        <v>BackboneElement</v>
      </c>
      <c r="H255" s="26"/>
      <c r="I255" s="12" t="e">
        <f t="shared" si="3"/>
        <v>#REF!</v>
      </c>
    </row>
    <row r="256" spans="1:9" x14ac:dyDescent="0.75">
      <c r="A256" s="11">
        <v>249</v>
      </c>
      <c r="B256" s="11" t="e">
        <f>ConvertOsiris!I250</f>
        <v>#REF!</v>
      </c>
      <c r="C256" s="12" t="e">
        <f>ConvertOsiris!J250</f>
        <v>#REF!</v>
      </c>
      <c r="D256" s="12" t="e">
        <f>ConvertOsiris!K250</f>
        <v>#REF!</v>
      </c>
      <c r="E256" s="12" t="e">
        <f>ConvertOsiris!L250</f>
        <v>#REF!</v>
      </c>
      <c r="F256" s="11" t="s">
        <v>9</v>
      </c>
      <c r="G256" s="11" t="str">
        <f>ConvertOsiris!M250</f>
        <v>BackboneElement</v>
      </c>
      <c r="H256" s="26"/>
      <c r="I256" s="12" t="e">
        <f t="shared" si="3"/>
        <v>#REF!</v>
      </c>
    </row>
    <row r="257" spans="1:9" x14ac:dyDescent="0.75">
      <c r="A257" s="11">
        <v>250</v>
      </c>
      <c r="B257" s="11" t="e">
        <f>ConvertOsiris!I251</f>
        <v>#REF!</v>
      </c>
      <c r="C257" s="12" t="e">
        <f>ConvertOsiris!J251</f>
        <v>#REF!</v>
      </c>
      <c r="D257" s="12" t="e">
        <f>ConvertOsiris!K251</f>
        <v>#REF!</v>
      </c>
      <c r="E257" s="12" t="e">
        <f>ConvertOsiris!L251</f>
        <v>#REF!</v>
      </c>
      <c r="F257" s="11" t="s">
        <v>9</v>
      </c>
      <c r="G257" s="11" t="str">
        <f>ConvertOsiris!M251</f>
        <v>BackboneElement</v>
      </c>
      <c r="H257" s="26"/>
      <c r="I257" s="12" t="e">
        <f t="shared" si="3"/>
        <v>#REF!</v>
      </c>
    </row>
    <row r="258" spans="1:9" x14ac:dyDescent="0.75">
      <c r="A258" s="11">
        <v>251</v>
      </c>
      <c r="B258" s="11" t="e">
        <f>ConvertOsiris!I252</f>
        <v>#REF!</v>
      </c>
      <c r="C258" s="12" t="e">
        <f>ConvertOsiris!J252</f>
        <v>#REF!</v>
      </c>
      <c r="D258" s="12" t="e">
        <f>ConvertOsiris!K252</f>
        <v>#REF!</v>
      </c>
      <c r="E258" s="12" t="e">
        <f>ConvertOsiris!L252</f>
        <v>#REF!</v>
      </c>
      <c r="F258" s="11" t="s">
        <v>9</v>
      </c>
      <c r="G258" s="11" t="str">
        <f>ConvertOsiris!M252</f>
        <v>BackboneElement</v>
      </c>
      <c r="H258" s="26"/>
      <c r="I258" s="12" t="e">
        <f t="shared" si="3"/>
        <v>#REF!</v>
      </c>
    </row>
    <row r="259" spans="1:9" x14ac:dyDescent="0.75">
      <c r="A259" s="11">
        <v>252</v>
      </c>
      <c r="B259" s="11" t="e">
        <f>ConvertOsiris!I253</f>
        <v>#REF!</v>
      </c>
      <c r="C259" s="12" t="e">
        <f>ConvertOsiris!J253</f>
        <v>#REF!</v>
      </c>
      <c r="D259" s="12" t="e">
        <f>ConvertOsiris!K253</f>
        <v>#REF!</v>
      </c>
      <c r="E259" s="12" t="e">
        <f>ConvertOsiris!L253</f>
        <v>#REF!</v>
      </c>
      <c r="F259" s="11" t="s">
        <v>9</v>
      </c>
      <c r="G259" s="11" t="str">
        <f>ConvertOsiris!M253</f>
        <v>BackboneElement</v>
      </c>
      <c r="H259" s="26"/>
      <c r="I259" s="12" t="e">
        <f t="shared" si="3"/>
        <v>#REF!</v>
      </c>
    </row>
    <row r="260" spans="1:9" x14ac:dyDescent="0.75">
      <c r="A260" s="11">
        <v>253</v>
      </c>
      <c r="B260" s="11" t="e">
        <f>ConvertOsiris!I254</f>
        <v>#REF!</v>
      </c>
      <c r="C260" s="12" t="e">
        <f>ConvertOsiris!J254</f>
        <v>#REF!</v>
      </c>
      <c r="D260" s="12" t="e">
        <f>ConvertOsiris!K254</f>
        <v>#REF!</v>
      </c>
      <c r="E260" s="12" t="e">
        <f>ConvertOsiris!L254</f>
        <v>#REF!</v>
      </c>
      <c r="F260" s="11" t="s">
        <v>9</v>
      </c>
      <c r="G260" s="11" t="str">
        <f>ConvertOsiris!M254</f>
        <v>BackboneElement</v>
      </c>
      <c r="H260" s="26"/>
      <c r="I260" s="12" t="e">
        <f t="shared" si="3"/>
        <v>#REF!</v>
      </c>
    </row>
    <row r="261" spans="1:9" x14ac:dyDescent="0.75">
      <c r="A261" s="11">
        <v>254</v>
      </c>
      <c r="B261" s="11" t="e">
        <f>ConvertOsiris!I255</f>
        <v>#REF!</v>
      </c>
      <c r="C261" s="12" t="e">
        <f>ConvertOsiris!J255</f>
        <v>#REF!</v>
      </c>
      <c r="D261" s="12" t="e">
        <f>ConvertOsiris!K255</f>
        <v>#REF!</v>
      </c>
      <c r="E261" s="12" t="e">
        <f>ConvertOsiris!L255</f>
        <v>#REF!</v>
      </c>
      <c r="F261" s="11" t="s">
        <v>9</v>
      </c>
      <c r="G261" s="11" t="str">
        <f>ConvertOsiris!M255</f>
        <v>BackboneElement</v>
      </c>
      <c r="H261" s="26"/>
      <c r="I261" s="12" t="e">
        <f t="shared" si="3"/>
        <v>#REF!</v>
      </c>
    </row>
    <row r="262" spans="1:9" x14ac:dyDescent="0.75">
      <c r="A262" s="11">
        <v>255</v>
      </c>
      <c r="B262" s="11" t="e">
        <f>ConvertOsiris!I256</f>
        <v>#REF!</v>
      </c>
      <c r="C262" s="12" t="e">
        <f>ConvertOsiris!J256</f>
        <v>#REF!</v>
      </c>
      <c r="D262" s="12" t="e">
        <f>ConvertOsiris!K256</f>
        <v>#REF!</v>
      </c>
      <c r="E262" s="12" t="e">
        <f>ConvertOsiris!L256</f>
        <v>#REF!</v>
      </c>
      <c r="F262" s="11" t="s">
        <v>9</v>
      </c>
      <c r="G262" s="11" t="str">
        <f>ConvertOsiris!M256</f>
        <v>BackboneElement</v>
      </c>
      <c r="H262" s="26"/>
      <c r="I262" s="12" t="e">
        <f t="shared" si="3"/>
        <v>#REF!</v>
      </c>
    </row>
    <row r="263" spans="1:9" x14ac:dyDescent="0.75">
      <c r="A263" s="11">
        <v>256</v>
      </c>
      <c r="B263" s="11" t="e">
        <f>ConvertOsiris!I257</f>
        <v>#REF!</v>
      </c>
      <c r="C263" s="12" t="e">
        <f>ConvertOsiris!J257</f>
        <v>#REF!</v>
      </c>
      <c r="D263" s="12" t="e">
        <f>ConvertOsiris!K257</f>
        <v>#REF!</v>
      </c>
      <c r="E263" s="12">
        <f>ConvertOsiris!L257</f>
        <v>0</v>
      </c>
      <c r="F263" s="11" t="s">
        <v>9</v>
      </c>
      <c r="G263" s="11" t="str">
        <f>ConvertOsiris!M257</f>
        <v>BackboneElement</v>
      </c>
      <c r="H263" s="26"/>
      <c r="I263" s="12" t="e">
        <f>IF(B263=0,"//---- END",CONCATENATE("* ",B263, " ",E263,"..",F263," ",G263," ##34#",C263,"##34# ##334#",D263,"##334#"))</f>
        <v>#REF!</v>
      </c>
    </row>
    <row r="264" spans="1:9" x14ac:dyDescent="0.75">
      <c r="A264" s="11">
        <v>257</v>
      </c>
      <c r="B264" s="11" t="e">
        <f>ConvertOsiris!I258</f>
        <v>#REF!</v>
      </c>
      <c r="C264" s="12" t="e">
        <f>ConvertOsiris!J258</f>
        <v>#REF!</v>
      </c>
      <c r="D264" s="12" t="e">
        <f>ConvertOsiris!K258</f>
        <v>#REF!</v>
      </c>
      <c r="E264" s="12" t="e">
        <f>ConvertOsiris!L258</f>
        <v>#REF!</v>
      </c>
      <c r="F264" s="11" t="s">
        <v>9</v>
      </c>
      <c r="G264" s="11" t="str">
        <f>ConvertOsiris!M258</f>
        <v>BackboneElement</v>
      </c>
      <c r="H264" s="26"/>
      <c r="I264" s="12" t="e">
        <f t="shared" ref="I264:I270" si="4">IF(B264=0,"//---- END",CONCATENATE("* ",B264, " ",E264,"..",F264," ",G264," ##34#",C264,"##34# ##334#",D264,"##334#"))</f>
        <v>#REF!</v>
      </c>
    </row>
    <row r="265" spans="1:9" x14ac:dyDescent="0.75">
      <c r="A265" s="11">
        <v>258</v>
      </c>
      <c r="B265" s="11" t="e">
        <f>ConvertOsiris!I259</f>
        <v>#REF!</v>
      </c>
      <c r="C265" s="12" t="e">
        <f>ConvertOsiris!J259</f>
        <v>#REF!</v>
      </c>
      <c r="D265" s="12" t="e">
        <f>ConvertOsiris!K259</f>
        <v>#REF!</v>
      </c>
      <c r="E265" s="12" t="e">
        <f>ConvertOsiris!L259</f>
        <v>#REF!</v>
      </c>
      <c r="F265" s="11" t="s">
        <v>9</v>
      </c>
      <c r="G265" s="11" t="str">
        <f>ConvertOsiris!M259</f>
        <v>BackboneElement</v>
      </c>
      <c r="H265" s="26"/>
      <c r="I265" s="12" t="e">
        <f t="shared" si="4"/>
        <v>#REF!</v>
      </c>
    </row>
    <row r="266" spans="1:9" x14ac:dyDescent="0.75">
      <c r="A266" s="11">
        <v>259</v>
      </c>
      <c r="B266" s="11" t="e">
        <f>ConvertOsiris!I260</f>
        <v>#REF!</v>
      </c>
      <c r="C266" s="12" t="e">
        <f>ConvertOsiris!J260</f>
        <v>#REF!</v>
      </c>
      <c r="D266" s="12" t="e">
        <f>ConvertOsiris!K260</f>
        <v>#REF!</v>
      </c>
      <c r="E266" s="12" t="e">
        <f>ConvertOsiris!L260</f>
        <v>#REF!</v>
      </c>
      <c r="F266" s="11" t="s">
        <v>9</v>
      </c>
      <c r="G266" s="11" t="str">
        <f>ConvertOsiris!M260</f>
        <v>BackboneElement</v>
      </c>
      <c r="H266" s="26"/>
      <c r="I266" s="12" t="e">
        <f t="shared" si="4"/>
        <v>#REF!</v>
      </c>
    </row>
    <row r="267" spans="1:9" x14ac:dyDescent="0.75">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x14ac:dyDescent="0.75">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x14ac:dyDescent="0.75">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x14ac:dyDescent="0.75">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x14ac:dyDescent="0.75">
      <c r="B271" s="11"/>
      <c r="C271" s="12"/>
      <c r="D271" s="12"/>
      <c r="E271" s="12"/>
      <c r="F271" s="11"/>
      <c r="G271" s="11"/>
      <c r="H271" s="26"/>
      <c r="I271" s="12"/>
    </row>
    <row r="272" spans="1:9" x14ac:dyDescent="0.75">
      <c r="B272" s="11"/>
      <c r="C272" s="12"/>
      <c r="D272" s="12"/>
      <c r="E272" s="12"/>
      <c r="F272" s="11"/>
      <c r="G272" s="11"/>
      <c r="H272" s="26"/>
      <c r="I272" s="12"/>
    </row>
    <row r="273" spans="9:9" x14ac:dyDescent="0.75">
      <c r="I273" s="12"/>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6" t="s">
        <v>21</v>
      </c>
      <c r="H1" s="7"/>
      <c r="I1" s="7"/>
      <c r="J1" s="7"/>
      <c r="K1" s="7"/>
      <c r="L1" s="7"/>
      <c r="M1" s="7"/>
      <c r="N1" s="7"/>
      <c r="O1" s="7"/>
    </row>
    <row r="2" spans="1:15" x14ac:dyDescent="0.75">
      <c r="E2" s="23" t="s">
        <v>22</v>
      </c>
      <c r="H2" s="7"/>
      <c r="I2" s="7"/>
      <c r="J2" s="7"/>
      <c r="K2" s="7"/>
      <c r="L2" s="7"/>
      <c r="M2" s="7"/>
      <c r="N2" s="7"/>
      <c r="O2" s="7"/>
    </row>
    <row r="3" spans="1:15" ht="15.5" thickBot="1" x14ac:dyDescent="0.9">
      <c r="E3" s="23" t="str">
        <f>E1</f>
        <v>// -------------------------------------------------------------------------------</v>
      </c>
      <c r="H3" s="7"/>
      <c r="I3" s="7"/>
      <c r="J3" s="7"/>
      <c r="K3" s="7"/>
      <c r="L3" s="7"/>
      <c r="M3" s="7"/>
      <c r="N3" s="7"/>
      <c r="O3" s="7"/>
    </row>
    <row r="4" spans="1:15" ht="15.5" thickBot="1" x14ac:dyDescent="0.9">
      <c r="B4" s="10" t="s">
        <v>18</v>
      </c>
      <c r="C4" s="29" t="s">
        <v>151</v>
      </c>
      <c r="E4" s="20" t="str">
        <f>CONCATENATE("Mapping: ",C4)</f>
        <v>Mapping: xxxxxxxxx</v>
      </c>
      <c r="H4" s="7"/>
      <c r="I4" s="7"/>
      <c r="J4" s="7"/>
      <c r="K4" s="7"/>
      <c r="L4" s="7"/>
      <c r="M4" s="7"/>
      <c r="N4" s="7"/>
      <c r="O4" s="7"/>
    </row>
    <row r="5" spans="1:15" ht="15.5" thickBot="1" x14ac:dyDescent="0.9">
      <c r="B5" s="10" t="s">
        <v>17</v>
      </c>
      <c r="C5" s="13" t="s">
        <v>14</v>
      </c>
      <c r="E5" s="21" t="str">
        <f>CONCATENATE("Id: ",C5)</f>
        <v>Id: fhir</v>
      </c>
      <c r="H5" s="7"/>
      <c r="I5" s="7"/>
      <c r="J5" s="7"/>
      <c r="K5" s="7"/>
      <c r="L5" s="7"/>
      <c r="M5" s="7"/>
      <c r="N5" s="7"/>
      <c r="O5" s="7"/>
    </row>
    <row r="6" spans="1:15" ht="15.5" thickBot="1" x14ac:dyDescent="0.9">
      <c r="B6" s="10" t="s">
        <v>11</v>
      </c>
      <c r="C6" s="7" t="s">
        <v>49</v>
      </c>
      <c r="E6" s="21" t="str">
        <f>CONCATENATE("Title: ##34#",C6,"##34#")</f>
        <v>Title: ##34#Idea4RC Subject model to FHIR R4 Map##34#</v>
      </c>
      <c r="H6" s="7"/>
      <c r="I6" s="7"/>
      <c r="J6" s="7"/>
      <c r="K6" s="7"/>
      <c r="L6" s="7"/>
      <c r="M6" s="7"/>
      <c r="N6" s="7"/>
      <c r="O6" s="7"/>
    </row>
    <row r="7" spans="1:15" ht="15.5" thickBot="1" x14ac:dyDescent="0.9">
      <c r="B7" s="10" t="s">
        <v>19</v>
      </c>
      <c r="C7" s="8" t="str">
        <f>B9</f>
        <v>Osiris</v>
      </c>
      <c r="E7" s="21" t="str">
        <f>CONCATENATE("Source: ",C7)</f>
        <v>Source: Osiris</v>
      </c>
      <c r="H7" s="7"/>
      <c r="I7" s="7"/>
      <c r="J7" s="7"/>
      <c r="K7" s="7"/>
      <c r="L7" s="7"/>
      <c r="M7" s="7"/>
      <c r="N7" s="7"/>
      <c r="O7" s="7"/>
    </row>
    <row r="8" spans="1:15" ht="15.5" thickBot="1" x14ac:dyDescent="0.9">
      <c r="B8" s="19" t="s">
        <v>16</v>
      </c>
      <c r="C8" t="s">
        <v>13</v>
      </c>
      <c r="E8" s="22" t="str">
        <f>CONCATENATE("Target: ##34#",C8,"##34#")</f>
        <v>Target: ##34#hl7.org/fhir/r4##34#</v>
      </c>
      <c r="H8" s="7"/>
      <c r="I8" s="7"/>
      <c r="J8" s="7"/>
      <c r="K8" s="7"/>
      <c r="L8" s="7"/>
      <c r="M8" s="7"/>
      <c r="N8" s="7"/>
      <c r="O8" s="7"/>
    </row>
    <row r="9" spans="1:15" x14ac:dyDescent="0.75">
      <c r="A9" s="11"/>
      <c r="B9" s="6" t="str">
        <f>Osiris!B5</f>
        <v>Osiris</v>
      </c>
      <c r="C9" s="6"/>
      <c r="E9" s="28" t="str">
        <f>CONCATENATE("* -&gt; ##34#",C9,"##34#")</f>
        <v>* -&gt; ##34###34#</v>
      </c>
      <c r="H9" s="7"/>
      <c r="I9" s="7"/>
      <c r="J9" s="7"/>
      <c r="K9" s="7"/>
      <c r="L9" s="7"/>
      <c r="M9" s="7"/>
      <c r="N9" s="7"/>
      <c r="O9" s="7"/>
    </row>
    <row r="10" spans="1:15" x14ac:dyDescent="0.75">
      <c r="A10" s="11"/>
      <c r="B10" s="11" t="e">
        <f>Osiris!B8</f>
        <v>#REF!</v>
      </c>
      <c r="C10" s="11" t="s">
        <v>50</v>
      </c>
      <c r="E10" s="12" t="e">
        <f t="shared" ref="E10:E25" si="0">IF(B10=0,"*  -&gt; ##34###34#",CONCATENATE("* ",B10," -&gt; ##34#",C10,"##34#"))</f>
        <v>#REF!</v>
      </c>
      <c r="H10" s="7"/>
      <c r="I10" s="7"/>
      <c r="J10" s="7"/>
      <c r="K10" s="7"/>
      <c r="L10" s="7"/>
      <c r="M10" s="7"/>
      <c r="N10" s="7"/>
      <c r="O10" s="7"/>
    </row>
    <row r="11" spans="1:15" x14ac:dyDescent="0.75">
      <c r="A11" s="11"/>
      <c r="B11" s="11" t="e">
        <f>Osiris!B9</f>
        <v>#REF!</v>
      </c>
      <c r="C11" s="11" t="s">
        <v>50</v>
      </c>
      <c r="E11" s="12" t="e">
        <f t="shared" si="0"/>
        <v>#REF!</v>
      </c>
      <c r="H11" s="7"/>
      <c r="I11" s="7"/>
      <c r="J11" s="7"/>
      <c r="K11" s="7"/>
      <c r="L11" s="7"/>
      <c r="M11" s="7"/>
      <c r="N11" s="7"/>
      <c r="O11" s="7"/>
    </row>
    <row r="12" spans="1:15" x14ac:dyDescent="0.75">
      <c r="A12" s="11"/>
      <c r="B12" s="11" t="e">
        <f>Osiris!B10</f>
        <v>#REF!</v>
      </c>
      <c r="C12" s="11" t="s">
        <v>51</v>
      </c>
      <c r="E12" s="12" t="e">
        <f t="shared" si="0"/>
        <v>#REF!</v>
      </c>
      <c r="H12" s="7"/>
      <c r="I12" s="7"/>
      <c r="J12" s="7"/>
      <c r="K12" s="7"/>
      <c r="L12" s="7"/>
      <c r="M12" s="7"/>
      <c r="N12" s="7"/>
      <c r="O12" s="7"/>
    </row>
    <row r="13" spans="1:15" x14ac:dyDescent="0.75">
      <c r="A13" s="11"/>
      <c r="B13" s="11" t="e">
        <f>Osiris!B11</f>
        <v>#REF!</v>
      </c>
      <c r="C13" s="11" t="s">
        <v>52</v>
      </c>
      <c r="E13" s="12" t="e">
        <f t="shared" si="0"/>
        <v>#REF!</v>
      </c>
      <c r="H13" s="7"/>
      <c r="I13" s="7"/>
      <c r="J13" s="7"/>
      <c r="K13" s="7"/>
      <c r="L13" s="7"/>
      <c r="M13" s="7"/>
      <c r="N13" s="7"/>
      <c r="O13" s="7"/>
    </row>
    <row r="14" spans="1:15" x14ac:dyDescent="0.75">
      <c r="A14" s="11"/>
      <c r="B14" s="11" t="e">
        <f>Osiris!$B$12</f>
        <v>#REF!</v>
      </c>
      <c r="C14" s="11" t="s">
        <v>53</v>
      </c>
      <c r="E14" s="12" t="e">
        <f t="shared" si="0"/>
        <v>#REF!</v>
      </c>
      <c r="H14" s="7"/>
      <c r="I14" s="7"/>
      <c r="J14" s="7"/>
      <c r="K14" s="7"/>
      <c r="L14" s="7"/>
      <c r="M14" s="7"/>
      <c r="N14" s="7"/>
      <c r="O14" s="7"/>
    </row>
    <row r="15" spans="1:15" x14ac:dyDescent="0.75">
      <c r="A15" s="11"/>
      <c r="B15" s="11" t="e">
        <f>Osiris!$B$12</f>
        <v>#REF!</v>
      </c>
      <c r="C15" s="11" t="s">
        <v>54</v>
      </c>
      <c r="E15" s="12" t="e">
        <f t="shared" si="0"/>
        <v>#REF!</v>
      </c>
      <c r="H15" s="7"/>
      <c r="I15" s="7"/>
      <c r="J15" s="7"/>
      <c r="K15" s="7"/>
      <c r="L15" s="7"/>
      <c r="M15" s="7"/>
      <c r="N15" s="7"/>
      <c r="O15" s="7"/>
    </row>
    <row r="16" spans="1:15" x14ac:dyDescent="0.75">
      <c r="A16" s="11"/>
      <c r="B16" s="11" t="e">
        <f>Osiris!$B$12</f>
        <v>#REF!</v>
      </c>
      <c r="C16" s="11" t="s">
        <v>55</v>
      </c>
      <c r="E16" s="12" t="e">
        <f t="shared" si="0"/>
        <v>#REF!</v>
      </c>
      <c r="H16" s="7"/>
      <c r="I16" s="7"/>
      <c r="J16" s="7"/>
      <c r="K16" s="7"/>
      <c r="L16" s="7"/>
      <c r="M16" s="7"/>
      <c r="N16" s="7"/>
      <c r="O16" s="7"/>
    </row>
    <row r="17" spans="1:5" x14ac:dyDescent="0.75">
      <c r="A17" s="11"/>
      <c r="B17" s="11" t="e">
        <f>Osiris!B13</f>
        <v>#REF!</v>
      </c>
      <c r="C17" s="11" t="s">
        <v>23</v>
      </c>
      <c r="E17" s="12" t="e">
        <f t="shared" si="0"/>
        <v>#REF!</v>
      </c>
    </row>
    <row r="18" spans="1:5" x14ac:dyDescent="0.75">
      <c r="A18" s="11"/>
      <c r="B18" s="11" t="e">
        <f>Osiris!B14</f>
        <v>#REF!</v>
      </c>
      <c r="C18" s="11" t="s">
        <v>56</v>
      </c>
      <c r="E18" s="12" t="e">
        <f t="shared" si="0"/>
        <v>#REF!</v>
      </c>
    </row>
    <row r="19" spans="1:5" x14ac:dyDescent="0.75">
      <c r="A19" s="11"/>
      <c r="B19" s="11" t="e">
        <f>Osiris!B15</f>
        <v>#REF!</v>
      </c>
      <c r="C19" s="12"/>
      <c r="E19" s="12" t="e">
        <f t="shared" si="0"/>
        <v>#REF!</v>
      </c>
    </row>
    <row r="20" spans="1:5" x14ac:dyDescent="0.75">
      <c r="A20" s="11"/>
      <c r="B20" s="11" t="e">
        <f>Osiris!B16</f>
        <v>#REF!</v>
      </c>
      <c r="C20" s="12"/>
      <c r="E20" s="12" t="e">
        <f t="shared" si="0"/>
        <v>#REF!</v>
      </c>
    </row>
    <row r="21" spans="1:5" x14ac:dyDescent="0.75">
      <c r="B21" s="11" t="e">
        <f>Osiris!B17</f>
        <v>#REF!</v>
      </c>
      <c r="C21" s="12"/>
      <c r="E21" s="12" t="e">
        <f t="shared" si="0"/>
        <v>#REF!</v>
      </c>
    </row>
    <row r="22" spans="1:5" x14ac:dyDescent="0.75">
      <c r="B22" s="11" t="e">
        <f>Osiris!B18</f>
        <v>#REF!</v>
      </c>
      <c r="C22" s="12"/>
      <c r="E22" s="12" t="e">
        <f t="shared" si="0"/>
        <v>#REF!</v>
      </c>
    </row>
    <row r="23" spans="1:5" x14ac:dyDescent="0.75">
      <c r="B23" s="11" t="e">
        <f>Osiris!B19</f>
        <v>#REF!</v>
      </c>
      <c r="C23" s="12"/>
      <c r="E23" s="12" t="e">
        <f t="shared" si="0"/>
        <v>#REF!</v>
      </c>
    </row>
    <row r="24" spans="1:5" x14ac:dyDescent="0.75">
      <c r="B24" s="11" t="e">
        <f>Osiris!B20</f>
        <v>#REF!</v>
      </c>
      <c r="C24" s="12"/>
      <c r="E24" s="12" t="e">
        <f t="shared" si="0"/>
        <v>#REF!</v>
      </c>
    </row>
    <row r="25" spans="1:5" x14ac:dyDescent="0.75">
      <c r="B25" s="11" t="e">
        <f>Osiris!B21</f>
        <v>#REF!</v>
      </c>
      <c r="C25" s="12"/>
      <c r="E25" s="12" t="e">
        <f t="shared" si="0"/>
        <v>#REF!</v>
      </c>
    </row>
    <row r="26" spans="1:5" x14ac:dyDescent="0.75">
      <c r="B26" s="11" t="str">
        <f>Osiris!B22</f>
        <v>RelatedPathology</v>
      </c>
      <c r="C26" s="12"/>
      <c r="E26" s="12"/>
    </row>
    <row r="27" spans="1:5" x14ac:dyDescent="0.75">
      <c r="B27" s="11" t="e">
        <f>Osiris!B23</f>
        <v>#REF!</v>
      </c>
      <c r="C27" s="12"/>
      <c r="E27" s="12"/>
    </row>
    <row r="28" spans="1:5" x14ac:dyDescent="0.75">
      <c r="B28" s="11" t="e">
        <f>Osiris!B24</f>
        <v>#REF!</v>
      </c>
      <c r="E28" s="12"/>
    </row>
    <row r="29" spans="1:5" x14ac:dyDescent="0.75">
      <c r="B29" s="11" t="e">
        <f>Osiris!B25</f>
        <v>#REF!</v>
      </c>
      <c r="C29" s="12"/>
      <c r="E29" s="12"/>
    </row>
    <row r="30" spans="1:5" x14ac:dyDescent="0.75">
      <c r="B30" s="11" t="str">
        <f>Osiris!B26</f>
        <v>FamilyCancerHistory</v>
      </c>
      <c r="E30" s="12"/>
    </row>
    <row r="31" spans="1:5" x14ac:dyDescent="0.75">
      <c r="B31" s="11" t="e">
        <f>Osiris!B27</f>
        <v>#REF!</v>
      </c>
      <c r="E31" s="12"/>
    </row>
    <row r="32" spans="1:5" x14ac:dyDescent="0.75">
      <c r="B32" s="11" t="e">
        <f>Osiris!B28</f>
        <v>#REF!</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93</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END","//---- END",Osiris!I8)</f>
        <v>#REF!</v>
      </c>
    </row>
    <row r="9" spans="3:7" ht="29.5" x14ac:dyDescent="0.75">
      <c r="C9" s="12" t="e">
        <f>IF(Osiris!I9="//---- END","//---- END",Osiris!I9)</f>
        <v>#REF!</v>
      </c>
    </row>
    <row r="10" spans="3:7" ht="44.25" x14ac:dyDescent="0.75">
      <c r="C10" s="12" t="e">
        <f>IF(Osiris!I10="//---- END","//---- END",Osiris!I10)</f>
        <v>#REF!</v>
      </c>
      <c r="G10" s="61"/>
    </row>
    <row r="11" spans="3:7" ht="44.25" x14ac:dyDescent="0.75">
      <c r="C11" s="12" t="e">
        <f>IF(Osiris!I11="//---- END","//---- END",Osiris!I11)</f>
        <v>#REF!</v>
      </c>
    </row>
    <row r="12" spans="3:7" ht="29.5" x14ac:dyDescent="0.75">
      <c r="C12" s="12" t="e">
        <f>IF(Osiris!I12="//---- END","//---- END",Osiris!I12)</f>
        <v>#REF!</v>
      </c>
    </row>
    <row r="13" spans="3:7" ht="29.5" x14ac:dyDescent="0.75">
      <c r="C13" s="12" t="e">
        <f>IF(Osiris!I13="//---- END","//---- END",Osiris!I13)</f>
        <v>#REF!</v>
      </c>
    </row>
    <row r="14" spans="3:7" ht="44.25" x14ac:dyDescent="0.75">
      <c r="C14" s="12" t="e">
        <f>IF(Osiris!I14="//---- END","//---- END",Osiris!I14)</f>
        <v>#REF!</v>
      </c>
    </row>
    <row r="15" spans="3:7" ht="29.5" x14ac:dyDescent="0.75">
      <c r="C15" s="12" t="e">
        <f>IF(Osiris!I15="//---- END","//---- END",Osiris!I15)</f>
        <v>#REF!</v>
      </c>
    </row>
    <row r="16" spans="3:7" ht="44.25" x14ac:dyDescent="0.75">
      <c r="C16" s="12" t="e">
        <f>IF(Osiris!I16="//---- END","//---- END",Osiris!I16)</f>
        <v>#REF!</v>
      </c>
    </row>
    <row r="17" spans="3:3" ht="44.25" x14ac:dyDescent="0.75">
      <c r="C17" s="12" t="e">
        <f>IF(Osiris!I17="//---- END","//---- END",Osiris!I17)</f>
        <v>#REF!</v>
      </c>
    </row>
    <row r="18" spans="3:3" ht="59" x14ac:dyDescent="0.75">
      <c r="C18" s="12" t="e">
        <f>IF(Osiris!I18="//---- END","//---- END",Osiris!I18)</f>
        <v>#REF!</v>
      </c>
    </row>
    <row r="19" spans="3:3" x14ac:dyDescent="0.75">
      <c r="C19" s="12" t="e">
        <f>IF(Osiris!I19="//---- END","//---- END",Osiris!I19)</f>
        <v>#REF!</v>
      </c>
    </row>
    <row r="20" spans="3:3" ht="29.5" x14ac:dyDescent="0.75">
      <c r="C20" s="12" t="e">
        <f>IF(Osiris!I20="//---- END","//---- END",Osiris!I20)</f>
        <v>#REF!</v>
      </c>
    </row>
    <row r="21" spans="3:3" ht="59" x14ac:dyDescent="0.75">
      <c r="C21" s="12" t="e">
        <f>IF(Osiris!I21="//---- END","//---- END",Osiris!I21)</f>
        <v>#REF!</v>
      </c>
    </row>
    <row r="22" spans="3:3" x14ac:dyDescent="0.75">
      <c r="C22" s="12" t="str">
        <f>IF(Osiris!I22="//---- END","//---- END",Osiris!I22)</f>
        <v>* RelatedPathology 0..* BackboneElement ##34#RelatedPathology##34# ##334#RelatedPathology##334#</v>
      </c>
    </row>
    <row r="23" spans="3:3" ht="59" x14ac:dyDescent="0.75">
      <c r="C23" s="12" t="e">
        <f>IF(Osiris!I23="//---- END","//---- END",Osiris!I23)</f>
        <v>#REF!</v>
      </c>
    </row>
    <row r="24" spans="3:3" ht="29.5" x14ac:dyDescent="0.75">
      <c r="C24" s="12" t="e">
        <f>IF(Osiris!I24="//---- END","//---- END",Osiris!I24)</f>
        <v>#REF!</v>
      </c>
    </row>
    <row r="25" spans="3:3" x14ac:dyDescent="0.75">
      <c r="C25" s="12" t="e">
        <f>IF(Osiris!I25="//---- END","//---- END",Osiris!I25)</f>
        <v>#REF!</v>
      </c>
    </row>
    <row r="26" spans="3:3" x14ac:dyDescent="0.75">
      <c r="C26" s="12" t="str">
        <f>IF(Osiris!I26="//---- END","//---- END",Osiris!I26)</f>
        <v>* FamilyCancerHistory 0..* BackboneElement ##34#FamilyCancerHistory##34# ##334#FamilyCancerHistory##334#</v>
      </c>
    </row>
    <row r="27" spans="3:3" x14ac:dyDescent="0.75">
      <c r="C27" s="12" t="e">
        <f>IF(Osiris!I27="//---- END","//---- END",Osiris!I27)</f>
        <v>#REF!</v>
      </c>
    </row>
    <row r="28" spans="3:3" x14ac:dyDescent="0.75">
      <c r="C28" s="12" t="e">
        <f>IF(Osiris!I28="//---- END","//---- END",Osiris!I28)</f>
        <v>#REF!</v>
      </c>
    </row>
    <row r="29" spans="3:3" x14ac:dyDescent="0.75">
      <c r="C29" s="12" t="str">
        <f>IF(Osiris!I29="//---- END","//---- END",Osiris!I29)</f>
        <v>* TumorPathologyEvent 1..* BackboneElement ##34#TumorPathologyEvent##34# ##334#TumorPathologyEvent##334#</v>
      </c>
    </row>
    <row r="30" spans="3:3" x14ac:dyDescent="0.75">
      <c r="C30" s="12" t="e">
        <f>IF(Osiris!I30="//---- END","//---- END",Osiris!I30)</f>
        <v>#REF!</v>
      </c>
    </row>
    <row r="31" spans="3:3" x14ac:dyDescent="0.75">
      <c r="C31" s="12" t="e">
        <f>IF(Osiris!I31="//---- END","//---- END",Osiris!I31)</f>
        <v>#REF!</v>
      </c>
    </row>
    <row r="32" spans="3:3" x14ac:dyDescent="0.75">
      <c r="C32" s="12" t="e">
        <f>IF(Osiris!I32="//---- END","//---- END",Osiris!I32)</f>
        <v>#REF!</v>
      </c>
    </row>
    <row r="33" spans="3:3" x14ac:dyDescent="0.75">
      <c r="C33" s="12" t="e">
        <f>IF(Osiris!I33="//---- END","//---- END",Osiris!I33)</f>
        <v>#REF!</v>
      </c>
    </row>
    <row r="34" spans="3:3" x14ac:dyDescent="0.75">
      <c r="C34" s="12" t="e">
        <f>IF(Osiris!I34="//---- END","//---- END",Osiris!I34)</f>
        <v>#REF!</v>
      </c>
    </row>
    <row r="35" spans="3:3" x14ac:dyDescent="0.75">
      <c r="C35" s="12" t="e">
        <f>IF(Osiris!I35="//---- END","//---- END",Osiris!I35)</f>
        <v>#REF!</v>
      </c>
    </row>
    <row r="36" spans="3:3" x14ac:dyDescent="0.75">
      <c r="C36" s="12" t="e">
        <f>IF(Osiris!I36="//---- END","//---- END",Osiris!I36)</f>
        <v>#REF!</v>
      </c>
    </row>
    <row r="37" spans="3:3" x14ac:dyDescent="0.75">
      <c r="C37" s="12" t="e">
        <f>IF(Osiris!I37="//---- END","//---- END",Osiris!I37)</f>
        <v>#REF!</v>
      </c>
    </row>
    <row r="38" spans="3:3" x14ac:dyDescent="0.75">
      <c r="C38" s="12" t="e">
        <f>IF(Osiris!I38="//---- END","//---- END",Osiris!I38)</f>
        <v>#REF!</v>
      </c>
    </row>
    <row r="39" spans="3:3" x14ac:dyDescent="0.75">
      <c r="C39" s="12" t="e">
        <f>IF(Osiris!I39="//---- END","//---- END",Osiris!I39)</f>
        <v>#REF!</v>
      </c>
    </row>
    <row r="40" spans="3:3" x14ac:dyDescent="0.75">
      <c r="C40" s="12" t="e">
        <f>IF(Osiris!I40="//---- END","//---- END",Osiris!I40)</f>
        <v>#REF!</v>
      </c>
    </row>
    <row r="41" spans="3:3" x14ac:dyDescent="0.75">
      <c r="C41" s="12" t="e">
        <f>IF(Osiris!I41="//---- END","//---- END",Osiris!I41)</f>
        <v>#REF!</v>
      </c>
    </row>
    <row r="42" spans="3:3" x14ac:dyDescent="0.75">
      <c r="C42" s="12" t="e">
        <f>IF(Osiris!I42="//---- END","//---- END",Osiris!I42)</f>
        <v>#REF!</v>
      </c>
    </row>
    <row r="43" spans="3:3" x14ac:dyDescent="0.75">
      <c r="C43" s="12" t="str">
        <f>IF(Osiris!I43="//---- END","//---- END",Osiris!I43)</f>
        <v>* TNM 0..* BackboneElement ##34#TNM##34# ##334#TNM##334#</v>
      </c>
    </row>
    <row r="44" spans="3:3" x14ac:dyDescent="0.75">
      <c r="C44" s="12" t="e">
        <f>IF(Osiris!I44="//---- END","//---- END",Osiris!I44)</f>
        <v>#REF!</v>
      </c>
    </row>
    <row r="45" spans="3:3" x14ac:dyDescent="0.75">
      <c r="C45" s="12" t="e">
        <f>IF(Osiris!I45="//---- END","//---- END",Osiris!I45)</f>
        <v>#REF!</v>
      </c>
    </row>
    <row r="46" spans="3:3" x14ac:dyDescent="0.75">
      <c r="C46" s="12" t="e">
        <f>IF(Osiris!I46="//---- END","//---- END",Osiris!I46)</f>
        <v>#REF!</v>
      </c>
    </row>
    <row r="47" spans="3:3" x14ac:dyDescent="0.75">
      <c r="C47" s="12" t="e">
        <f>IF(Osiris!I47="//---- END","//---- END",Osiris!I47)</f>
        <v>#REF!</v>
      </c>
    </row>
    <row r="48" spans="3:3" x14ac:dyDescent="0.75">
      <c r="C48" s="12" t="e">
        <f>IF(Osiris!I48="//---- END","//---- END",Osiris!I48)</f>
        <v>#REF!</v>
      </c>
    </row>
    <row r="49" spans="3:3" x14ac:dyDescent="0.75">
      <c r="C49" s="12" t="str">
        <f>IF(Osiris!I49="//---- END","//---- END",Osiris!I49)</f>
        <v>* Analysis 0..* BackboneElement ##34#Analysis##34# ##334#Analysis##334#</v>
      </c>
    </row>
    <row r="50" spans="3:3" x14ac:dyDescent="0.75">
      <c r="C50" s="12" t="e">
        <f>IF(Osiris!I50="//---- END","//---- END",Osiris!I50)</f>
        <v>#REF!</v>
      </c>
    </row>
    <row r="51" spans="3:3" x14ac:dyDescent="0.75">
      <c r="C51" s="12" t="e">
        <f>IF(Osiris!I51="//---- END","//---- END",Osiris!I51)</f>
        <v>#REF!</v>
      </c>
    </row>
    <row r="52" spans="3:3" x14ac:dyDescent="0.75">
      <c r="C52" s="12" t="e">
        <f>IF(Osiris!I52="//---- END","//---- END",Osiris!I52)</f>
        <v>#REF!</v>
      </c>
    </row>
    <row r="53" spans="3:3" x14ac:dyDescent="0.75">
      <c r="C53" s="12" t="str">
        <f>IF(Osiris!I53="//---- END","//---- END",Osiris!I53)</f>
        <v>* ResponseEvaluation 0..* BackboneElement ##34#ResponseEvaluation##34# ##334#ResponseEvaluation##334#</v>
      </c>
    </row>
    <row r="54" spans="3:3" x14ac:dyDescent="0.75">
      <c r="C54" s="12" t="e">
        <f>IF(Osiris!I54="//---- END","//---- END",Osiris!I54)</f>
        <v>#REF!</v>
      </c>
    </row>
    <row r="55" spans="3:3" x14ac:dyDescent="0.75">
      <c r="C55" s="12" t="e">
        <f>IF(Osiris!I55="//---- END","//---- END",Osiris!I55)</f>
        <v>#REF!</v>
      </c>
    </row>
    <row r="56" spans="3:3" x14ac:dyDescent="0.75">
      <c r="C56" s="12" t="str">
        <f>IF(Osiris!I56="//---- END","//---- END",Osiris!I56)</f>
        <v>* Biomarker 0..* BackboneElement ##34#Biomarker##34# ##334#Biomarker##334#</v>
      </c>
    </row>
    <row r="57" spans="3:3" x14ac:dyDescent="0.75">
      <c r="C57" s="12" t="e">
        <f>IF(Osiris!I57="//---- END","//---- END",Osiris!I57)</f>
        <v>#REF!</v>
      </c>
    </row>
    <row r="58" spans="3:3" x14ac:dyDescent="0.75">
      <c r="C58" s="12" t="e">
        <f>IF(Osiris!I58="//---- END","//---- END",Osiris!I58)</f>
        <v>#REF!</v>
      </c>
    </row>
    <row r="59" spans="3:3" x14ac:dyDescent="0.75">
      <c r="C59" s="12" t="e">
        <f>IF(Osiris!I59="//---- END","//---- END",Osiris!I59)</f>
        <v>#REF!</v>
      </c>
    </row>
    <row r="60" spans="3:3" x14ac:dyDescent="0.75">
      <c r="C60" s="12" t="str">
        <f>IF(Osiris!I60="//---- END","//---- END",Osiris!I60)</f>
        <v>* Treatment 0..* BackboneElement ##34#Treatment##34# ##334#Treatment##334#</v>
      </c>
    </row>
    <row r="61" spans="3:3" x14ac:dyDescent="0.75">
      <c r="C61" s="12" t="e">
        <f>IF(Osiris!I61="//---- END","//---- END",Osiris!I61)</f>
        <v>#REF!</v>
      </c>
    </row>
    <row r="62" spans="3:3" x14ac:dyDescent="0.75">
      <c r="C62" s="12" t="e">
        <f>IF(Osiris!I62="//---- END","//---- END",Osiris!I62)</f>
        <v>#REF!</v>
      </c>
    </row>
    <row r="63" spans="3:3" x14ac:dyDescent="0.75">
      <c r="C63" s="12" t="e">
        <f>IF(Osiris!I63="//---- END","//---- END",Osiris!I63)</f>
        <v>#REF!</v>
      </c>
    </row>
    <row r="64" spans="3:3" x14ac:dyDescent="0.75">
      <c r="C64" s="12" t="e">
        <f>IF(Osiris!I64="//---- END","//---- END",Osiris!I64)</f>
        <v>#REF!</v>
      </c>
    </row>
    <row r="65" spans="3:3" x14ac:dyDescent="0.75">
      <c r="C65" s="12" t="e">
        <f>IF(Osiris!I65="//---- END","//---- END",Osiris!I65)</f>
        <v>#REF!</v>
      </c>
    </row>
    <row r="66" spans="3:3" x14ac:dyDescent="0.75">
      <c r="C66" s="12" t="e">
        <f>IF(Osiris!I66="//---- END","//---- END",Osiris!I66)</f>
        <v>#REF!</v>
      </c>
    </row>
    <row r="67" spans="3:3" x14ac:dyDescent="0.75">
      <c r="C67" s="12" t="e">
        <f>IF(Osiris!I67="//---- END","//---- END",Osiris!I67)</f>
        <v>#REF!</v>
      </c>
    </row>
    <row r="68" spans="3:3" x14ac:dyDescent="0.75">
      <c r="C68" s="12" t="e">
        <f>IF(Osiris!I68="//---- END","//---- END",Osiris!I68)</f>
        <v>#REF!</v>
      </c>
    </row>
    <row r="69" spans="3:3" x14ac:dyDescent="0.75">
      <c r="C69" s="12" t="e">
        <f>IF(Osiris!I69="//---- END","//---- END",Osiris!I69)</f>
        <v>#REF!</v>
      </c>
    </row>
    <row r="70" spans="3:3" x14ac:dyDescent="0.75">
      <c r="C70" s="12" t="e">
        <f>IF(Osiris!I70="//---- END","//---- END",Osiris!I70)</f>
        <v>#REF!</v>
      </c>
    </row>
    <row r="71" spans="3:3" x14ac:dyDescent="0.75">
      <c r="C71" s="12" t="str">
        <f>IF(Osiris!I71="//---- END","//---- END",Osiris!I71)</f>
        <v>* AdverseEvent 0..* BackboneElement ##34#AdverseEvent##34# ##334#AdverseEvent##334#</v>
      </c>
    </row>
    <row r="72" spans="3:3" x14ac:dyDescent="0.75">
      <c r="C72" s="12" t="e">
        <f>IF(Osiris!I72="//---- END","//---- END",Osiris!I72)</f>
        <v>#REF!</v>
      </c>
    </row>
    <row r="73" spans="3:3" x14ac:dyDescent="0.75">
      <c r="C73" s="12" t="e">
        <f>IF(Osiris!I73="//---- END","//---- END",Osiris!I73)</f>
        <v>#REF!</v>
      </c>
    </row>
    <row r="74" spans="3:3" x14ac:dyDescent="0.75">
      <c r="C74" s="12" t="e">
        <f>IF(Osiris!I74="//---- END","//---- END",Osiris!I74)</f>
        <v>#REF!</v>
      </c>
    </row>
    <row r="75" spans="3:3" x14ac:dyDescent="0.75">
      <c r="C75" s="12" t="e">
        <f>IF(Osiris!I75="//---- END","//---- END",Osiris!I75)</f>
        <v>#REF!</v>
      </c>
    </row>
    <row r="76" spans="3:3" x14ac:dyDescent="0.75">
      <c r="C76" s="12" t="str">
        <f>IF(Osiris!I76="//---- END","//---- END",Osiris!I76)</f>
        <v>* Drug 0..* BackboneElement ##34#Drug##34# ##334#Drug##334#</v>
      </c>
    </row>
    <row r="77" spans="3:3" x14ac:dyDescent="0.75">
      <c r="C77" s="12" t="e">
        <f>IF(Osiris!I77="//---- END","//---- END",Osiris!I77)</f>
        <v>#REF!</v>
      </c>
    </row>
    <row r="78" spans="3:3" x14ac:dyDescent="0.75">
      <c r="C78" s="12" t="e">
        <f>IF(Osiris!I78="//---- END","//---- END",Osiris!I78)</f>
        <v>#REF!</v>
      </c>
    </row>
    <row r="79" spans="3:3" x14ac:dyDescent="0.75">
      <c r="C79" s="12" t="str">
        <f>IF(Osiris!I79="//---- END","//---- END",Osiris!I79)</f>
        <v>* BiologicalSample 0..* BackboneElement ##34#BiologicalSample##34# ##334#BiologicalSample##334#</v>
      </c>
    </row>
    <row r="80" spans="3:3" x14ac:dyDescent="0.75">
      <c r="C80" s="12" t="e">
        <f>IF(Osiris!I80="//---- END","//---- END",Osiris!I80)</f>
        <v>#REF!</v>
      </c>
    </row>
    <row r="81" spans="3:3" x14ac:dyDescent="0.75">
      <c r="C81" s="12" t="e">
        <f>IF(Osiris!I81="//---- END","//---- END",Osiris!I81)</f>
        <v>#REF!</v>
      </c>
    </row>
    <row r="82" spans="3:3" x14ac:dyDescent="0.75">
      <c r="C82" s="12" t="e">
        <f>IF(Osiris!I82="//---- END","//---- END",Osiris!I82)</f>
        <v>#REF!</v>
      </c>
    </row>
    <row r="83" spans="3:3" x14ac:dyDescent="0.75">
      <c r="C83" s="12" t="e">
        <f>IF(Osiris!I83="//---- END","//---- END",Osiris!I83)</f>
        <v>#REF!</v>
      </c>
    </row>
    <row r="84" spans="3:3" x14ac:dyDescent="0.75">
      <c r="C84" s="12" t="e">
        <f>IF(Osiris!I84="//---- END","//---- END",Osiris!I84)</f>
        <v>#REF!</v>
      </c>
    </row>
    <row r="85" spans="3:3" x14ac:dyDescent="0.75">
      <c r="C85" s="12" t="e">
        <f>IF(Osiris!I85="//---- END","//---- END",Osiris!I85)</f>
        <v>#REF!</v>
      </c>
    </row>
    <row r="86" spans="3:3" x14ac:dyDescent="0.75">
      <c r="C86" s="12" t="e">
        <f>IF(Osiris!I86="//---- END","//---- END",Osiris!I86)</f>
        <v>#REF!</v>
      </c>
    </row>
    <row r="87" spans="3:3" x14ac:dyDescent="0.75">
      <c r="C87" s="12" t="e">
        <f>IF(Osiris!I87="//---- END","//---- END",Osiris!I87)</f>
        <v>#REF!</v>
      </c>
    </row>
    <row r="88" spans="3:3" x14ac:dyDescent="0.75">
      <c r="C88" s="12" t="str">
        <f>IF(Osiris!I88="//---- END","//---- END",Osiris!I88)</f>
        <v>* Technology 1..* BackboneElement ##34#Technology##34# ##334#Technology##334#</v>
      </c>
    </row>
    <row r="89" spans="3:3" x14ac:dyDescent="0.75">
      <c r="C89" s="12" t="e">
        <f>IF(Osiris!I89="//---- END","//---- END",Osiris!I89)</f>
        <v>#REF!</v>
      </c>
    </row>
    <row r="90" spans="3:3" x14ac:dyDescent="0.75">
      <c r="C90" s="12" t="e">
        <f>IF(Osiris!I90="//---- END","//---- END",Osiris!I90)</f>
        <v>#REF!</v>
      </c>
    </row>
    <row r="91" spans="3:3" x14ac:dyDescent="0.75">
      <c r="C91" s="12" t="e">
        <f>IF(Osiris!I91="//---- END","//---- END",Osiris!I91)</f>
        <v>#REF!</v>
      </c>
    </row>
    <row r="92" spans="3:3" x14ac:dyDescent="0.75">
      <c r="C92" s="12" t="e">
        <f>IF(Osiris!I92="//---- END","//---- END",Osiris!I92)</f>
        <v>#REF!</v>
      </c>
    </row>
    <row r="93" spans="3:3" x14ac:dyDescent="0.75">
      <c r="C93" s="12" t="str">
        <f>IF(Osiris!I93="//---- END","//---- END",Osiris!I93)</f>
        <v>* Panel 0..* BackboneElement ##34#Panel##34# ##334#Panel##334#</v>
      </c>
    </row>
    <row r="94" spans="3:3" x14ac:dyDescent="0.75">
      <c r="C94" s="12" t="e">
        <f>IF(Osiris!I94="//---- END","//---- END",Osiris!I94)</f>
        <v>#REF!</v>
      </c>
    </row>
    <row r="95" spans="3:3" x14ac:dyDescent="0.75">
      <c r="C95" s="12" t="str">
        <f>IF(Osiris!I95="//---- END","//---- END",Osiris!I95)</f>
        <v>* AnalysisProcess 1..* BackboneElement ##34#AnalysisProcess##34# ##334#AnalysisProcess##334#</v>
      </c>
    </row>
    <row r="96" spans="3:3" x14ac:dyDescent="0.75">
      <c r="C96" s="12" t="e">
        <f>IF(Osiris!I96="//---- END","//---- END",Osiris!I96)</f>
        <v>#REF!</v>
      </c>
    </row>
    <row r="97" spans="3:3" x14ac:dyDescent="0.75">
      <c r="C97" s="12" t="str">
        <f>IF(Osiris!I97="//---- END","//---- END",Osiris!I97)</f>
        <v>* OmicAnalysis 0..* BackboneElement ##34#OmicAnalysis##34# ##334#OmicAnalysis##334#</v>
      </c>
    </row>
    <row r="98" spans="3:3" x14ac:dyDescent="0.75">
      <c r="C98" s="12" t="e">
        <f>IF(Osiris!I98="//---- END","//---- END",Osiris!I98)</f>
        <v>#REF!</v>
      </c>
    </row>
    <row r="99" spans="3:3" x14ac:dyDescent="0.75">
      <c r="C99" s="12" t="e">
        <f>IF(Osiris!I99="//---- END","//---- END",Osiris!I99)</f>
        <v>#REF!</v>
      </c>
    </row>
    <row r="100" spans="3:3" x14ac:dyDescent="0.75">
      <c r="C100" s="12" t="e">
        <f>IF(Osiris!I100="//---- END","//---- END",Osiris!I100)</f>
        <v>#REF!</v>
      </c>
    </row>
    <row r="101" spans="3:3" x14ac:dyDescent="0.75">
      <c r="C101" s="12" t="str">
        <f>IF(Osiris!I101="//---- END","//---- END",Osiris!I101)</f>
        <v>* AlterationOnSample 1..* BackboneElement ##34#AlterationOnSample##34# ##334#AlterationOnSample##334#</v>
      </c>
    </row>
    <row r="102" spans="3:3" x14ac:dyDescent="0.75">
      <c r="C102" s="12" t="e">
        <f>IF(Osiris!I102="//---- END","//---- END",Osiris!I102)</f>
        <v>#REF!</v>
      </c>
    </row>
    <row r="103" spans="3:3" x14ac:dyDescent="0.75">
      <c r="C103" s="12" t="e">
        <f>IF(Osiris!I103="//---- END","//---- END",Osiris!I103)</f>
        <v>#REF!</v>
      </c>
    </row>
    <row r="104" spans="3:3" x14ac:dyDescent="0.75">
      <c r="C104" s="12" t="e">
        <f>IF(Osiris!I104="//---- END","//---- END",Osiris!I104)</f>
        <v>#REF!</v>
      </c>
    </row>
    <row r="105" spans="3:3" x14ac:dyDescent="0.75">
      <c r="C105" s="12" t="e">
        <f>IF(Osiris!I105="//---- END","//---- END",Osiris!I105)</f>
        <v>#REF!</v>
      </c>
    </row>
    <row r="106" spans="3:3" x14ac:dyDescent="0.75">
      <c r="C106" s="12" t="str">
        <f>IF(Osiris!I106="//---- END","//---- END",Osiris!I106)</f>
        <v>* Validation 0..* BackboneElement ##34#Validation##34# ##334#Validation##334#</v>
      </c>
    </row>
    <row r="107" spans="3:3" x14ac:dyDescent="0.75">
      <c r="C107" s="12" t="e">
        <f>IF(Osiris!I107="//---- END","//---- END",Osiris!I107)</f>
        <v>#REF!</v>
      </c>
    </row>
    <row r="108" spans="3:3" x14ac:dyDescent="0.75">
      <c r="C108" s="12" t="e">
        <f>IF(Osiris!I108="//---- END","//---- END",Osiris!I108)</f>
        <v>#REF!</v>
      </c>
    </row>
    <row r="109" spans="3:3" x14ac:dyDescent="0.75">
      <c r="C109" s="12" t="e">
        <f>IF(Osiris!I109="//---- END","//---- END",Osiris!I109)</f>
        <v>#REF!</v>
      </c>
    </row>
    <row r="110" spans="3:3" x14ac:dyDescent="0.75">
      <c r="C110" s="12" t="str">
        <f>IF(Osiris!I110="//---- END","//---- END",Osiris!I110)</f>
        <v>* Alteration 1..* BackboneElement ##34#Alteration##34# ##334#Alteration##334#</v>
      </c>
    </row>
    <row r="111" spans="3:3" x14ac:dyDescent="0.75">
      <c r="C111" s="12" t="e">
        <f>IF(Osiris!I111="//---- END","//---- END",Osiris!I111)</f>
        <v>#REF!</v>
      </c>
    </row>
    <row r="112" spans="3:3" x14ac:dyDescent="0.75">
      <c r="C112" s="12" t="e">
        <f>IF(Osiris!I112="//---- END","//---- END",Osiris!I112)</f>
        <v>#REF!</v>
      </c>
    </row>
    <row r="113" spans="3:3" x14ac:dyDescent="0.75">
      <c r="C113" s="12" t="e">
        <f>IF(Osiris!I113="//---- END","//---- END",Osiris!I113)</f>
        <v>#REF!</v>
      </c>
    </row>
    <row r="114" spans="3:3" x14ac:dyDescent="0.75">
      <c r="C114" s="12" t="e">
        <f>IF(Osiris!I114="//---- END","//---- END",Osiris!I114)</f>
        <v>#REF!</v>
      </c>
    </row>
    <row r="115" spans="3:3" x14ac:dyDescent="0.75">
      <c r="C115" s="12" t="e">
        <f>IF(Osiris!I115="//---- END","//---- END",Osiris!I115)</f>
        <v>#REF!</v>
      </c>
    </row>
    <row r="116" spans="3:3" x14ac:dyDescent="0.75">
      <c r="C116" s="12" t="e">
        <f>IF(Osiris!I116="//---- END","//---- END",Osiris!I116)</f>
        <v>#REF!</v>
      </c>
    </row>
    <row r="117" spans="3:3" x14ac:dyDescent="0.75">
      <c r="C117" s="12" t="e">
        <f>IF(Osiris!I117="//---- END","//---- END",Osiris!I117)</f>
        <v>#REF!</v>
      </c>
    </row>
    <row r="118" spans="3:3" x14ac:dyDescent="0.75">
      <c r="C118" s="12" t="e">
        <f>IF(Osiris!I118="//---- END","//---- END",Osiris!I118)</f>
        <v>#REF!</v>
      </c>
    </row>
    <row r="119" spans="3:3" x14ac:dyDescent="0.75">
      <c r="C119" s="12" t="e">
        <f>IF(Osiris!I119="//---- END","//---- END",Osiris!I119)</f>
        <v>#REF!</v>
      </c>
    </row>
    <row r="120" spans="3:3" x14ac:dyDescent="0.75">
      <c r="C120" s="12" t="e">
        <f>IF(Osiris!I120="//---- END","//---- END",Osiris!I120)</f>
        <v>#REF!</v>
      </c>
    </row>
    <row r="121" spans="3:3" x14ac:dyDescent="0.75">
      <c r="C121" s="12" t="e">
        <f>IF(Osiris!I121="//---- END","//---- END",Osiris!I121)</f>
        <v>#REF!</v>
      </c>
    </row>
    <row r="122" spans="3:3" x14ac:dyDescent="0.75">
      <c r="C122" s="12" t="e">
        <f>IF(Osiris!I122="//---- END","//---- END",Osiris!I122)</f>
        <v>#REF!</v>
      </c>
    </row>
    <row r="123" spans="3:3" x14ac:dyDescent="0.75">
      <c r="C123" s="12" t="e">
        <f>IF(Osiris!I123="//---- END","//---- END",Osiris!I123)</f>
        <v>#REF!</v>
      </c>
    </row>
    <row r="124" spans="3:3" x14ac:dyDescent="0.75">
      <c r="C124" s="12" t="e">
        <f>IF(Osiris!I124="//---- END","//---- END",Osiris!I124)</f>
        <v>#REF!</v>
      </c>
    </row>
    <row r="125" spans="3:3" x14ac:dyDescent="0.75">
      <c r="C125" s="12" t="e">
        <f>IF(Osiris!I125="//---- END","//---- END",Osiris!I125)</f>
        <v>#REF!</v>
      </c>
    </row>
    <row r="126" spans="3:3" x14ac:dyDescent="0.75">
      <c r="C126" s="12" t="e">
        <f>IF(Osiris!I126="//---- END","//---- END",Osiris!I126)</f>
        <v>#REF!</v>
      </c>
    </row>
    <row r="127" spans="3:3" x14ac:dyDescent="0.75">
      <c r="C127" s="12" t="e">
        <f>IF(Osiris!I127="//---- END","//---- END",Osiris!I127)</f>
        <v>#REF!</v>
      </c>
    </row>
    <row r="128" spans="3:3" x14ac:dyDescent="0.75">
      <c r="C128" s="12" t="e">
        <f>IF(Osiris!I128="//---- END","//---- END",Osiris!I128)</f>
        <v>#REF!</v>
      </c>
    </row>
    <row r="129" spans="3:3" x14ac:dyDescent="0.75">
      <c r="C129" s="12" t="e">
        <f>IF(Osiris!I129="//---- END","//---- END",Osiris!I129)</f>
        <v>#REF!</v>
      </c>
    </row>
    <row r="130" spans="3:3" x14ac:dyDescent="0.75">
      <c r="C130" s="12" t="e">
        <f>IF(Osiris!I130="//---- END","//---- END",Osiris!I130)</f>
        <v>#REF!</v>
      </c>
    </row>
    <row r="131" spans="3:3" x14ac:dyDescent="0.75">
      <c r="C131" s="12" t="e">
        <f>IF(Osiris!I131="//---- END","//---- END",Osiris!I131)</f>
        <v>#REF!</v>
      </c>
    </row>
    <row r="132" spans="3:3" x14ac:dyDescent="0.75">
      <c r="C132" s="12" t="e">
        <f>IF(Osiris!I132="//---- END","//---- END",Osiris!I132)</f>
        <v>#REF!</v>
      </c>
    </row>
    <row r="133" spans="3:3" x14ac:dyDescent="0.75">
      <c r="C133" s="12" t="e">
        <f>IF(Osiris!I133="//---- END","//---- END",Osiris!I133)</f>
        <v>#REF!</v>
      </c>
    </row>
    <row r="134" spans="3:3" x14ac:dyDescent="0.75">
      <c r="C134" s="12" t="e">
        <f>IF(Osiris!I134="//---- END","//---- END",Osiris!I134)</f>
        <v>#REF!</v>
      </c>
    </row>
    <row r="135" spans="3:3" x14ac:dyDescent="0.75">
      <c r="C135" s="12" t="e">
        <f>IF(Osiris!I135="//---- END","//---- END",Osiris!I135)</f>
        <v>#REF!</v>
      </c>
    </row>
    <row r="136" spans="3:3" x14ac:dyDescent="0.75">
      <c r="C136" s="12" t="e">
        <f>IF(Osiris!I136="//---- END","//---- END",Osiris!I136)</f>
        <v>#REF!</v>
      </c>
    </row>
    <row r="137" spans="3:3" x14ac:dyDescent="0.75">
      <c r="C137" s="12" t="e">
        <f>IF(Osiris!I137="//---- END","//---- END",Osiris!I137)</f>
        <v>#REF!</v>
      </c>
    </row>
    <row r="138" spans="3:3" x14ac:dyDescent="0.75">
      <c r="C138" s="12" t="e">
        <f>IF(Osiris!I138="//---- END","//---- END",Osiris!I138)</f>
        <v>#REF!</v>
      </c>
    </row>
    <row r="139" spans="3:3" x14ac:dyDescent="0.75">
      <c r="C139" s="12" t="e">
        <f>IF(Osiris!I139="//---- END","//---- END",Osiris!I139)</f>
        <v>#REF!</v>
      </c>
    </row>
    <row r="140" spans="3:3" x14ac:dyDescent="0.75">
      <c r="C140" s="12" t="e">
        <f>IF(Osiris!I140="//---- END","//---- END",Osiris!I140)</f>
        <v>#REF!</v>
      </c>
    </row>
    <row r="141" spans="3:3" x14ac:dyDescent="0.75">
      <c r="C141" s="12" t="e">
        <f>IF(Osiris!I141="//---- END","//---- END",Osiris!I141)</f>
        <v>#REF!</v>
      </c>
    </row>
    <row r="142" spans="3:3" x14ac:dyDescent="0.75">
      <c r="C142" s="12" t="e">
        <f>IF(Osiris!I142="//---- END","//---- END",Osiris!I142)</f>
        <v>#REF!</v>
      </c>
    </row>
    <row r="143" spans="3:3" x14ac:dyDescent="0.75">
      <c r="C143" s="12" t="e">
        <f>IF(Osiris!I143="//---- END","//---- END",Osiris!I143)</f>
        <v>#REF!</v>
      </c>
    </row>
    <row r="144" spans="3:3" x14ac:dyDescent="0.75">
      <c r="C144" s="12" t="e">
        <f>IF(Osiris!I144="//---- END","//---- END",Osiris!I144)</f>
        <v>#REF!</v>
      </c>
    </row>
    <row r="145" spans="3:3" x14ac:dyDescent="0.75">
      <c r="C145" s="12" t="e">
        <f>IF(Osiris!I145="//---- END","//---- END",Osiris!I145)</f>
        <v>#REF!</v>
      </c>
    </row>
    <row r="146" spans="3:3" x14ac:dyDescent="0.75">
      <c r="C146" s="12" t="e">
        <f>IF(Osiris!I146="//---- END","//---- END",Osiris!I146)</f>
        <v>#REF!</v>
      </c>
    </row>
    <row r="147" spans="3:3" x14ac:dyDescent="0.75">
      <c r="C147" s="12" t="e">
        <f>IF(Osiris!I147="//---- END","//---- END",Osiris!I147)</f>
        <v>#REF!</v>
      </c>
    </row>
    <row r="148" spans="3:3" x14ac:dyDescent="0.75">
      <c r="C148" s="12" t="e">
        <f>IF(Osiris!I148="//---- END","//---- END",Osiris!I148)</f>
        <v>#REF!</v>
      </c>
    </row>
    <row r="149" spans="3:3" x14ac:dyDescent="0.75">
      <c r="C149" s="12" t="e">
        <f>IF(Osiris!I149="//---- END","//---- END",Osiris!I149)</f>
        <v>#REF!</v>
      </c>
    </row>
    <row r="150" spans="3:3" x14ac:dyDescent="0.75">
      <c r="C150" s="12" t="e">
        <f>IF(Osiris!I150="//---- END","//---- END",Osiris!I150)</f>
        <v>#REF!</v>
      </c>
    </row>
    <row r="151" spans="3:3" x14ac:dyDescent="0.75">
      <c r="C151" s="12" t="e">
        <f>IF(Osiris!I151="//---- END","//---- END",Osiris!I151)</f>
        <v>#REF!</v>
      </c>
    </row>
    <row r="152" spans="3:3" x14ac:dyDescent="0.75">
      <c r="C152" s="12" t="e">
        <f>IF(Osiris!I152="//---- END","//---- END",Osiris!I152)</f>
        <v>#REF!</v>
      </c>
    </row>
    <row r="153" spans="3:3" x14ac:dyDescent="0.75">
      <c r="C153" s="12" t="e">
        <f>IF(Osiris!I153="//---- END","//---- END",Osiris!I153)</f>
        <v>#REF!</v>
      </c>
    </row>
    <row r="154" spans="3:3" x14ac:dyDescent="0.75">
      <c r="C154" s="12" t="e">
        <f>IF(Osiris!I154="//---- END","//---- END",Osiris!I154)</f>
        <v>#REF!</v>
      </c>
    </row>
    <row r="155" spans="3:3" x14ac:dyDescent="0.75">
      <c r="C155" s="12" t="e">
        <f>IF(Osiris!I155="//---- END","//---- END",Osiris!I155)</f>
        <v>#REF!</v>
      </c>
    </row>
    <row r="156" spans="3:3" x14ac:dyDescent="0.75">
      <c r="C156" s="12" t="e">
        <f>IF(Osiris!I156="//---- END","//---- END",Osiris!I156)</f>
        <v>#REF!</v>
      </c>
    </row>
    <row r="157" spans="3:3" x14ac:dyDescent="0.75">
      <c r="C157" s="12" t="e">
        <f>IF(Osiris!I157="//---- END","//---- END",Osiris!I157)</f>
        <v>#REF!</v>
      </c>
    </row>
    <row r="158" spans="3:3" x14ac:dyDescent="0.75">
      <c r="C158" s="12" t="e">
        <f>IF(Osiris!I158="//---- END","//---- END",Osiris!I158)</f>
        <v>#REF!</v>
      </c>
    </row>
    <row r="159" spans="3:3" x14ac:dyDescent="0.75">
      <c r="C159" s="12" t="e">
        <f>IF(Osiris!I159="//---- END","//---- END",Osiris!I159)</f>
        <v>#REF!</v>
      </c>
    </row>
    <row r="160" spans="3:3" x14ac:dyDescent="0.75">
      <c r="C160" s="12" t="e">
        <f>IF(Osiris!I160="//---- END","//---- END",Osiris!I160)</f>
        <v>#REF!</v>
      </c>
    </row>
    <row r="161" spans="3:3" x14ac:dyDescent="0.75">
      <c r="C161" s="12" t="e">
        <f>IF(Osiris!I161="//---- END","//---- END",Osiris!I161)</f>
        <v>#REF!</v>
      </c>
    </row>
    <row r="162" spans="3:3" x14ac:dyDescent="0.75">
      <c r="C162" s="12" t="e">
        <f>IF(Osiris!I162="//---- END","//---- END",Osiris!I162)</f>
        <v>#REF!</v>
      </c>
    </row>
    <row r="163" spans="3:3" x14ac:dyDescent="0.75">
      <c r="C163" s="12" t="e">
        <f>IF(Osiris!I163="//---- END","//---- END",Osiris!I163)</f>
        <v>#REF!</v>
      </c>
    </row>
    <row r="164" spans="3:3" x14ac:dyDescent="0.75">
      <c r="C164" s="12" t="e">
        <f>IF(Osiris!I164="//---- END","//---- END",Osiris!I164)</f>
        <v>#REF!</v>
      </c>
    </row>
    <row r="165" spans="3:3" x14ac:dyDescent="0.75">
      <c r="C165" s="12" t="e">
        <f>IF(Osiris!I165="//---- END","//---- END",Osiris!I165)</f>
        <v>#REF!</v>
      </c>
    </row>
    <row r="166" spans="3:3" x14ac:dyDescent="0.75">
      <c r="C166" s="12" t="e">
        <f>IF(Osiris!I166="//---- END","//---- END",Osiris!I166)</f>
        <v>#REF!</v>
      </c>
    </row>
    <row r="167" spans="3:3" x14ac:dyDescent="0.75">
      <c r="C167" s="12" t="e">
        <f>IF(Osiris!I167="//---- END","//---- END",Osiris!I167)</f>
        <v>#REF!</v>
      </c>
    </row>
    <row r="168" spans="3:3" x14ac:dyDescent="0.75">
      <c r="C168" s="12" t="e">
        <f>IF(Osiris!I168="//---- END","//---- END",Osiris!I168)</f>
        <v>#REF!</v>
      </c>
    </row>
    <row r="169" spans="3:3" x14ac:dyDescent="0.75">
      <c r="C169" s="12" t="e">
        <f>IF(Osiris!I169="//---- END","//---- END",Osiris!I169)</f>
        <v>#REF!</v>
      </c>
    </row>
    <row r="170" spans="3:3" x14ac:dyDescent="0.75">
      <c r="C170" s="12" t="e">
        <f>IF(Osiris!I170="//---- END","//---- END",Osiris!I170)</f>
        <v>#REF!</v>
      </c>
    </row>
    <row r="171" spans="3:3" x14ac:dyDescent="0.75">
      <c r="C171" s="12" t="e">
        <f>IF(Osiris!I171="//---- END","//---- END",Osiris!I171)</f>
        <v>#REF!</v>
      </c>
    </row>
    <row r="172" spans="3:3" x14ac:dyDescent="0.75">
      <c r="C172" s="12" t="e">
        <f>IF(Osiris!I172="//---- END","//---- END",Osiris!I172)</f>
        <v>#REF!</v>
      </c>
    </row>
    <row r="173" spans="3:3" x14ac:dyDescent="0.75">
      <c r="C173" s="12" t="e">
        <f>IF(Osiris!I173="//---- END","//---- END",Osiris!I173)</f>
        <v>#REF!</v>
      </c>
    </row>
    <row r="174" spans="3:3" x14ac:dyDescent="0.75">
      <c r="C174" s="12" t="e">
        <f>IF(Osiris!I174="//---- END","//---- END",Osiris!I174)</f>
        <v>#REF!</v>
      </c>
    </row>
    <row r="175" spans="3:3" x14ac:dyDescent="0.75">
      <c r="C175" s="12" t="e">
        <f>IF(Osiris!I175="//---- END","//---- END",Osiris!I175)</f>
        <v>#REF!</v>
      </c>
    </row>
    <row r="176" spans="3:3" x14ac:dyDescent="0.75">
      <c r="C176" s="12" t="e">
        <f>IF(Osiris!I176="//---- END","//---- END",Osiris!I176)</f>
        <v>#REF!</v>
      </c>
    </row>
    <row r="177" spans="3:3" x14ac:dyDescent="0.75">
      <c r="C177" s="12" t="e">
        <f>IF(Osiris!I177="//---- END","//---- END",Osiris!I177)</f>
        <v>#REF!</v>
      </c>
    </row>
    <row r="178" spans="3:3" x14ac:dyDescent="0.75">
      <c r="C178" s="12" t="e">
        <f>IF(Osiris!I178="//---- END","//---- END",Osiris!I178)</f>
        <v>#REF!</v>
      </c>
    </row>
    <row r="179" spans="3:3" x14ac:dyDescent="0.75">
      <c r="C179" s="12" t="e">
        <f>IF(Osiris!I179="//---- END","//---- END",Osiris!I179)</f>
        <v>#REF!</v>
      </c>
    </row>
    <row r="180" spans="3:3" x14ac:dyDescent="0.75">
      <c r="C180" s="12" t="e">
        <f>IF(Osiris!I180="//---- END","//---- END",Osiris!I180)</f>
        <v>#REF!</v>
      </c>
    </row>
    <row r="181" spans="3:3" x14ac:dyDescent="0.75">
      <c r="C181" s="12" t="e">
        <f>IF(Osiris!I181="//---- END","//---- END",Osiris!I181)</f>
        <v>#REF!</v>
      </c>
    </row>
    <row r="182" spans="3:3" x14ac:dyDescent="0.75">
      <c r="C182" s="12" t="e">
        <f>IF(Osiris!I182="//---- END","//---- END",Osiris!I182)</f>
        <v>#REF!</v>
      </c>
    </row>
    <row r="183" spans="3:3" x14ac:dyDescent="0.75">
      <c r="C183" s="12" t="e">
        <f>IF(Osiris!I183="//---- END","//---- END",Osiris!I183)</f>
        <v>#REF!</v>
      </c>
    </row>
    <row r="184" spans="3:3" x14ac:dyDescent="0.75">
      <c r="C184" s="12" t="e">
        <f>IF(Osiris!I184="//---- END","//---- END",Osiris!I184)</f>
        <v>#REF!</v>
      </c>
    </row>
    <row r="185" spans="3:3" x14ac:dyDescent="0.75">
      <c r="C185" s="12" t="e">
        <f>IF(Osiris!I185="//---- END","//---- END",Osiris!I185)</f>
        <v>#REF!</v>
      </c>
    </row>
    <row r="186" spans="3:3" x14ac:dyDescent="0.75">
      <c r="C186" s="12" t="e">
        <f>IF(Osiris!I186="//---- END","//---- END",Osiris!I186)</f>
        <v>#REF!</v>
      </c>
    </row>
    <row r="187" spans="3:3" x14ac:dyDescent="0.75">
      <c r="C187" s="12" t="e">
        <f>IF(Osiris!I187="//---- END","//---- END",Osiris!I187)</f>
        <v>#REF!</v>
      </c>
    </row>
    <row r="188" spans="3:3" x14ac:dyDescent="0.75">
      <c r="C188" s="12" t="e">
        <f>IF(Osiris!I188="//---- END","//---- END",Osiris!I188)</f>
        <v>#REF!</v>
      </c>
    </row>
    <row r="189" spans="3:3" x14ac:dyDescent="0.75">
      <c r="C189" s="12" t="e">
        <f>IF(Osiris!I189="//---- END","//---- END",Osiris!I189)</f>
        <v>#REF!</v>
      </c>
    </row>
    <row r="190" spans="3:3" x14ac:dyDescent="0.75">
      <c r="C190" s="12" t="e">
        <f>IF(Osiris!I190="//---- END","//---- END",Osiris!I190)</f>
        <v>#REF!</v>
      </c>
    </row>
    <row r="191" spans="3:3" x14ac:dyDescent="0.75">
      <c r="C191" s="12" t="e">
        <f>IF(Osiris!I191="//---- END","//---- END",Osiris!I191)</f>
        <v>#REF!</v>
      </c>
    </row>
    <row r="192" spans="3:3" x14ac:dyDescent="0.75">
      <c r="C192" s="12" t="e">
        <f>IF(Osiris!I192="//---- END","//---- END",Osiris!I192)</f>
        <v>#REF!</v>
      </c>
    </row>
    <row r="193" spans="3:3" x14ac:dyDescent="0.75">
      <c r="C193" s="12" t="e">
        <f>IF(Osiris!I193="//---- END","//---- END",Osiris!I193)</f>
        <v>#REF!</v>
      </c>
    </row>
    <row r="194" spans="3:3" x14ac:dyDescent="0.75">
      <c r="C194" s="12" t="e">
        <f>IF(Osiris!I194="//---- END","//---- END",Osiris!I194)</f>
        <v>#REF!</v>
      </c>
    </row>
    <row r="195" spans="3:3" x14ac:dyDescent="0.75">
      <c r="C195" s="12" t="e">
        <f>IF(Osiris!I195="//---- END","//---- END",Osiris!I195)</f>
        <v>#REF!</v>
      </c>
    </row>
    <row r="196" spans="3:3" x14ac:dyDescent="0.75">
      <c r="C196" s="12" t="e">
        <f>IF(Osiris!I196="//---- END","//---- END",Osiris!I196)</f>
        <v>#REF!</v>
      </c>
    </row>
    <row r="197" spans="3:3" x14ac:dyDescent="0.75">
      <c r="C197" s="12" t="e">
        <f>IF(Osiris!I197="//---- END","//---- END",Osiris!I197)</f>
        <v>#REF!</v>
      </c>
    </row>
    <row r="198" spans="3:3" x14ac:dyDescent="0.75">
      <c r="C198" s="12" t="e">
        <f>IF(Osiris!I198="//---- END","//---- END",Osiris!I198)</f>
        <v>#REF!</v>
      </c>
    </row>
    <row r="199" spans="3:3" x14ac:dyDescent="0.75">
      <c r="C199" s="12" t="e">
        <f>IF(Osiris!I199="//---- END","//---- END",Osiris!I199)</f>
        <v>#REF!</v>
      </c>
    </row>
    <row r="200" spans="3:3" x14ac:dyDescent="0.75">
      <c r="C200" s="12" t="e">
        <f>IF(Osiris!I200="//---- END","//---- END",Osiris!I200)</f>
        <v>#REF!</v>
      </c>
    </row>
    <row r="201" spans="3:3" x14ac:dyDescent="0.75">
      <c r="C201" s="12" t="e">
        <f>IF(Osiris!I201="//---- END","//---- END",Osiris!I201)</f>
        <v>#REF!</v>
      </c>
    </row>
    <row r="202" spans="3:3" x14ac:dyDescent="0.75">
      <c r="C202" s="12" t="e">
        <f>IF(Osiris!I202="//---- END","//---- END",Osiris!I202)</f>
        <v>#REF!</v>
      </c>
    </row>
    <row r="203" spans="3:3" x14ac:dyDescent="0.75">
      <c r="C203" s="12" t="e">
        <f>IF(Osiris!I203="//---- END","//---- END",Osiris!I203)</f>
        <v>#REF!</v>
      </c>
    </row>
    <row r="204" spans="3:3" x14ac:dyDescent="0.75">
      <c r="C204" s="12" t="e">
        <f>IF(Osiris!I204="//---- END","//---- END",Osiris!I204)</f>
        <v>#REF!</v>
      </c>
    </row>
    <row r="205" spans="3:3" x14ac:dyDescent="0.75">
      <c r="C205" s="12" t="e">
        <f>IF(Osiris!I205="//---- END","//---- END",Osiris!I205)</f>
        <v>#REF!</v>
      </c>
    </row>
    <row r="206" spans="3:3" x14ac:dyDescent="0.75">
      <c r="C206" s="12" t="e">
        <f>IF(Osiris!I206="//---- END","//---- END",Osiris!I206)</f>
        <v>#REF!</v>
      </c>
    </row>
    <row r="207" spans="3:3" x14ac:dyDescent="0.75">
      <c r="C207" s="12" t="e">
        <f>IF(Osiris!I207="//---- END","//---- END",Osiris!I207)</f>
        <v>#REF!</v>
      </c>
    </row>
    <row r="208" spans="3:3" x14ac:dyDescent="0.75">
      <c r="C208" s="12" t="e">
        <f>IF(Osiris!I208="//---- END","//---- END",Osiris!I208)</f>
        <v>#REF!</v>
      </c>
    </row>
    <row r="209" spans="3:3" x14ac:dyDescent="0.75">
      <c r="C209" s="12" t="e">
        <f>IF(Osiris!I209="//---- END","//---- END",Osiris!I209)</f>
        <v>#REF!</v>
      </c>
    </row>
    <row r="210" spans="3:3" x14ac:dyDescent="0.75">
      <c r="C210" s="12" t="e">
        <f>IF(Osiris!I210="//---- END","//---- END",Osiris!I210)</f>
        <v>#REF!</v>
      </c>
    </row>
    <row r="211" spans="3:3" x14ac:dyDescent="0.75">
      <c r="C211" s="12" t="e">
        <f>IF(Osiris!I211="//---- END","//---- END",Osiris!I211)</f>
        <v>#REF!</v>
      </c>
    </row>
    <row r="212" spans="3:3" x14ac:dyDescent="0.75">
      <c r="C212" s="12" t="e">
        <f>IF(Osiris!I212="//---- END","//---- END",Osiris!I212)</f>
        <v>#REF!</v>
      </c>
    </row>
    <row r="213" spans="3:3" x14ac:dyDescent="0.75">
      <c r="C213" s="12" t="e">
        <f>IF(Osiris!I213="//---- END","//---- END",Osiris!I213)</f>
        <v>#REF!</v>
      </c>
    </row>
    <row r="214" spans="3:3" x14ac:dyDescent="0.75">
      <c r="C214" s="12" t="e">
        <f>IF(Osiris!I214="//---- END","//---- END",Osiris!I214)</f>
        <v>#REF!</v>
      </c>
    </row>
    <row r="215" spans="3:3" x14ac:dyDescent="0.75">
      <c r="C215" s="12" t="e">
        <f>IF(Osiris!I215="//---- END","//---- END",Osiris!I215)</f>
        <v>#REF!</v>
      </c>
    </row>
    <row r="216" spans="3:3" x14ac:dyDescent="0.75">
      <c r="C216" s="12" t="e">
        <f>IF(Osiris!I216="//---- END","//---- END",Osiris!I216)</f>
        <v>#REF!</v>
      </c>
    </row>
    <row r="217" spans="3:3" x14ac:dyDescent="0.75">
      <c r="C217" s="12" t="e">
        <f>IF(Osiris!I217="//---- END","//---- END",Osiris!I217)</f>
        <v>#REF!</v>
      </c>
    </row>
    <row r="218" spans="3:3" x14ac:dyDescent="0.75">
      <c r="C218" s="12" t="e">
        <f>IF(Osiris!I218="//---- END","//---- END",Osiris!I218)</f>
        <v>#REF!</v>
      </c>
    </row>
    <row r="219" spans="3:3" x14ac:dyDescent="0.75">
      <c r="C219" s="12" t="e">
        <f>IF(Osiris!I219="//---- END","//---- END",Osiris!I219)</f>
        <v>#REF!</v>
      </c>
    </row>
    <row r="220" spans="3:3" x14ac:dyDescent="0.75">
      <c r="C220" s="12" t="e">
        <f>IF(Osiris!I220="//---- END","//---- END",Osiris!I220)</f>
        <v>#REF!</v>
      </c>
    </row>
    <row r="221" spans="3:3" x14ac:dyDescent="0.75">
      <c r="C221" s="12" t="e">
        <f>IF(Osiris!I221="//---- END","//---- END",Osiris!I221)</f>
        <v>#REF!</v>
      </c>
    </row>
    <row r="222" spans="3:3" x14ac:dyDescent="0.75">
      <c r="C222" s="12" t="e">
        <f>IF(Osiris!I222="//---- END","//---- END",Osiris!I222)</f>
        <v>#REF!</v>
      </c>
    </row>
    <row r="223" spans="3:3" x14ac:dyDescent="0.75">
      <c r="C223" s="12" t="e">
        <f>IF(Osiris!I223="//---- END","//---- END",Osiris!I223)</f>
        <v>#REF!</v>
      </c>
    </row>
    <row r="224" spans="3:3" x14ac:dyDescent="0.75">
      <c r="C224" s="12" t="e">
        <f>IF(Osiris!I224="//---- END","//---- END",Osiris!I224)</f>
        <v>#REF!</v>
      </c>
    </row>
    <row r="225" spans="3:3" x14ac:dyDescent="0.75">
      <c r="C225" s="12" t="e">
        <f>IF(Osiris!I225="//---- END","//---- END",Osiris!I225)</f>
        <v>#REF!</v>
      </c>
    </row>
    <row r="226" spans="3:3" x14ac:dyDescent="0.75">
      <c r="C226" s="12" t="e">
        <f>IF(Osiris!I226="//---- END","//---- END",Osiris!I226)</f>
        <v>#REF!</v>
      </c>
    </row>
    <row r="227" spans="3:3" x14ac:dyDescent="0.75">
      <c r="C227" s="12" t="e">
        <f>IF(Osiris!I227="//---- END","//---- END",Osiris!I227)</f>
        <v>#REF!</v>
      </c>
    </row>
    <row r="228" spans="3:3" x14ac:dyDescent="0.75">
      <c r="C228" s="12" t="e">
        <f>IF(Osiris!I228="//---- END","//---- END",Osiris!I228)</f>
        <v>#REF!</v>
      </c>
    </row>
    <row r="229" spans="3:3" x14ac:dyDescent="0.75">
      <c r="C229" s="12" t="e">
        <f>IF(Osiris!I229="//---- END","//---- END",Osiris!I229)</f>
        <v>#REF!</v>
      </c>
    </row>
    <row r="230" spans="3:3" x14ac:dyDescent="0.75">
      <c r="C230" s="12" t="e">
        <f>IF(Osiris!I230="//---- END","//---- END",Osiris!I230)</f>
        <v>#REF!</v>
      </c>
    </row>
    <row r="231" spans="3:3" x14ac:dyDescent="0.75">
      <c r="C231" s="12" t="e">
        <f>IF(Osiris!I231="//---- END","//---- END",Osiris!I231)</f>
        <v>#REF!</v>
      </c>
    </row>
    <row r="232" spans="3:3" x14ac:dyDescent="0.75">
      <c r="C232" s="12" t="e">
        <f>IF(Osiris!I232="//---- END","//---- END",Osiris!I232)</f>
        <v>#REF!</v>
      </c>
    </row>
    <row r="233" spans="3:3" x14ac:dyDescent="0.75">
      <c r="C233" s="12" t="e">
        <f>IF(Osiris!I233="//---- END","//---- END",Osiris!I233)</f>
        <v>#REF!</v>
      </c>
    </row>
    <row r="234" spans="3:3" x14ac:dyDescent="0.75">
      <c r="C234" s="12" t="e">
        <f>IF(Osiris!I234="//---- END","//---- END",Osiris!I234)</f>
        <v>#REF!</v>
      </c>
    </row>
    <row r="235" spans="3:3" x14ac:dyDescent="0.75">
      <c r="C235" s="12" t="e">
        <f>IF(Osiris!I235="//---- END","//---- END",Osiris!I235)</f>
        <v>#REF!</v>
      </c>
    </row>
    <row r="236" spans="3:3" x14ac:dyDescent="0.75">
      <c r="C236" s="12" t="e">
        <f>IF(Osiris!I236="//---- END","//---- END",Osiris!I236)</f>
        <v>#REF!</v>
      </c>
    </row>
    <row r="237" spans="3:3" x14ac:dyDescent="0.75">
      <c r="C237" s="12" t="e">
        <f>IF(Osiris!I237="//---- END","//---- END",Osiris!I237)</f>
        <v>#REF!</v>
      </c>
    </row>
    <row r="238" spans="3:3" x14ac:dyDescent="0.75">
      <c r="C238" s="12" t="e">
        <f>IF(Osiris!I238="//---- END","//---- END",Osiris!I238)</f>
        <v>#REF!</v>
      </c>
    </row>
    <row r="239" spans="3:3" x14ac:dyDescent="0.75">
      <c r="C239" s="12" t="e">
        <f>IF(Osiris!I239="//---- END","//---- END",Osiris!I239)</f>
        <v>#REF!</v>
      </c>
    </row>
    <row r="240" spans="3:3" x14ac:dyDescent="0.75">
      <c r="C240" s="12" t="e">
        <f>IF(Osiris!I240="//---- END","//---- END",Osiris!I240)</f>
        <v>#REF!</v>
      </c>
    </row>
    <row r="241" spans="3:3" x14ac:dyDescent="0.75">
      <c r="C241" s="12" t="e">
        <f>IF(Osiris!I241="//---- END","//---- END",Osiris!I241)</f>
        <v>#REF!</v>
      </c>
    </row>
    <row r="242" spans="3:3" x14ac:dyDescent="0.75">
      <c r="C242" s="12" t="e">
        <f>IF(Osiris!I242="//---- END","//---- END",Osiris!I242)</f>
        <v>#REF!</v>
      </c>
    </row>
    <row r="243" spans="3:3" x14ac:dyDescent="0.75">
      <c r="C243" s="12" t="e">
        <f>IF(Osiris!I243="//---- END","//---- END",Osiris!I243)</f>
        <v>#REF!</v>
      </c>
    </row>
    <row r="244" spans="3:3" x14ac:dyDescent="0.75">
      <c r="C244" s="12" t="e">
        <f>IF(Osiris!I244="//---- END","//---- END",Osiris!I244)</f>
        <v>#REF!</v>
      </c>
    </row>
    <row r="245" spans="3:3" x14ac:dyDescent="0.75">
      <c r="C245" s="12" t="e">
        <f>IF(Osiris!I245="//---- END","//---- END",Osiris!I245)</f>
        <v>#REF!</v>
      </c>
    </row>
    <row r="246" spans="3:3" x14ac:dyDescent="0.75">
      <c r="C246" s="12" t="e">
        <f>IF(Osiris!I246="//---- END","//---- END",Osiris!I246)</f>
        <v>#REF!</v>
      </c>
    </row>
    <row r="247" spans="3:3" x14ac:dyDescent="0.75">
      <c r="C247" s="12" t="e">
        <f>IF(Osiris!I247="//---- END","//---- END",Osiris!I247)</f>
        <v>#REF!</v>
      </c>
    </row>
    <row r="248" spans="3:3" x14ac:dyDescent="0.75">
      <c r="C248" s="12" t="e">
        <f>IF(Osiris!I248="//---- END","//---- END",Osiris!I248)</f>
        <v>#REF!</v>
      </c>
    </row>
    <row r="249" spans="3:3" x14ac:dyDescent="0.75">
      <c r="C249" s="12" t="e">
        <f>IF(Osiris!I249="//---- END","//---- END",Osiris!I249)</f>
        <v>#REF!</v>
      </c>
    </row>
    <row r="250" spans="3:3" x14ac:dyDescent="0.75">
      <c r="C250" s="12" t="e">
        <f>IF(Osiris!I250="//---- END","//---- END",Osiris!I250)</f>
        <v>#REF!</v>
      </c>
    </row>
    <row r="251" spans="3:3" x14ac:dyDescent="0.75">
      <c r="C251" s="12" t="e">
        <f>IF(Osiris!I251="//---- END","//---- END",Osiris!I251)</f>
        <v>#REF!</v>
      </c>
    </row>
    <row r="252" spans="3:3" x14ac:dyDescent="0.75">
      <c r="C252" s="12" t="e">
        <f>IF(Osiris!I252="//---- END","//---- END",Osiris!I252)</f>
        <v>#REF!</v>
      </c>
    </row>
    <row r="253" spans="3:3" x14ac:dyDescent="0.75">
      <c r="C253" s="12" t="e">
        <f>IF(Osiris!I253="//---- END","//---- END",Osiris!I253)</f>
        <v>#REF!</v>
      </c>
    </row>
    <row r="254" spans="3:3" x14ac:dyDescent="0.75">
      <c r="C254" s="12" t="e">
        <f>IF(Osiris!I254="//---- END","//---- END",Osiris!I254)</f>
        <v>#REF!</v>
      </c>
    </row>
    <row r="255" spans="3:3" x14ac:dyDescent="0.75">
      <c r="C255" s="12" t="e">
        <f>IF(Osiris!I255="//---- END","//---- END",Osiris!I255)</f>
        <v>#REF!</v>
      </c>
    </row>
    <row r="256" spans="3:3" x14ac:dyDescent="0.75">
      <c r="C256" s="12" t="e">
        <f>IF(Osiris!I256="//---- END","//---- END",Osiris!I256)</f>
        <v>#REF!</v>
      </c>
    </row>
    <row r="257" spans="3:3" x14ac:dyDescent="0.75">
      <c r="C257" s="12" t="e">
        <f>IF(Osiris!I257="//---- END","//---- END",Osiris!I257)</f>
        <v>#REF!</v>
      </c>
    </row>
    <row r="258" spans="3:3" x14ac:dyDescent="0.75">
      <c r="C258" s="12" t="e">
        <f>IF(Osiris!I258="//---- END","//---- END",Osiris!I258)</f>
        <v>#REF!</v>
      </c>
    </row>
    <row r="259" spans="3:3" x14ac:dyDescent="0.75">
      <c r="C259" s="12" t="e">
        <f>IF(Osiris!I259="//---- END","//---- END",Osiris!I259)</f>
        <v>#REF!</v>
      </c>
    </row>
    <row r="260" spans="3:3" x14ac:dyDescent="0.75">
      <c r="C260" s="12" t="e">
        <f>IF(Osiris!I260="//---- END","//---- END",Osiris!I260)</f>
        <v>#REF!</v>
      </c>
    </row>
    <row r="261" spans="3:3" x14ac:dyDescent="0.75">
      <c r="C261" s="12" t="e">
        <f>IF(Osiris!I261="//---- END","//---- END",Osiris!I261)</f>
        <v>#REF!</v>
      </c>
    </row>
    <row r="262" spans="3:3" x14ac:dyDescent="0.75">
      <c r="C262" s="12" t="e">
        <f>IF(Osiris!I262="//---- END","//---- END",Osiris!I262)</f>
        <v>#REF!</v>
      </c>
    </row>
    <row r="263" spans="3:3" x14ac:dyDescent="0.75">
      <c r="C263" s="12" t="e">
        <f>IF(Osiris!I263="//---- END","//---- END",Osiris!I263)</f>
        <v>#REF!</v>
      </c>
    </row>
    <row r="264" spans="3:3" x14ac:dyDescent="0.75">
      <c r="C264" s="12" t="e">
        <f>IF(Osiris!I264="//---- END","//---- END",Osiris!I264)</f>
        <v>#REF!</v>
      </c>
    </row>
    <row r="265" spans="3:3" x14ac:dyDescent="0.75">
      <c r="C265" s="12" t="e">
        <f>IF(Osiris!I265="//---- END","//---- END",Osiris!I265)</f>
        <v>#REF!</v>
      </c>
    </row>
    <row r="266" spans="3:3" x14ac:dyDescent="0.75">
      <c r="C266" s="12" t="e">
        <f>IF(Osiris!I266="//---- END","//---- END",Osiris!I266)</f>
        <v>#REF!</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4" t="str">
        <f>Osiris!I1</f>
        <v>// -------------------------------------------------------------------------------</v>
      </c>
    </row>
    <row r="2" spans="3:7" ht="16.75" thickBot="1" x14ac:dyDescent="0.9">
      <c r="C2" s="25" t="str">
        <f>Osiris!I2</f>
        <v>//  Logical Model</v>
      </c>
      <c r="G2" s="30" t="s">
        <v>152</v>
      </c>
    </row>
    <row r="3" spans="3:7" x14ac:dyDescent="0.75">
      <c r="C3" s="25" t="str">
        <f>Osiris!I3</f>
        <v>// -------------------------------------------------------------------------------</v>
      </c>
    </row>
    <row r="4" spans="3:7" x14ac:dyDescent="0.75">
      <c r="C4" s="17" t="str">
        <f>Osiris!I4</f>
        <v>Logical: Osiris</v>
      </c>
    </row>
    <row r="5" spans="3:7" x14ac:dyDescent="0.75">
      <c r="C5" s="17" t="str">
        <f>Osiris!I5</f>
        <v>Id: Osiris</v>
      </c>
    </row>
    <row r="6" spans="3:7" x14ac:dyDescent="0.75">
      <c r="C6" s="17" t="str">
        <f>Osiris!I6</f>
        <v>Title: ##34#Osiris Model##34#</v>
      </c>
    </row>
    <row r="7" spans="3:7" x14ac:dyDescent="0.75">
      <c r="C7" s="17" t="str">
        <f>Osiris!I7</f>
        <v>Description:  ##334#Osiris Data Element Concept##334#</v>
      </c>
    </row>
    <row r="8" spans="3:7" x14ac:dyDescent="0.75">
      <c r="C8" s="12" t="e">
        <f>IF(Osiris!I8="*  ..  ##34###34# ##334###334#","//--- END",Osiris!I8)</f>
        <v>#REF!</v>
      </c>
    </row>
    <row r="9" spans="3:7" ht="29.5" x14ac:dyDescent="0.75">
      <c r="C9" s="12" t="e">
        <f>IF(Osiris!I9="*  ..  ##34###34# ##334###334#","//--- END",Osiris!I9)</f>
        <v>#REF!</v>
      </c>
    </row>
    <row r="10" spans="3:7" ht="44.25" x14ac:dyDescent="0.75">
      <c r="C10" s="12" t="e">
        <f>IF(Osiris!I10="*  ..  ##34###34# ##334###334#","//--- END",Osiris!I10)</f>
        <v>#REF!</v>
      </c>
    </row>
    <row r="11" spans="3:7" ht="44.25" x14ac:dyDescent="0.75">
      <c r="C11" s="12" t="e">
        <f>IF(Osiris!I11="*  ..  ##34###34# ##334###334#","//--- END",Osiris!I11)</f>
        <v>#REF!</v>
      </c>
    </row>
    <row r="12" spans="3:7" ht="29.5" x14ac:dyDescent="0.75">
      <c r="C12" s="12" t="e">
        <f>IF(Osiris!I12="*  ..  ##34###34# ##334###334#","//--- END",Osiris!I12)</f>
        <v>#REF!</v>
      </c>
    </row>
    <row r="13" spans="3:7" ht="29.5" x14ac:dyDescent="0.75">
      <c r="C13" s="12" t="e">
        <f>IF(Osiris!I13="*  ..  ##34###34# ##334###334#","//--- END",Osiris!I13)</f>
        <v>#REF!</v>
      </c>
    </row>
    <row r="14" spans="3:7" ht="44.25" x14ac:dyDescent="0.75">
      <c r="C14" s="12" t="e">
        <f>IF(Osiris!I14="*  ..  ##34###34# ##334###334#","//--- END",Osiris!I14)</f>
        <v>#REF!</v>
      </c>
    </row>
    <row r="15" spans="3:7" ht="29.5" x14ac:dyDescent="0.75">
      <c r="C15" s="12" t="e">
        <f>IF(Osiris!I15="*  ..  ##34###34# ##334###334#","//--- END",Osiris!I15)</f>
        <v>#REF!</v>
      </c>
    </row>
    <row r="16" spans="3:7" ht="44.25" x14ac:dyDescent="0.75">
      <c r="C16" s="12" t="e">
        <f>IF(Osiris!I16="*  ..  ##34###34# ##334###334#","//--- END",Osiris!I16)</f>
        <v>#REF!</v>
      </c>
    </row>
    <row r="17" spans="3:3" ht="44.25" x14ac:dyDescent="0.75">
      <c r="C17" s="12" t="e">
        <f>IF(Osiris!I17="*  ..  ##34###34# ##334###334#","//--- END",Osiris!I17)</f>
        <v>#REF!</v>
      </c>
    </row>
    <row r="30" spans="3:3" x14ac:dyDescent="0.75">
      <c r="C30" s="24" t="str">
        <f>'Osiris-Map'!E1</f>
        <v>// -------------------------------------------------------------------------------</v>
      </c>
    </row>
    <row r="31" spans="3:3" x14ac:dyDescent="0.75">
      <c r="C31" s="25" t="str">
        <f>'Osiris-Map'!E2</f>
        <v>//  Map to FHIR R4</v>
      </c>
    </row>
    <row r="32" spans="3:3" x14ac:dyDescent="0.75">
      <c r="C32" s="25"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e">
        <f>IF('Osiris-Map'!E10="*  -&gt; ##34###34#","// --END",'Osiris-Map'!E10)</f>
        <v>#REF!</v>
      </c>
    </row>
    <row r="41" spans="3:3" x14ac:dyDescent="0.75">
      <c r="C41" s="12" t="e">
        <f>IF('Osiris-Map'!E11="*  -&gt; ##34###34#","// --END",'Osiris-Map'!E11)</f>
        <v>#REF!</v>
      </c>
    </row>
    <row r="42" spans="3:3" x14ac:dyDescent="0.75">
      <c r="C42" s="12" t="e">
        <f>IF('Osiris-Map'!E12="*  -&gt; ##34###34#","// --END",'Osiris-Map'!E12)</f>
        <v>#REF!</v>
      </c>
    </row>
    <row r="43" spans="3:3" x14ac:dyDescent="0.75">
      <c r="C43" s="12" t="e">
        <f>IF('Osiris-Map'!E13="*  -&gt; ##34###34#","// --END",'Osiris-Map'!E13)</f>
        <v>#REF!</v>
      </c>
    </row>
    <row r="44" spans="3:3" x14ac:dyDescent="0.75">
      <c r="C44" s="12" t="e">
        <f>IF('Osiris-Map'!E14="*  -&gt; ##34###34#","// --END",'Osiris-Map'!E14)</f>
        <v>#REF!</v>
      </c>
    </row>
    <row r="45" spans="3:3" x14ac:dyDescent="0.75">
      <c r="C45" s="12" t="e">
        <f>IF('Osiris-Map'!E15="*  -&gt; ##34###34#","// --END",'Osiris-Map'!E15)</f>
        <v>#REF!</v>
      </c>
    </row>
    <row r="46" spans="3:3" x14ac:dyDescent="0.75">
      <c r="C46" s="12" t="e">
        <f>IF('Osiris-Map'!E16="*  -&gt; ##34###34#","// --END",'Osiris-Map'!E16)</f>
        <v>#REF!</v>
      </c>
    </row>
    <row r="47" spans="3:3" x14ac:dyDescent="0.75">
      <c r="C47" s="12" t="e">
        <f>IF('Osiris-Map'!E17="*  -&gt; ##34###34#","// --END",'Osiris-Map'!E17)</f>
        <v>#REF!</v>
      </c>
    </row>
    <row r="48" spans="3:3" x14ac:dyDescent="0.75">
      <c r="C48" s="12" t="e">
        <f>IF('Osiris-Map'!E18="*  -&gt; ##34###34#","// --END",'Osiris-Map'!E18)</f>
        <v>#REF!</v>
      </c>
    </row>
    <row r="49" spans="3:3" x14ac:dyDescent="0.75">
      <c r="C49" s="12" t="e">
        <f>IF('Osiris-Map'!E19="*  -&gt; ##34###34#","// --END",'Osiris-Map'!E19)</f>
        <v>#REF!</v>
      </c>
    </row>
    <row r="50" spans="3:3" x14ac:dyDescent="0.75">
      <c r="C50" s="12" t="e">
        <f>IF('Osiris-Map'!E20="*  -&gt; ##34###34#","// --END",'Osiris-Map'!E20)</f>
        <v>#REF!</v>
      </c>
    </row>
    <row r="51" spans="3:3" x14ac:dyDescent="0.75">
      <c r="C51" s="12" t="e">
        <f>IF('Osiris-Map'!E21="*  -&gt; ##34###34#","// --END",'Osiris-Map'!E21)</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94</v>
      </c>
      <c r="I3" s="12" t="s">
        <v>95</v>
      </c>
      <c r="J3" s="12" t="s">
        <v>96</v>
      </c>
      <c r="K3" s="12" t="s">
        <v>97</v>
      </c>
      <c r="L3" s="11" t="s">
        <v>98</v>
      </c>
      <c r="N3" s="38" t="s">
        <v>133</v>
      </c>
      <c r="O3" s="38">
        <v>5</v>
      </c>
    </row>
    <row r="4" spans="1:17" ht="15.5" thickBot="1" x14ac:dyDescent="0.9">
      <c r="B4" s="10" t="s">
        <v>18</v>
      </c>
      <c r="C4" s="29" t="s">
        <v>57</v>
      </c>
      <c r="E4" s="43"/>
      <c r="H4" s="12"/>
      <c r="I4" s="11"/>
      <c r="J4" s="11"/>
      <c r="K4" s="11"/>
      <c r="L4" s="11"/>
    </row>
    <row r="5" spans="1:17" ht="15.5" thickBot="1" x14ac:dyDescent="0.9">
      <c r="B5" s="10" t="s">
        <v>17</v>
      </c>
      <c r="C5" s="13" t="s">
        <v>14</v>
      </c>
      <c r="E5" s="44"/>
      <c r="H5" s="12"/>
      <c r="I5" s="11"/>
      <c r="J5" s="11"/>
      <c r="K5" s="11"/>
      <c r="L5" s="11"/>
    </row>
    <row r="6" spans="1:17" ht="15.5" thickBot="1" x14ac:dyDescent="0.9">
      <c r="B6" s="10" t="s">
        <v>11</v>
      </c>
      <c r="C6" s="7" t="s">
        <v>49</v>
      </c>
      <c r="E6" s="7"/>
      <c r="H6" s="17" t="s">
        <v>136</v>
      </c>
      <c r="I6" s="56" t="s">
        <v>137</v>
      </c>
      <c r="J6" s="17" t="s">
        <v>134</v>
      </c>
      <c r="K6" s="56" t="s">
        <v>135</v>
      </c>
      <c r="L6" s="52" t="s">
        <v>129</v>
      </c>
    </row>
    <row r="7" spans="1:17" x14ac:dyDescent="0.75">
      <c r="B7" s="49" t="s">
        <v>19</v>
      </c>
      <c r="C7" s="45" t="str">
        <f>B9</f>
        <v>Osiris</v>
      </c>
      <c r="E7" s="45"/>
      <c r="H7" s="12"/>
      <c r="I7" s="11"/>
      <c r="J7" s="11"/>
      <c r="K7" s="11"/>
      <c r="L7" s="11"/>
    </row>
    <row r="8" spans="1:17" x14ac:dyDescent="0.75">
      <c r="B8" s="51" t="s">
        <v>16</v>
      </c>
      <c r="C8" s="11" t="s">
        <v>13</v>
      </c>
      <c r="D8" s="12"/>
      <c r="E8" s="11"/>
      <c r="F8" s="52" t="s">
        <v>129</v>
      </c>
      <c r="G8" s="55"/>
      <c r="H8" s="12"/>
      <c r="I8" s="11"/>
      <c r="J8" s="52"/>
      <c r="K8" s="52"/>
      <c r="L8" s="52"/>
    </row>
    <row r="9" spans="1:17" x14ac:dyDescent="0.75">
      <c r="A9" s="48"/>
      <c r="B9" s="6" t="str">
        <f>Osiris!B5</f>
        <v>Osiris</v>
      </c>
      <c r="C9" s="11"/>
      <c r="D9" s="6"/>
      <c r="E9" s="6"/>
      <c r="F9" s="11"/>
      <c r="H9" s="12"/>
      <c r="I9" s="11"/>
      <c r="J9" s="11"/>
      <c r="K9" s="11"/>
      <c r="L9" s="52"/>
    </row>
    <row r="10" spans="1:17" ht="44.25" x14ac:dyDescent="0.75">
      <c r="A10" s="48"/>
      <c r="B10" s="11" t="e">
        <f>Osiris!B8</f>
        <v>#REF!</v>
      </c>
      <c r="C10" s="11" t="e">
        <f>Osiris!C8</f>
        <v>#REF!</v>
      </c>
      <c r="D10" s="46" t="str">
        <f>Subject!B5</f>
        <v>Subject</v>
      </c>
      <c r="E10" s="46" t="str">
        <f>Subject!B6</f>
        <v>Subject of care</v>
      </c>
      <c r="F10" s="53" t="s">
        <v>121</v>
      </c>
      <c r="G10" s="47"/>
      <c r="H10" s="12" t="e">
        <f>"* group[=].element[+].code = #"&amp;$B$9&amp;"."&amp;B10</f>
        <v>#REF!</v>
      </c>
      <c r="I10" s="12" t="e">
        <f>"* group[=].element[=].display = ##34#"&amp;C10&amp;"##34#"</f>
        <v>#REF!</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e" cm="1">
        <f t="array" ref="Q10">INDEX('Osiris-ConceptMap'!$H$10:$L$264,O10+1,P10)</f>
        <v>#REF!</v>
      </c>
    </row>
    <row r="11" spans="1:17" ht="44.25" x14ac:dyDescent="0.75">
      <c r="A11" s="48"/>
      <c r="B11" s="11" t="e">
        <f>Osiris!B9</f>
        <v>#REF!</v>
      </c>
      <c r="C11" s="11" t="e">
        <f>Osiris!C9</f>
        <v>#REF!</v>
      </c>
      <c r="D11" s="11"/>
      <c r="E11" s="11"/>
      <c r="F11" s="53" t="s">
        <v>116</v>
      </c>
      <c r="G11" s="47"/>
      <c r="H11" s="12" t="e">
        <f t="shared" ref="H11:H20" si="0">"* group[=].element[+].code = #"&amp;$B$9&amp;"."&amp;B11</f>
        <v>#REF!</v>
      </c>
      <c r="I11" s="12" t="e">
        <f t="shared" ref="I11:I20" si="1">"* group[=].element[=].display = ##34#"&amp;C11&amp;"##34#"</f>
        <v>#REF!</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e" cm="1">
        <f t="array" ref="Q11">INDEX('Osiris-ConceptMap'!$H$10:$L$264,O11+1,P11)</f>
        <v>#REF!</v>
      </c>
    </row>
    <row r="12" spans="1:17" ht="44.25" x14ac:dyDescent="0.75">
      <c r="A12" s="48"/>
      <c r="B12" s="11" t="e">
        <f>Osiris!B10</f>
        <v>#REF!</v>
      </c>
      <c r="C12" s="11" t="e">
        <f>Osiris!C10</f>
        <v>#REF!</v>
      </c>
      <c r="D12" s="11" t="str">
        <f>$D$10&amp;"."&amp;Subject!B12</f>
        <v>Subject.sexOrGender</v>
      </c>
      <c r="E12" s="11" t="str">
        <f>Subject!C12</f>
        <v>Gender/Sex</v>
      </c>
      <c r="F12" s="53" t="s">
        <v>123</v>
      </c>
      <c r="G12" s="47"/>
      <c r="H12" s="12" t="e">
        <f t="shared" si="0"/>
        <v>#REF!</v>
      </c>
      <c r="I12" s="12" t="e">
        <f t="shared" si="1"/>
        <v>#REF!</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x14ac:dyDescent="0.75">
      <c r="A13" s="48"/>
      <c r="B13" s="11" t="e">
        <f>Osiris!B11</f>
        <v>#REF!</v>
      </c>
      <c r="C13" s="11" t="e">
        <f>Osiris!C11</f>
        <v>#REF!</v>
      </c>
      <c r="D13" s="11" t="str">
        <f>$D$10&amp;"."&amp;Subject!B13</f>
        <v>Subject.race</v>
      </c>
      <c r="E13" s="11" t="str">
        <f>Subject!C13</f>
        <v>Race</v>
      </c>
      <c r="F13" s="53" t="s">
        <v>99</v>
      </c>
      <c r="G13" s="47"/>
      <c r="H13" s="12" t="e">
        <f t="shared" si="0"/>
        <v>#REF!</v>
      </c>
      <c r="I13" s="12" t="e">
        <f t="shared" si="1"/>
        <v>#REF!</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x14ac:dyDescent="0.75">
      <c r="A14" s="48"/>
      <c r="B14" s="11" t="e">
        <f>Osiris!$B$12</f>
        <v>#REF!</v>
      </c>
      <c r="C14" s="11" t="e">
        <f>Osiris!C12</f>
        <v>#REF!</v>
      </c>
      <c r="D14" s="11" t="str">
        <f>$D$10&amp;"."&amp;Subject!B9</f>
        <v>Subject.dateOfBirth.date</v>
      </c>
      <c r="E14" s="11" t="str">
        <f>Subject!C9</f>
        <v>Date of birth</v>
      </c>
      <c r="F14" s="53" t="s">
        <v>121</v>
      </c>
      <c r="G14" s="47"/>
      <c r="H14" s="12" t="e">
        <f t="shared" si="0"/>
        <v>#REF!</v>
      </c>
      <c r="I14" s="12" t="e">
        <f t="shared" si="1"/>
        <v>#REF!</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8"/>
      <c r="B15" s="11" t="e">
        <f>Osiris!B13</f>
        <v>#REF!</v>
      </c>
      <c r="C15" s="11" t="e">
        <f>Osiris!C13</f>
        <v>#REF!</v>
      </c>
      <c r="D15" s="11"/>
      <c r="E15" s="11"/>
      <c r="F15" s="53" t="s">
        <v>116</v>
      </c>
      <c r="G15" s="47"/>
      <c r="H15" s="12" t="e">
        <f t="shared" si="0"/>
        <v>#REF!</v>
      </c>
      <c r="I15" s="12" t="e">
        <f t="shared" si="1"/>
        <v>#REF!</v>
      </c>
      <c r="J15" s="12" t="str">
        <f t="shared" si="2"/>
        <v>//-- unmatched</v>
      </c>
      <c r="K15" s="12" t="str">
        <f t="shared" si="3"/>
        <v>//-- unmatched</v>
      </c>
      <c r="L15" s="12" t="str">
        <f t="shared" si="4"/>
        <v>* group[=].element[=].target.equivalence = #unmatched</v>
      </c>
      <c r="N15" s="11">
        <v>6</v>
      </c>
      <c r="O15" s="11">
        <f t="shared" si="5"/>
        <v>1</v>
      </c>
      <c r="P15" s="11">
        <f t="shared" si="6"/>
        <v>1</v>
      </c>
      <c r="Q15" s="12" t="e" cm="1">
        <f t="array" ref="Q15">INDEX('Osiris-ConceptMap'!$H$10:$L$264,O15+1,P15)</f>
        <v>#REF!</v>
      </c>
    </row>
    <row r="16" spans="1:17" ht="44.25" x14ac:dyDescent="0.75">
      <c r="A16" s="48"/>
      <c r="B16" s="11" t="e">
        <f>Osiris!B14</f>
        <v>#REF!</v>
      </c>
      <c r="C16" s="11" t="e">
        <f>Osiris!C14</f>
        <v>#REF!</v>
      </c>
      <c r="D16" s="11"/>
      <c r="E16" s="11"/>
      <c r="F16" s="53" t="s">
        <v>116</v>
      </c>
      <c r="G16" s="47"/>
      <c r="H16" s="12" t="e">
        <f t="shared" si="0"/>
        <v>#REF!</v>
      </c>
      <c r="I16" s="12" t="e">
        <f t="shared" si="1"/>
        <v>#REF!</v>
      </c>
      <c r="J16" s="12" t="str">
        <f t="shared" si="2"/>
        <v>//-- unmatched</v>
      </c>
      <c r="K16" s="12" t="str">
        <f t="shared" si="3"/>
        <v>//-- unmatched</v>
      </c>
      <c r="L16" s="12" t="str">
        <f t="shared" si="4"/>
        <v>* group[=].element[=].target.equivalence = #unmatched</v>
      </c>
      <c r="N16" s="11">
        <v>7</v>
      </c>
      <c r="O16" s="11">
        <f t="shared" si="5"/>
        <v>1</v>
      </c>
      <c r="P16" s="11">
        <f t="shared" si="6"/>
        <v>2</v>
      </c>
      <c r="Q16" s="12" t="e" cm="1">
        <f t="array" ref="Q16">INDEX('Osiris-ConceptMap'!$H$10:$L$264,O16+1,P16)</f>
        <v>#REF!</v>
      </c>
    </row>
    <row r="17" spans="1:17" ht="44.25" x14ac:dyDescent="0.75">
      <c r="A17" s="48"/>
      <c r="B17" s="11" t="e">
        <f>Osiris!B15</f>
        <v>#REF!</v>
      </c>
      <c r="C17" s="11" t="e">
        <f>Osiris!C15</f>
        <v>#REF!</v>
      </c>
      <c r="D17" s="11"/>
      <c r="E17" s="12"/>
      <c r="F17" s="53" t="s">
        <v>116</v>
      </c>
      <c r="G17" s="47"/>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8"/>
      <c r="B18" s="11" t="e">
        <f>Osiris!B16</f>
        <v>#REF!</v>
      </c>
      <c r="C18" s="11" t="e">
        <f>Osiris!C16</f>
        <v>#REF!</v>
      </c>
      <c r="D18" s="11"/>
      <c r="E18" s="12"/>
      <c r="F18" s="53" t="s">
        <v>116</v>
      </c>
      <c r="G18" s="47"/>
      <c r="H18" s="12" t="e">
        <f t="shared" si="0"/>
        <v>#REF!</v>
      </c>
      <c r="I18" s="12" t="e">
        <f t="shared" si="1"/>
        <v>#REF!</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e">
        <f>Osiris!B17</f>
        <v>#REF!</v>
      </c>
      <c r="C19" s="11" t="e">
        <f>Osiris!C17</f>
        <v>#REF!</v>
      </c>
      <c r="D19" s="11"/>
      <c r="E19" s="12"/>
      <c r="F19" s="53" t="s">
        <v>116</v>
      </c>
      <c r="G19" s="47"/>
      <c r="H19" s="12" t="e">
        <f t="shared" si="0"/>
        <v>#REF!</v>
      </c>
      <c r="I19" s="12" t="e">
        <f t="shared" si="1"/>
        <v>#REF!</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e">
        <f>Osiris!B18</f>
        <v>#REF!</v>
      </c>
      <c r="C20" s="11" t="e">
        <f>Osiris!C18</f>
        <v>#REF!</v>
      </c>
      <c r="D20" s="11"/>
      <c r="E20" s="12"/>
      <c r="F20" s="53" t="s">
        <v>116</v>
      </c>
      <c r="G20" s="47"/>
      <c r="H20" s="12" t="e">
        <f t="shared" si="0"/>
        <v>#REF!</v>
      </c>
      <c r="I20" s="12" t="e">
        <f t="shared" si="1"/>
        <v>#REF!</v>
      </c>
      <c r="J20" s="12" t="str">
        <f t="shared" si="2"/>
        <v>//-- unmatched</v>
      </c>
      <c r="K20" s="12" t="str">
        <f t="shared" si="3"/>
        <v>//-- unmatched</v>
      </c>
      <c r="L20" s="12" t="str">
        <f t="shared" si="4"/>
        <v>* group[=].element[=].target.equivalence = #unmatched</v>
      </c>
      <c r="N20" s="11">
        <v>11</v>
      </c>
      <c r="O20" s="11">
        <f t="shared" si="5"/>
        <v>2</v>
      </c>
      <c r="P20" s="11">
        <f t="shared" si="6"/>
        <v>1</v>
      </c>
      <c r="Q20" s="12" t="e" cm="1">
        <f t="array" ref="Q20">INDEX('Osiris-ConceptMap'!$H$10:$L$264,O20+1,P20)</f>
        <v>#REF!</v>
      </c>
    </row>
    <row r="21" spans="1:17" x14ac:dyDescent="0.75">
      <c r="B21" s="11"/>
      <c r="C21" s="11"/>
      <c r="D21" s="11"/>
      <c r="E21" s="12"/>
      <c r="F21" s="53"/>
      <c r="G21" s="47"/>
      <c r="J21" s="47"/>
      <c r="K21" s="47"/>
      <c r="L21" s="55"/>
      <c r="N21" s="11">
        <v>12</v>
      </c>
      <c r="O21" s="11">
        <f t="shared" si="5"/>
        <v>2</v>
      </c>
      <c r="P21" s="11">
        <f t="shared" si="6"/>
        <v>2</v>
      </c>
      <c r="Q21" s="12" t="e" cm="1">
        <f t="array" ref="Q21">INDEX('Osiris-ConceptMap'!$H$10:$L$264,O21+1,P21)</f>
        <v>#REF!</v>
      </c>
    </row>
    <row r="22" spans="1:17" x14ac:dyDescent="0.75">
      <c r="B22" s="11"/>
      <c r="C22" s="11"/>
      <c r="D22" s="11"/>
      <c r="E22" s="12"/>
      <c r="F22" s="53"/>
      <c r="G22" s="47"/>
      <c r="J22" s="47"/>
      <c r="K22" s="47"/>
      <c r="L22" s="55"/>
      <c r="N22" s="11">
        <v>13</v>
      </c>
      <c r="O22" s="11">
        <f t="shared" si="5"/>
        <v>2</v>
      </c>
      <c r="P22" s="11">
        <f t="shared" si="6"/>
        <v>3</v>
      </c>
      <c r="Q22" s="12" t="str" cm="1">
        <f t="array" ref="Q22">INDEX('Osiris-ConceptMap'!$H$10:$L$264,O22+1,P22)</f>
        <v>* group[=].element[=].target.code = #Subject.sexOrGender</v>
      </c>
    </row>
    <row r="23" spans="1:17" x14ac:dyDescent="0.75">
      <c r="B23" s="11"/>
      <c r="C23" s="11"/>
      <c r="D23" s="11"/>
      <c r="E23" s="12"/>
      <c r="F23" s="53"/>
      <c r="G23" s="47"/>
      <c r="J23" s="47"/>
      <c r="K23" s="47"/>
      <c r="L23" s="55"/>
      <c r="N23" s="11">
        <v>14</v>
      </c>
      <c r="O23" s="11">
        <f t="shared" si="5"/>
        <v>2</v>
      </c>
      <c r="P23" s="11">
        <f t="shared" si="6"/>
        <v>4</v>
      </c>
      <c r="Q23" s="12" t="str" cm="1">
        <f t="array" ref="Q23">INDEX('Osiris-ConceptMap'!$H$10:$L$264,O23+1,P23)</f>
        <v>* group[=].element[=].target.display = ##34#Gender/Sex##34#</v>
      </c>
    </row>
    <row r="24" spans="1:17" x14ac:dyDescent="0.75">
      <c r="B24" s="11"/>
      <c r="C24" s="11"/>
      <c r="D24" s="11"/>
      <c r="E24" s="12"/>
      <c r="F24" s="53"/>
      <c r="G24" s="47"/>
      <c r="J24" s="47"/>
      <c r="K24" s="47"/>
      <c r="L24" s="55"/>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53"/>
      <c r="G25" s="47"/>
      <c r="J25" s="47"/>
      <c r="K25" s="47"/>
      <c r="L25" s="55"/>
      <c r="N25" s="11">
        <v>16</v>
      </c>
      <c r="O25" s="11">
        <f t="shared" si="5"/>
        <v>3</v>
      </c>
      <c r="P25" s="11">
        <f t="shared" si="6"/>
        <v>1</v>
      </c>
      <c r="Q25" s="12" t="e" cm="1">
        <f t="array" ref="Q25">INDEX('Osiris-ConceptMap'!$H$10:$L$264,O25+1,P25)</f>
        <v>#REF!</v>
      </c>
    </row>
    <row r="26" spans="1:17" x14ac:dyDescent="0.75">
      <c r="B26" s="11"/>
      <c r="C26" s="11"/>
      <c r="D26" s="11"/>
      <c r="E26" s="12"/>
      <c r="F26" s="53"/>
      <c r="G26" s="47"/>
      <c r="J26" s="47"/>
      <c r="K26" s="47"/>
      <c r="L26" s="55"/>
      <c r="N26" s="11">
        <v>17</v>
      </c>
      <c r="O26" s="11">
        <f t="shared" si="5"/>
        <v>3</v>
      </c>
      <c r="P26" s="11">
        <f t="shared" si="6"/>
        <v>2</v>
      </c>
      <c r="Q26" s="12" t="e" cm="1">
        <f t="array" ref="Q26">INDEX('Osiris-ConceptMap'!$H$10:$L$264,O26+1,P26)</f>
        <v>#REF!</v>
      </c>
    </row>
    <row r="27" spans="1:17" x14ac:dyDescent="0.75">
      <c r="B27" s="11"/>
      <c r="C27" s="11"/>
      <c r="D27" s="11"/>
      <c r="E27" s="12"/>
      <c r="F27" s="53"/>
      <c r="G27" s="47"/>
      <c r="J27" s="47"/>
      <c r="K27" s="47"/>
      <c r="L27" s="55"/>
      <c r="N27" s="11">
        <v>18</v>
      </c>
      <c r="O27" s="11">
        <f t="shared" si="5"/>
        <v>3</v>
      </c>
      <c r="P27" s="11">
        <f t="shared" si="6"/>
        <v>3</v>
      </c>
      <c r="Q27" s="12" t="str" cm="1">
        <f t="array" ref="Q27">INDEX('Osiris-ConceptMap'!$H$10:$L$264,O27+1,P27)</f>
        <v>* group[=].element[=].target.code = #Subject.race</v>
      </c>
    </row>
    <row r="28" spans="1:17" x14ac:dyDescent="0.75">
      <c r="B28" s="11"/>
      <c r="C28" s="11"/>
      <c r="D28" s="11"/>
      <c r="E28" s="12"/>
      <c r="F28" s="53"/>
      <c r="G28" s="47"/>
      <c r="J28" s="47"/>
      <c r="K28" s="47"/>
      <c r="L28" s="55"/>
      <c r="N28" s="11">
        <v>19</v>
      </c>
      <c r="O28" s="11">
        <f t="shared" si="5"/>
        <v>3</v>
      </c>
      <c r="P28" s="11">
        <f t="shared" si="6"/>
        <v>4</v>
      </c>
      <c r="Q28" s="12" t="str" cm="1">
        <f t="array" ref="Q28">INDEX('Osiris-ConceptMap'!$H$10:$L$264,O28+1,P28)</f>
        <v>* group[=].element[=].target.display = ##34#Race##34#</v>
      </c>
    </row>
    <row r="29" spans="1:17" x14ac:dyDescent="0.75">
      <c r="B29" s="11"/>
      <c r="C29" s="11"/>
      <c r="D29" s="11"/>
      <c r="E29" s="12"/>
      <c r="F29" s="53"/>
      <c r="G29" s="47"/>
      <c r="J29" s="47"/>
      <c r="K29" s="47"/>
      <c r="L29" s="55"/>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53"/>
      <c r="G30" s="47"/>
      <c r="J30" s="47"/>
      <c r="K30" s="47"/>
      <c r="L30" s="55"/>
      <c r="N30" s="11">
        <v>21</v>
      </c>
      <c r="O30" s="11">
        <f t="shared" si="5"/>
        <v>4</v>
      </c>
      <c r="P30" s="11">
        <f t="shared" si="6"/>
        <v>1</v>
      </c>
      <c r="Q30" s="12" t="e" cm="1">
        <f t="array" ref="Q30">INDEX('Osiris-ConceptMap'!$H$10:$L$264,O30+1,P30)</f>
        <v>#REF!</v>
      </c>
    </row>
    <row r="31" spans="1:17" s="2" customFormat="1" x14ac:dyDescent="0.75">
      <c r="A31"/>
      <c r="B31" s="11"/>
      <c r="C31" s="11"/>
      <c r="D31" s="11"/>
      <c r="E31" s="12"/>
      <c r="F31" s="53"/>
      <c r="G31" s="47"/>
      <c r="I31"/>
      <c r="J31" s="47"/>
      <c r="K31" s="47"/>
      <c r="L31" s="55"/>
      <c r="N31" s="11">
        <v>22</v>
      </c>
      <c r="O31" s="11">
        <f t="shared" si="5"/>
        <v>4</v>
      </c>
      <c r="P31" s="11">
        <f t="shared" si="6"/>
        <v>2</v>
      </c>
      <c r="Q31" s="12" t="e" cm="1">
        <f t="array" ref="Q31">INDEX('Osiris-ConceptMap'!$H$10:$L$264,O31+1,P31)</f>
        <v>#REF!</v>
      </c>
    </row>
    <row r="32" spans="1:17" s="2" customFormat="1" x14ac:dyDescent="0.75">
      <c r="A32"/>
      <c r="B32" s="50"/>
      <c r="C32" s="50"/>
      <c r="D32" s="50"/>
      <c r="F32" s="47"/>
      <c r="G32" s="47"/>
      <c r="I32"/>
      <c r="J32" s="47"/>
      <c r="K32" s="47"/>
      <c r="L32" s="55"/>
      <c r="N32" s="11">
        <v>23</v>
      </c>
      <c r="O32" s="11">
        <f t="shared" si="5"/>
        <v>4</v>
      </c>
      <c r="P32" s="11">
        <f t="shared" si="6"/>
        <v>3</v>
      </c>
      <c r="Q32" s="12" t="str" cm="1">
        <f t="array" ref="Q32">INDEX('Osiris-ConceptMap'!$H$10:$L$264,O32+1,P32)</f>
        <v>* group[=].element[=].target.code = #Subject.dateOfBirth.date</v>
      </c>
    </row>
    <row r="33" spans="1:17" s="2" customFormat="1" x14ac:dyDescent="0.75">
      <c r="A33"/>
      <c r="B33" s="11"/>
      <c r="C33" s="11"/>
      <c r="F33" s="47"/>
      <c r="G33" s="47"/>
      <c r="I33"/>
      <c r="J33" s="47"/>
      <c r="K33" s="47"/>
      <c r="L33" s="55"/>
      <c r="N33" s="11">
        <v>24</v>
      </c>
      <c r="O33" s="11">
        <f t="shared" si="5"/>
        <v>4</v>
      </c>
      <c r="P33" s="11">
        <f t="shared" si="6"/>
        <v>4</v>
      </c>
      <c r="Q33" s="12" t="str" cm="1">
        <f t="array" ref="Q33">INDEX('Osiris-ConceptMap'!$H$10:$L$264,O33+1,P33)</f>
        <v>* group[=].element[=].target.display = ##34#Date of birth##34#</v>
      </c>
    </row>
    <row r="34" spans="1:17" s="2" customFormat="1" x14ac:dyDescent="0.75">
      <c r="A34"/>
      <c r="B34" s="11"/>
      <c r="C34"/>
      <c r="F34" s="47"/>
      <c r="G34" s="47"/>
      <c r="I34" s="47"/>
      <c r="J34" s="47"/>
      <c r="K34" s="47"/>
      <c r="L34" s="55"/>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7"/>
      <c r="G35" s="47"/>
      <c r="I35" s="47"/>
      <c r="J35" s="47"/>
      <c r="K35" s="47"/>
      <c r="L35" s="55"/>
      <c r="N35" s="11">
        <v>26</v>
      </c>
      <c r="O35" s="11">
        <f t="shared" si="5"/>
        <v>5</v>
      </c>
      <c r="P35" s="11">
        <f t="shared" si="6"/>
        <v>1</v>
      </c>
      <c r="Q35" s="12" t="e" cm="1">
        <f t="array" ref="Q35">INDEX('Osiris-ConceptMap'!$H$10:$L$264,O35+1,P35)</f>
        <v>#REF!</v>
      </c>
    </row>
    <row r="36" spans="1:17" s="2" customFormat="1" x14ac:dyDescent="0.75">
      <c r="A36"/>
      <c r="B36" s="11"/>
      <c r="C36"/>
      <c r="F36" s="47"/>
      <c r="G36" s="47"/>
      <c r="I36" s="47"/>
      <c r="J36" s="47"/>
      <c r="K36" s="47"/>
      <c r="L36" s="55"/>
      <c r="N36" s="11">
        <v>27</v>
      </c>
      <c r="O36" s="11">
        <f t="shared" si="5"/>
        <v>5</v>
      </c>
      <c r="P36" s="11">
        <f t="shared" si="6"/>
        <v>2</v>
      </c>
      <c r="Q36" s="12" t="e" cm="1">
        <f t="array" ref="Q36">INDEX('Osiris-ConceptMap'!$H$10:$L$264,O36+1,P36)</f>
        <v>#REF!</v>
      </c>
    </row>
    <row r="37" spans="1:17" s="2" customFormat="1" x14ac:dyDescent="0.75">
      <c r="A37"/>
      <c r="B37" s="11"/>
      <c r="C37"/>
      <c r="F37" s="47"/>
      <c r="G37" s="47"/>
      <c r="I37" s="47"/>
      <c r="J37" s="47"/>
      <c r="K37" s="47"/>
      <c r="L37" s="47"/>
      <c r="N37" s="11">
        <v>28</v>
      </c>
      <c r="O37" s="11">
        <f t="shared" si="5"/>
        <v>5</v>
      </c>
      <c r="P37" s="11">
        <f t="shared" si="6"/>
        <v>3</v>
      </c>
      <c r="Q37" s="12" t="str" cm="1">
        <f t="array" ref="Q37">INDEX('Osiris-ConceptMap'!$H$10:$L$264,O37+1,P37)</f>
        <v>//-- unmatched</v>
      </c>
    </row>
    <row r="38" spans="1:17" s="2" customFormat="1" x14ac:dyDescent="0.75">
      <c r="A38"/>
      <c r="B38" s="11"/>
      <c r="C38"/>
      <c r="F38" s="47"/>
      <c r="G38" s="47"/>
      <c r="I38" s="47"/>
      <c r="J38" s="47"/>
      <c r="K38" s="47"/>
      <c r="L38" s="47"/>
      <c r="N38" s="11">
        <v>29</v>
      </c>
      <c r="O38" s="11">
        <f t="shared" si="5"/>
        <v>5</v>
      </c>
      <c r="P38" s="11">
        <f t="shared" si="6"/>
        <v>4</v>
      </c>
      <c r="Q38" s="12" t="str" cm="1">
        <f t="array" ref="Q38">INDEX('Osiris-ConceptMap'!$H$10:$L$264,O38+1,P38)</f>
        <v>//-- unmatched</v>
      </c>
    </row>
    <row r="39" spans="1:17" s="2" customFormat="1" x14ac:dyDescent="0.75">
      <c r="A39"/>
      <c r="B39" s="11"/>
      <c r="C39"/>
      <c r="F39" s="47"/>
      <c r="G39" s="47"/>
      <c r="I39" s="47"/>
      <c r="J39" s="47"/>
      <c r="K39" s="47"/>
      <c r="L39" s="47"/>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7"/>
      <c r="G40" s="47"/>
      <c r="I40" s="47"/>
      <c r="J40" s="47"/>
      <c r="K40" s="47"/>
      <c r="L40" s="47"/>
      <c r="N40" s="11">
        <v>31</v>
      </c>
      <c r="O40" s="11">
        <f t="shared" si="5"/>
        <v>6</v>
      </c>
      <c r="P40" s="11">
        <f t="shared" si="6"/>
        <v>1</v>
      </c>
      <c r="Q40" s="12" t="e" cm="1">
        <f t="array" ref="Q40">INDEX('Osiris-ConceptMap'!$H$10:$L$264,O40+1,P40)</f>
        <v>#REF!</v>
      </c>
    </row>
    <row r="41" spans="1:17" s="2" customFormat="1" x14ac:dyDescent="0.75">
      <c r="A41"/>
      <c r="B41" s="11"/>
      <c r="C41"/>
      <c r="F41" s="47"/>
      <c r="G41" s="47"/>
      <c r="I41" s="47"/>
      <c r="J41" s="47"/>
      <c r="K41" s="47"/>
      <c r="L41" s="47"/>
      <c r="N41" s="11">
        <v>32</v>
      </c>
      <c r="O41" s="11">
        <f t="shared" si="5"/>
        <v>6</v>
      </c>
      <c r="P41" s="11">
        <f t="shared" si="6"/>
        <v>2</v>
      </c>
      <c r="Q41" s="12" t="e" cm="1">
        <f t="array" ref="Q41">INDEX('Osiris-ConceptMap'!$H$10:$L$264,O41+1,P41)</f>
        <v>#REF!</v>
      </c>
    </row>
    <row r="42" spans="1:17" s="2" customFormat="1" x14ac:dyDescent="0.75">
      <c r="A42"/>
      <c r="B42" s="11"/>
      <c r="C42"/>
      <c r="F42" s="47"/>
      <c r="G42" s="47"/>
      <c r="I42" s="47"/>
      <c r="J42" s="47"/>
      <c r="K42" s="47"/>
      <c r="L42" s="47"/>
      <c r="N42" s="11">
        <v>33</v>
      </c>
      <c r="O42" s="11">
        <f t="shared" si="5"/>
        <v>6</v>
      </c>
      <c r="P42" s="11">
        <f t="shared" si="6"/>
        <v>3</v>
      </c>
      <c r="Q42" s="12" t="str" cm="1">
        <f t="array" ref="Q42">INDEX('Osiris-ConceptMap'!$H$10:$L$264,O42+1,P42)</f>
        <v>//-- unmatched</v>
      </c>
    </row>
    <row r="43" spans="1:17" x14ac:dyDescent="0.75">
      <c r="F43" s="47"/>
      <c r="G43" s="47"/>
      <c r="I43" s="47"/>
      <c r="J43" s="47"/>
      <c r="K43" s="47"/>
      <c r="L43" s="47"/>
      <c r="N43" s="11">
        <v>34</v>
      </c>
      <c r="O43" s="11">
        <f t="shared" si="5"/>
        <v>6</v>
      </c>
      <c r="P43" s="11">
        <f t="shared" si="6"/>
        <v>4</v>
      </c>
      <c r="Q43" s="12" t="str" cm="1">
        <f t="array" ref="Q43">INDEX('Osiris-ConceptMap'!$H$10:$L$264,O43+1,P43)</f>
        <v>//-- unmatched</v>
      </c>
    </row>
    <row r="44" spans="1:17" x14ac:dyDescent="0.75">
      <c r="F44" s="47"/>
      <c r="G44" s="47"/>
      <c r="I44" s="47"/>
      <c r="J44" s="47"/>
      <c r="K44" s="47"/>
      <c r="L44" s="47"/>
      <c r="N44" s="11">
        <v>35</v>
      </c>
      <c r="O44" s="11">
        <f t="shared" si="5"/>
        <v>6</v>
      </c>
      <c r="P44" s="11">
        <f t="shared" si="6"/>
        <v>5</v>
      </c>
      <c r="Q44" s="12" t="str" cm="1">
        <f t="array" ref="Q44">INDEX('Osiris-ConceptMap'!$H$10:$L$264,O44+1,P44)</f>
        <v>* group[=].element[=].target.equivalence = #unmatched</v>
      </c>
    </row>
    <row r="45" spans="1:17" x14ac:dyDescent="0.75">
      <c r="F45" s="47"/>
      <c r="G45" s="47"/>
      <c r="I45" s="47"/>
      <c r="J45" s="47"/>
      <c r="K45" s="47"/>
      <c r="L45" s="47"/>
      <c r="N45" s="11">
        <v>36</v>
      </c>
      <c r="O45" s="11">
        <f t="shared" si="5"/>
        <v>7</v>
      </c>
      <c r="P45" s="11">
        <f t="shared" si="6"/>
        <v>1</v>
      </c>
      <c r="Q45" s="12" t="e" cm="1">
        <f t="array" ref="Q45">INDEX('Osiris-ConceptMap'!$H$10:$L$264,O45+1,P45)</f>
        <v>#REF!</v>
      </c>
    </row>
    <row r="46" spans="1:17" x14ac:dyDescent="0.75">
      <c r="F46" s="47"/>
      <c r="G46" s="47"/>
      <c r="I46" s="47"/>
      <c r="J46" s="47"/>
      <c r="K46" s="47"/>
      <c r="L46" s="47"/>
      <c r="N46" s="11">
        <v>37</v>
      </c>
      <c r="O46" s="11">
        <f t="shared" si="5"/>
        <v>7</v>
      </c>
      <c r="P46" s="11">
        <f t="shared" si="6"/>
        <v>2</v>
      </c>
      <c r="Q46" s="12" t="e" cm="1">
        <f t="array" ref="Q46">INDEX('Osiris-ConceptMap'!$H$10:$L$264,O46+1,P46)</f>
        <v>#REF!</v>
      </c>
    </row>
    <row r="47" spans="1:17" x14ac:dyDescent="0.75">
      <c r="B47" t="s">
        <v>94</v>
      </c>
      <c r="C47" t="s">
        <v>95</v>
      </c>
      <c r="D47" t="s">
        <v>96</v>
      </c>
      <c r="E47" t="s">
        <v>97</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e" cm="1">
        <f t="array" ref="Q50">INDEX('Osiris-ConceptMap'!$H$10:$L$264,O50+1,P50)</f>
        <v>#REF!</v>
      </c>
    </row>
    <row r="51" spans="14:17" x14ac:dyDescent="0.75">
      <c r="N51" s="11">
        <v>42</v>
      </c>
      <c r="O51" s="11">
        <f t="shared" si="5"/>
        <v>8</v>
      </c>
      <c r="P51" s="11">
        <f t="shared" si="6"/>
        <v>2</v>
      </c>
      <c r="Q51" s="12" t="e" cm="1">
        <f t="array" ref="Q51">INDEX('Osiris-ConceptMap'!$H$10:$L$264,O51+1,P51)</f>
        <v>#REF!</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e" cm="1">
        <f t="array" ref="Q55">INDEX('Osiris-ConceptMap'!$H$10:$L$264,O55+1,P55)</f>
        <v>#REF!</v>
      </c>
    </row>
    <row r="56" spans="14:17" x14ac:dyDescent="0.75">
      <c r="N56" s="11">
        <v>47</v>
      </c>
      <c r="O56" s="11">
        <f t="shared" si="5"/>
        <v>9</v>
      </c>
      <c r="P56" s="11">
        <f t="shared" si="6"/>
        <v>2</v>
      </c>
      <c r="Q56" s="12" t="e" cm="1">
        <f t="array" ref="Q56">INDEX('Osiris-ConceptMap'!$H$10:$L$264,O56+1,P56)</f>
        <v>#REF!</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e" cm="1">
        <f t="array" ref="Q60">INDEX('Osiris-ConceptMap'!$H$10:$L$264,O60+1,P60)</f>
        <v>#REF!</v>
      </c>
    </row>
    <row r="61" spans="14:17" x14ac:dyDescent="0.75">
      <c r="N61" s="11">
        <v>52</v>
      </c>
      <c r="O61" s="11">
        <f t="shared" si="5"/>
        <v>10</v>
      </c>
      <c r="P61" s="11">
        <f t="shared" si="6"/>
        <v>2</v>
      </c>
      <c r="Q61" s="12" t="e" cm="1">
        <f t="array" ref="Q61">INDEX('Osiris-ConceptMap'!$H$10:$L$264,O61+1,P61)</f>
        <v>#REF!</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4" t="s">
        <v>21</v>
      </c>
    </row>
    <row r="2" spans="2:7" ht="16.75" thickBot="1" x14ac:dyDescent="0.9">
      <c r="B2" s="25" t="s">
        <v>141</v>
      </c>
      <c r="G2" s="30" t="s">
        <v>140</v>
      </c>
    </row>
    <row r="3" spans="2:7" x14ac:dyDescent="0.75">
      <c r="B3" s="25" t="s">
        <v>21</v>
      </c>
    </row>
    <row r="4" spans="2:7" x14ac:dyDescent="0.75">
      <c r="B4" s="54" t="s">
        <v>138</v>
      </c>
    </row>
    <row r="5" spans="2:7" x14ac:dyDescent="0.75">
      <c r="B5" s="54" t="s">
        <v>139</v>
      </c>
    </row>
    <row r="6" spans="2:7" x14ac:dyDescent="0.75">
      <c r="B6" s="54" t="s">
        <v>130</v>
      </c>
    </row>
    <row r="7" spans="2:7" x14ac:dyDescent="0.75">
      <c r="B7" s="54" t="s">
        <v>142</v>
      </c>
    </row>
    <row r="8" spans="2:7" x14ac:dyDescent="0.75">
      <c r="B8" s="54" t="s">
        <v>143</v>
      </c>
    </row>
    <row r="9" spans="2:7" x14ac:dyDescent="0.75">
      <c r="B9" s="54" t="s">
        <v>144</v>
      </c>
    </row>
    <row r="10" spans="2:7" x14ac:dyDescent="0.75">
      <c r="B10" s="54" t="s">
        <v>131</v>
      </c>
    </row>
    <row r="11" spans="2:7" x14ac:dyDescent="0.75">
      <c r="B11" s="54" t="s">
        <v>132</v>
      </c>
    </row>
    <row r="12" spans="2:7" x14ac:dyDescent="0.75">
      <c r="B12" s="54" t="s">
        <v>145</v>
      </c>
    </row>
    <row r="13" spans="2:7" x14ac:dyDescent="0.75">
      <c r="B13" s="54" t="s">
        <v>146</v>
      </c>
    </row>
    <row r="14" spans="2:7" x14ac:dyDescent="0.75">
      <c r="B14" s="58" t="s">
        <v>147</v>
      </c>
    </row>
    <row r="15" spans="2:7" x14ac:dyDescent="0.75">
      <c r="B15" s="58" t="s">
        <v>148</v>
      </c>
    </row>
    <row r="16" spans="2:7" x14ac:dyDescent="0.75">
      <c r="B16" s="54"/>
    </row>
    <row r="17" spans="2:2" x14ac:dyDescent="0.75">
      <c r="B17" s="57" t="s">
        <v>149</v>
      </c>
    </row>
    <row r="18" spans="2:2" x14ac:dyDescent="0.75">
      <c r="B18" s="57" t="s">
        <v>150</v>
      </c>
    </row>
    <row r="19" spans="2:2" x14ac:dyDescent="0.75">
      <c r="B19" s="59"/>
    </row>
    <row r="20" spans="2:2" x14ac:dyDescent="0.75">
      <c r="B20" s="12" t="e">
        <f>IF('Osiris-ConceptMap'!Q10=0,"//---END",'Osiris-ConceptMap'!Q10)</f>
        <v>#REF!</v>
      </c>
    </row>
    <row r="21" spans="2:2" x14ac:dyDescent="0.75">
      <c r="B21" s="12" t="e">
        <f>IF('Osiris-ConceptMap'!Q11=0,"//---END",'Osiris-ConceptMap'!Q11)</f>
        <v>#REF!</v>
      </c>
    </row>
    <row r="22" spans="2:2" x14ac:dyDescent="0.75">
      <c r="B22" s="12" t="str">
        <f>IF('Osiris-ConceptMap'!Q12=0,"//---END",'Osiris-ConceptMap'!Q12)</f>
        <v>* group[=].element[=].target.code = #Subject</v>
      </c>
    </row>
    <row r="23" spans="2:2" x14ac:dyDescent="0.75">
      <c r="B23" s="12" t="str">
        <f>IF('Osiris-ConceptMap'!Q13=0,"//---END",'Osiris-ConceptMap'!Q13)</f>
        <v>* group[=].element[=].target.display = ##34#Subject of care##34#</v>
      </c>
    </row>
    <row r="24" spans="2:2" x14ac:dyDescent="0.75">
      <c r="B24" s="12" t="str">
        <f>IF('Osiris-ConceptMap'!Q14=0,"//---END",'Osiris-ConceptMap'!Q14)</f>
        <v>* group[=].element[=].target.equivalence = #equivalent</v>
      </c>
    </row>
    <row r="25" spans="2:2" x14ac:dyDescent="0.75">
      <c r="B25" s="12" t="e">
        <f>IF('Osiris-ConceptMap'!Q15=0,"//---END",'Osiris-ConceptMap'!Q15)</f>
        <v>#REF!</v>
      </c>
    </row>
    <row r="26" spans="2:2" x14ac:dyDescent="0.75">
      <c r="B26" s="12" t="e">
        <f>IF('Osiris-ConceptMap'!Q16=0,"//---END",'Osiris-ConceptMap'!Q16)</f>
        <v>#REF!</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e">
        <f>IF('Osiris-ConceptMap'!Q20=0,"//---END",'Osiris-ConceptMap'!Q20)</f>
        <v>#REF!</v>
      </c>
    </row>
    <row r="31" spans="2:2" x14ac:dyDescent="0.75">
      <c r="B31" s="12" t="e">
        <f>IF('Osiris-ConceptMap'!Q21=0,"//---END",'Osiris-ConceptMap'!Q21)</f>
        <v>#REF!</v>
      </c>
    </row>
    <row r="32" spans="2:2" x14ac:dyDescent="0.75">
      <c r="B32" s="12" t="str">
        <f>IF('Osiris-ConceptMap'!Q22=0,"//---END",'Osiris-ConceptMap'!Q22)</f>
        <v>* group[=].element[=].target.code = #Subject.sexOrGender</v>
      </c>
    </row>
    <row r="33" spans="2:2" x14ac:dyDescent="0.75">
      <c r="B33" s="12" t="str">
        <f>IF('Osiris-ConceptMap'!Q23=0,"//---END",'Osiris-ConceptMap'!Q23)</f>
        <v>* group[=].element[=].target.display = ##34#Gender/Sex##34#</v>
      </c>
    </row>
    <row r="34" spans="2:2" x14ac:dyDescent="0.75">
      <c r="B34" s="12" t="str">
        <f>IF('Osiris-ConceptMap'!Q24=0,"//---END",'Osiris-ConceptMap'!Q24)</f>
        <v>* group[=].element[=].target.equivalence = #wider</v>
      </c>
    </row>
    <row r="35" spans="2:2" x14ac:dyDescent="0.75">
      <c r="B35" s="12" t="e">
        <f>IF('Osiris-ConceptMap'!Q25=0,"//---END",'Osiris-ConceptMap'!Q25)</f>
        <v>#REF!</v>
      </c>
    </row>
    <row r="36" spans="2:2" x14ac:dyDescent="0.75">
      <c r="B36" s="12" t="e">
        <f>IF('Osiris-ConceptMap'!Q26=0,"//---END",'Osiris-ConceptMap'!Q26)</f>
        <v>#REF!</v>
      </c>
    </row>
    <row r="37" spans="2:2" x14ac:dyDescent="0.75">
      <c r="B37" s="12" t="str">
        <f>IF('Osiris-ConceptMap'!Q27=0,"//---END",'Osiris-ConceptMap'!Q27)</f>
        <v>* group[=].element[=].target.code = #Subject.race</v>
      </c>
    </row>
    <row r="38" spans="2:2" x14ac:dyDescent="0.75">
      <c r="B38" s="12" t="str">
        <f>IF('Osiris-ConceptMap'!Q28=0,"//---END",'Osiris-ConceptMap'!Q28)</f>
        <v>* group[=].element[=].target.display = ##34#Race##34#</v>
      </c>
    </row>
    <row r="39" spans="2:2" x14ac:dyDescent="0.75">
      <c r="B39" s="12" t="str">
        <f>IF('Osiris-ConceptMap'!Q29=0,"//---END",'Osiris-ConceptMap'!Q29)</f>
        <v>* group[=].element[=].target.equivalence = #relatedto</v>
      </c>
    </row>
    <row r="40" spans="2:2" x14ac:dyDescent="0.75">
      <c r="B40" s="12" t="e">
        <f>IF('Osiris-ConceptMap'!Q30=0,"//---END",'Osiris-ConceptMap'!Q30)</f>
        <v>#REF!</v>
      </c>
    </row>
    <row r="41" spans="2:2" x14ac:dyDescent="0.75">
      <c r="B41" s="12" t="e">
        <f>IF('Osiris-ConceptMap'!Q31=0,"//---END",'Osiris-ConceptMap'!Q31)</f>
        <v>#REF!</v>
      </c>
    </row>
    <row r="42" spans="2:2" x14ac:dyDescent="0.75">
      <c r="B42" s="12" t="str">
        <f>IF('Osiris-ConceptMap'!Q32=0,"//---END",'Osiris-ConceptMap'!Q32)</f>
        <v>* group[=].element[=].target.code = #Subject.dateOfBirth.date</v>
      </c>
    </row>
    <row r="43" spans="2:2" x14ac:dyDescent="0.75">
      <c r="B43" s="12" t="str">
        <f>IF('Osiris-ConceptMap'!Q33=0,"//---END",'Osiris-ConceptMap'!Q33)</f>
        <v>* group[=].element[=].target.display = ##34#Date of birth##34#</v>
      </c>
    </row>
    <row r="44" spans="2:2" x14ac:dyDescent="0.75">
      <c r="B44" s="12" t="str">
        <f>IF('Osiris-ConceptMap'!Q34=0,"//---END",'Osiris-ConceptMap'!Q34)</f>
        <v>* group[=].element[=].target.equivalence = #equivalent</v>
      </c>
    </row>
    <row r="45" spans="2:2" x14ac:dyDescent="0.75">
      <c r="B45" s="12" t="e">
        <f>IF('Osiris-ConceptMap'!Q35=0,"//---END",'Osiris-ConceptMap'!Q35)</f>
        <v>#REF!</v>
      </c>
    </row>
    <row r="46" spans="2:2" x14ac:dyDescent="0.75">
      <c r="B46" s="12" t="e">
        <f>IF('Osiris-ConceptMap'!Q36=0,"//---END",'Osiris-ConceptMap'!Q36)</f>
        <v>#REF!</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e">
        <f>IF('Osiris-ConceptMap'!Q40=0,"//---END",'Osiris-ConceptMap'!Q40)</f>
        <v>#REF!</v>
      </c>
    </row>
    <row r="51" spans="2:2" x14ac:dyDescent="0.75">
      <c r="B51" s="12" t="e">
        <f>IF('Osiris-ConceptMap'!Q41=0,"//---END",'Osiris-ConceptMap'!Q41)</f>
        <v>#REF!</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e">
        <f>IF('Osiris-ConceptMap'!Q45=0,"//---END",'Osiris-ConceptMap'!Q45)</f>
        <v>#REF!</v>
      </c>
    </row>
    <row r="56" spans="2:2" x14ac:dyDescent="0.75">
      <c r="B56" s="12" t="e">
        <f>IF('Osiris-ConceptMap'!Q46=0,"//---END",'Osiris-ConceptMap'!Q46)</f>
        <v>#REF!</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e">
        <f>IF('Osiris-ConceptMap'!Q50=0,"//---END",'Osiris-ConceptMap'!Q50)</f>
        <v>#REF!</v>
      </c>
    </row>
    <row r="61" spans="2:2" x14ac:dyDescent="0.75">
      <c r="B61" s="12" t="e">
        <f>IF('Osiris-ConceptMap'!Q51=0,"//---END",'Osiris-ConceptMap'!Q51)</f>
        <v>#REF!</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e">
        <f>IF('Osiris-ConceptMap'!Q55=0,"//---END",'Osiris-ConceptMap'!Q55)</f>
        <v>#REF!</v>
      </c>
    </row>
    <row r="66" spans="2:4" x14ac:dyDescent="0.75">
      <c r="B66" s="12" t="e">
        <f>IF('Osiris-ConceptMap'!Q56=0,"//---END",'Osiris-ConceptMap'!Q56)</f>
        <v>#REF!</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e">
        <f>IF('Osiris-ConceptMap'!Q60=0,"//---END",'Osiris-ConceptMap'!Q60)</f>
        <v>#REF!</v>
      </c>
      <c r="D70" s="47"/>
    </row>
    <row r="71" spans="2:4" x14ac:dyDescent="0.75">
      <c r="B71" s="12" t="e">
        <f>IF('Osiris-ConceptMap'!Q61=0,"//---END",'Osiris-ConceptMap'!Q61)</f>
        <v>#REF!</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x14ac:dyDescent="0.75"/>
  <cols>
    <col min="4" max="4" width="18" customWidth="1"/>
  </cols>
  <sheetData>
    <row r="6" spans="3:6" x14ac:dyDescent="0.75">
      <c r="C6">
        <v>1</v>
      </c>
      <c r="D6" t="s">
        <v>99</v>
      </c>
      <c r="E6" t="s">
        <v>100</v>
      </c>
      <c r="F6" t="s">
        <v>101</v>
      </c>
    </row>
    <row r="7" spans="3:6" x14ac:dyDescent="0.75">
      <c r="C7">
        <v>2</v>
      </c>
      <c r="D7" t="s">
        <v>121</v>
      </c>
      <c r="E7" t="s">
        <v>102</v>
      </c>
      <c r="F7" t="s">
        <v>103</v>
      </c>
    </row>
    <row r="8" spans="3:6" x14ac:dyDescent="0.75">
      <c r="C8">
        <v>3</v>
      </c>
      <c r="D8" t="s">
        <v>122</v>
      </c>
      <c r="E8" t="s">
        <v>104</v>
      </c>
      <c r="F8" t="s">
        <v>105</v>
      </c>
    </row>
    <row r="9" spans="3:6" x14ac:dyDescent="0.75">
      <c r="C9">
        <v>2</v>
      </c>
      <c r="D9" t="s">
        <v>123</v>
      </c>
      <c r="E9" t="s">
        <v>106</v>
      </c>
      <c r="F9" t="s">
        <v>107</v>
      </c>
    </row>
    <row r="10" spans="3:6" x14ac:dyDescent="0.75">
      <c r="C10">
        <v>2</v>
      </c>
      <c r="D10" t="s">
        <v>124</v>
      </c>
      <c r="E10" t="s">
        <v>108</v>
      </c>
      <c r="F10" t="s">
        <v>109</v>
      </c>
    </row>
    <row r="11" spans="3:6" x14ac:dyDescent="0.75">
      <c r="C11">
        <v>2</v>
      </c>
      <c r="D11" t="s">
        <v>125</v>
      </c>
      <c r="E11" t="s">
        <v>110</v>
      </c>
      <c r="F11" t="s">
        <v>111</v>
      </c>
    </row>
    <row r="12" spans="3:6" x14ac:dyDescent="0.75">
      <c r="C12">
        <v>2</v>
      </c>
      <c r="D12" t="s">
        <v>126</v>
      </c>
      <c r="E12" t="s">
        <v>112</v>
      </c>
      <c r="F12" t="s">
        <v>113</v>
      </c>
    </row>
    <row r="13" spans="3:6" x14ac:dyDescent="0.75">
      <c r="C13">
        <v>2</v>
      </c>
      <c r="D13" t="s">
        <v>127</v>
      </c>
      <c r="E13" t="s">
        <v>114</v>
      </c>
      <c r="F13" t="s">
        <v>115</v>
      </c>
    </row>
    <row r="14" spans="3:6" x14ac:dyDescent="0.75">
      <c r="C14">
        <v>1</v>
      </c>
      <c r="D14" t="s">
        <v>116</v>
      </c>
      <c r="E14" t="s">
        <v>117</v>
      </c>
      <c r="F14" t="s">
        <v>118</v>
      </c>
    </row>
    <row r="15" spans="3:6" x14ac:dyDescent="0.75">
      <c r="C15">
        <v>2</v>
      </c>
      <c r="D15" t="s">
        <v>128</v>
      </c>
      <c r="E15" t="s">
        <v>119</v>
      </c>
      <c r="F15" t="s">
        <v>120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Hospital Discharge Report </vt:lpstr>
      <vt:lpstr>HospitalDischargeReport</vt:lpstr>
      <vt:lpstr>HospitalDischargeReport-Map-1</vt:lpstr>
      <vt:lpstr>HospitalDischargeReport-fsh</vt:lpstr>
      <vt:lpstr>HospitalDischargeRep-ConceptMap</vt:lpstr>
      <vt:lpstr>HospitalDischargeReport-CM-fsh</vt:lpstr>
      <vt:lpstr>HDR-SK</vt:lpstr>
      <vt:lpstr>HospitalDischargeReportSK</vt:lpstr>
      <vt:lpstr>HospitalDischargeReportSK-Map</vt:lpstr>
      <vt:lpstr>HospitalDischargeReportSK-fsh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2023-05-26T16:33:48Z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