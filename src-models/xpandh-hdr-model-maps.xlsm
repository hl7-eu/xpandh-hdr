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backupFile="1" codeName="Questa_cartella_di_lavoro" defaultThemeVersion="166925"/>
  <mc:AlternateContent xmlns:mc="http://schemas.openxmlformats.org/markup-compatibility/2006">
    <mc:Choice Requires="x15">
      <x15ac:absPath xmlns:x15ac="http://schemas.microsoft.com/office/spreadsheetml/2010/11/ac" url="C:\workspace\xpandh-hdr\src-models\"/>
    </mc:Choice>
  </mc:AlternateContent>
  <xr:revisionPtr revIDLastSave="0" documentId="13_ncr:1_{6C85D120-FB9E-497B-89D3-040BCDE3C122}" xr6:coauthVersionLast="47" xr6:coauthVersionMax="47" xr10:uidLastSave="{00000000-0000-0000-0000-000000000000}"/>
  <bookViews>
    <workbookView xWindow="-90" yWindow="-21710" windowWidth="38620" windowHeight="21100" tabRatio="819" activeTab="3" xr2:uid="{82F0A5E9-86C8-45A2-AB20-6CF6AA2FD42B}"/>
  </bookViews>
  <sheets>
    <sheet name="Hospital Discharge Report " sheetId="169" r:id="rId1"/>
    <sheet name="HospitalDischargeReport" sheetId="151" r:id="rId2"/>
    <sheet name="HospitalDischargeReport-Map-1" sheetId="152" r:id="rId3"/>
    <sheet name="HospitalDischargeReport-fsh" sheetId="153" r:id="rId4"/>
    <sheet name="HospitalDischargeRep-ConceptMap" sheetId="154" r:id="rId5"/>
    <sheet name="HospitalDischargeReport-CM-fsh" sheetId="155" r:id="rId6"/>
    <sheet name="HDR-SK" sheetId="170" r:id="rId7"/>
    <sheet name="HospitalDischargeReportSK" sheetId="175" r:id="rId8"/>
    <sheet name="HospitalDischargeReportSK-Map" sheetId="176" r:id="rId9"/>
    <sheet name="HospitalDischargeReportSK-fsh" sheetId="177" r:id="rId10"/>
    <sheet name="ENC-eHN" sheetId="183" r:id="rId11"/>
    <sheet name="Encounter" sheetId="178" r:id="rId12"/>
    <sheet name="Encounter-Map" sheetId="179" r:id="rId13"/>
    <sheet name="Encounter-fsh" sheetId="180" r:id="rId14"/>
    <sheet name="Encounter-ConceptMap-1" sheetId="184" r:id="rId15"/>
    <sheet name="Encounter-CM-fsh" sheetId="185" r:id="rId16"/>
    <sheet name="CM-relationships" sheetId="146" r:id="rId17"/>
  </sheets>
  <definedNames>
    <definedName name="_xlnm._FilterDatabase" localSheetId="11" hidden="1">Encounter!$A$7:$M$23</definedName>
    <definedName name="_xlnm._FilterDatabase" localSheetId="14" hidden="1">'Encounter-ConceptMap-1'!$A$14:$X$42</definedName>
    <definedName name="_xlnm._FilterDatabase" localSheetId="6" hidden="1">'HDR-SK'!$A$1:$F$493</definedName>
    <definedName name="_xlnm._FilterDatabase" localSheetId="0" hidden="1">'Hospital Discharge Report '!$A$1:$J$448</definedName>
    <definedName name="_xlnm._FilterDatabase" localSheetId="1" hidden="1">HospitalDischargeReport!$A$7:$M$84</definedName>
    <definedName name="_xlnm._FilterDatabase" localSheetId="7" hidden="1">HospitalDischargeReportSK!$A$7:$M$84</definedName>
    <definedName name="CENEN13606Lekarska_prepustacia_sprava" localSheetId="6">'HDR-SK'!#REF!</definedName>
    <definedName name="CENEN13606Lekarska_prepustacia_sprava">'Hospital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84" i="184" l="1"/>
  <c r="R184" i="184"/>
  <c r="S184" i="184" s="1" a="1"/>
  <c r="S184" i="184" s="1"/>
  <c r="B189" i="185" s="1"/>
  <c r="Q185" i="184"/>
  <c r="R185" i="184"/>
  <c r="S185" i="184" a="1"/>
  <c r="S185" i="184" s="1"/>
  <c r="B190" i="185" s="1"/>
  <c r="Q186" i="184"/>
  <c r="R186" i="184"/>
  <c r="S186" i="184" s="1" a="1"/>
  <c r="S186" i="184" s="1"/>
  <c r="B191" i="185" s="1"/>
  <c r="Q187" i="184"/>
  <c r="R187" i="184"/>
  <c r="S187" i="184" a="1"/>
  <c r="S187" i="184" s="1"/>
  <c r="B192" i="185" s="1"/>
  <c r="Q188" i="184"/>
  <c r="R188" i="184"/>
  <c r="S188" i="184" s="1" a="1"/>
  <c r="S188" i="184" s="1"/>
  <c r="B193" i="185" s="1"/>
  <c r="Q189" i="184"/>
  <c r="R189" i="184"/>
  <c r="S189" i="184" a="1"/>
  <c r="S189" i="184" s="1"/>
  <c r="B194" i="185" s="1"/>
  <c r="Q190" i="184"/>
  <c r="R190" i="184"/>
  <c r="S190" i="184" s="1" a="1"/>
  <c r="S190" i="184" s="1"/>
  <c r="Q191" i="184"/>
  <c r="R191" i="184"/>
  <c r="S191" i="184" a="1"/>
  <c r="S191" i="184" s="1"/>
  <c r="Q192" i="184"/>
  <c r="R192" i="184"/>
  <c r="S192" i="184" s="1" a="1"/>
  <c r="S192" i="184" s="1"/>
  <c r="Q193" i="184"/>
  <c r="R193" i="184"/>
  <c r="S193" i="184" a="1"/>
  <c r="S193" i="184" s="1"/>
  <c r="Q194" i="184"/>
  <c r="R194" i="184"/>
  <c r="S194" i="184" s="1" a="1"/>
  <c r="S194" i="184" s="1"/>
  <c r="Q195" i="184"/>
  <c r="R195" i="184"/>
  <c r="S195" i="184" a="1"/>
  <c r="S195" i="184" s="1"/>
  <c r="Q196" i="184"/>
  <c r="R196" i="184"/>
  <c r="S196" i="184" s="1" a="1"/>
  <c r="S196" i="184" s="1"/>
  <c r="Q197" i="184"/>
  <c r="R197" i="184"/>
  <c r="S197" i="184" a="1"/>
  <c r="S197" i="184" s="1"/>
  <c r="Q198" i="184"/>
  <c r="R198" i="184"/>
  <c r="S198" i="184" s="1" a="1"/>
  <c r="S198" i="184" s="1"/>
  <c r="Q199" i="184"/>
  <c r="R199" i="184"/>
  <c r="S199" i="184" a="1"/>
  <c r="S199" i="184" s="1"/>
  <c r="Q200" i="184"/>
  <c r="R200" i="184"/>
  <c r="S200" i="184" s="1" a="1"/>
  <c r="S200" i="184" s="1"/>
  <c r="Q201" i="184"/>
  <c r="R201" i="184"/>
  <c r="S201" i="184" a="1"/>
  <c r="S201" i="184" s="1"/>
  <c r="Q202" i="184"/>
  <c r="R202" i="184"/>
  <c r="S202" i="184" s="1" a="1"/>
  <c r="S202" i="184" s="1"/>
  <c r="Q203" i="184"/>
  <c r="R203" i="184"/>
  <c r="S203" i="184" a="1"/>
  <c r="S203" i="184" s="1"/>
  <c r="Q204" i="184"/>
  <c r="R204" i="184"/>
  <c r="S204" i="184" s="1" a="1"/>
  <c r="S204" i="184" s="1"/>
  <c r="Q205" i="184"/>
  <c r="R205" i="184"/>
  <c r="S205" i="184" a="1"/>
  <c r="S205" i="184" s="1"/>
  <c r="Q206" i="184"/>
  <c r="R206" i="184"/>
  <c r="S206" i="184" s="1" a="1"/>
  <c r="S206" i="184" s="1"/>
  <c r="Q207" i="184"/>
  <c r="R207" i="184"/>
  <c r="S207" i="184" a="1"/>
  <c r="S207" i="184" s="1"/>
  <c r="Q131" i="184"/>
  <c r="R131" i="184"/>
  <c r="Q132" i="184"/>
  <c r="R132" i="184"/>
  <c r="Q133" i="184"/>
  <c r="R133" i="184"/>
  <c r="Q134" i="184"/>
  <c r="R134" i="184"/>
  <c r="Q135" i="184"/>
  <c r="R135" i="184"/>
  <c r="Q136" i="184"/>
  <c r="R136" i="184"/>
  <c r="Q137" i="184"/>
  <c r="R137" i="184"/>
  <c r="Q138" i="184"/>
  <c r="R138" i="184"/>
  <c r="Q139" i="184"/>
  <c r="R139" i="184"/>
  <c r="Q140" i="184"/>
  <c r="R140" i="184"/>
  <c r="Q141" i="184"/>
  <c r="R141" i="184"/>
  <c r="Q142" i="184"/>
  <c r="R142" i="184"/>
  <c r="Q143" i="184"/>
  <c r="R143" i="184"/>
  <c r="Q144" i="184"/>
  <c r="R144" i="184"/>
  <c r="Q145" i="184"/>
  <c r="R145" i="184"/>
  <c r="Q146" i="184"/>
  <c r="R146" i="184"/>
  <c r="Q147" i="184"/>
  <c r="R147" i="184"/>
  <c r="Q148" i="184"/>
  <c r="R148" i="184"/>
  <c r="Q149" i="184"/>
  <c r="R149" i="184"/>
  <c r="Q150" i="184"/>
  <c r="R150" i="184"/>
  <c r="Q151" i="184"/>
  <c r="R151" i="184"/>
  <c r="Q152" i="184"/>
  <c r="R152" i="184"/>
  <c r="Q153" i="184"/>
  <c r="R153" i="184"/>
  <c r="Q154" i="184"/>
  <c r="R154" i="184"/>
  <c r="Q155" i="184"/>
  <c r="R155" i="184"/>
  <c r="Q156" i="184"/>
  <c r="R156" i="184"/>
  <c r="Q157" i="184"/>
  <c r="R157" i="184"/>
  <c r="Q158" i="184"/>
  <c r="R158" i="184"/>
  <c r="Q159" i="184"/>
  <c r="R159" i="184"/>
  <c r="Q160" i="184"/>
  <c r="R160" i="184"/>
  <c r="Q161" i="184"/>
  <c r="R161" i="184"/>
  <c r="Q162" i="184"/>
  <c r="R162" i="184"/>
  <c r="Q163" i="184"/>
  <c r="R163" i="184"/>
  <c r="Q164" i="184"/>
  <c r="R164" i="184"/>
  <c r="Q165" i="184"/>
  <c r="R165" i="184"/>
  <c r="Q166" i="184"/>
  <c r="R166" i="184"/>
  <c r="Q167" i="184"/>
  <c r="R167" i="184"/>
  <c r="Q168" i="184"/>
  <c r="R168" i="184"/>
  <c r="Q169" i="184"/>
  <c r="R169" i="184"/>
  <c r="Q170" i="184"/>
  <c r="R170" i="184"/>
  <c r="Q171" i="184"/>
  <c r="R171" i="184"/>
  <c r="Q172" i="184"/>
  <c r="R172" i="184"/>
  <c r="Q173" i="184"/>
  <c r="R173" i="184"/>
  <c r="Q174" i="184"/>
  <c r="R174" i="184"/>
  <c r="Q175" i="184"/>
  <c r="R175" i="184"/>
  <c r="Q176" i="184"/>
  <c r="R176" i="184"/>
  <c r="Q177" i="184"/>
  <c r="R177" i="184"/>
  <c r="Q178" i="184"/>
  <c r="R178" i="184"/>
  <c r="Q179" i="184"/>
  <c r="R179" i="184"/>
  <c r="Q180" i="184"/>
  <c r="R180" i="184"/>
  <c r="Q181" i="184"/>
  <c r="R181" i="184"/>
  <c r="Q182" i="184"/>
  <c r="R182" i="184"/>
  <c r="Q183" i="184"/>
  <c r="R183" i="184"/>
  <c r="Q89" i="184"/>
  <c r="R89" i="184"/>
  <c r="Q90" i="184"/>
  <c r="R90" i="184"/>
  <c r="Q91" i="184"/>
  <c r="R91" i="184"/>
  <c r="Q92" i="184"/>
  <c r="R92" i="184"/>
  <c r="Q93" i="184"/>
  <c r="R93" i="184"/>
  <c r="Q94" i="184"/>
  <c r="R94" i="184"/>
  <c r="Q95" i="184"/>
  <c r="R95" i="184"/>
  <c r="Q96" i="184"/>
  <c r="R96" i="184"/>
  <c r="Q97" i="184"/>
  <c r="R97" i="184"/>
  <c r="Q98" i="184"/>
  <c r="R98" i="184"/>
  <c r="Q99" i="184"/>
  <c r="R99" i="184"/>
  <c r="Q100" i="184"/>
  <c r="R100" i="184"/>
  <c r="Q101" i="184"/>
  <c r="R101" i="184"/>
  <c r="Q102" i="184"/>
  <c r="R102" i="184"/>
  <c r="Q103" i="184"/>
  <c r="R103" i="184"/>
  <c r="Q104" i="184"/>
  <c r="R104" i="184"/>
  <c r="Q105" i="184"/>
  <c r="R105" i="184"/>
  <c r="Q106" i="184"/>
  <c r="R106" i="184"/>
  <c r="Q107" i="184"/>
  <c r="R107" i="184"/>
  <c r="Q108" i="184"/>
  <c r="R108" i="184"/>
  <c r="Q109" i="184"/>
  <c r="R109" i="184"/>
  <c r="Q110" i="184"/>
  <c r="R110" i="184"/>
  <c r="Q111" i="184"/>
  <c r="R111" i="184"/>
  <c r="Q112" i="184"/>
  <c r="R112" i="184"/>
  <c r="Q113" i="184"/>
  <c r="R113" i="184"/>
  <c r="Q114" i="184"/>
  <c r="R114" i="184"/>
  <c r="Q115" i="184"/>
  <c r="R115" i="184"/>
  <c r="Q116" i="184"/>
  <c r="R116" i="184"/>
  <c r="Q117" i="184"/>
  <c r="R117" i="184"/>
  <c r="Q118" i="184"/>
  <c r="R118" i="184"/>
  <c r="Q119" i="184"/>
  <c r="R119" i="184"/>
  <c r="Q120" i="184"/>
  <c r="R120" i="184"/>
  <c r="Q121" i="184"/>
  <c r="R121" i="184"/>
  <c r="Q122" i="184"/>
  <c r="R122" i="184"/>
  <c r="Q123" i="184"/>
  <c r="R123" i="184"/>
  <c r="Q124" i="184"/>
  <c r="R124" i="184"/>
  <c r="Q125" i="184"/>
  <c r="R125" i="184"/>
  <c r="Q126" i="184"/>
  <c r="R126" i="184"/>
  <c r="Q127" i="184"/>
  <c r="R127" i="184"/>
  <c r="Q128" i="184"/>
  <c r="R128" i="184"/>
  <c r="Q129" i="184"/>
  <c r="R129" i="184"/>
  <c r="Q130" i="184"/>
  <c r="R130" i="184"/>
  <c r="Q82" i="184"/>
  <c r="R82" i="184"/>
  <c r="Q83" i="184"/>
  <c r="R83" i="184"/>
  <c r="Q84" i="184"/>
  <c r="R84" i="184"/>
  <c r="Q85" i="184"/>
  <c r="R85" i="184"/>
  <c r="Q86" i="184"/>
  <c r="R86" i="184"/>
  <c r="Q87" i="184"/>
  <c r="R87" i="184"/>
  <c r="Q88" i="184"/>
  <c r="R88" i="184"/>
  <c r="I23" i="184"/>
  <c r="S64" i="184" s="1" a="1"/>
  <c r="S64" i="184" s="1"/>
  <c r="B69" i="185" s="1"/>
  <c r="J23" i="184"/>
  <c r="S65" i="184" s="1" a="1"/>
  <c r="S65" i="184" s="1"/>
  <c r="B70" i="185" s="1"/>
  <c r="K23" i="184"/>
  <c r="S66" i="184" s="1" a="1"/>
  <c r="S66" i="184" s="1"/>
  <c r="B71" i="185" s="1"/>
  <c r="L23" i="184"/>
  <c r="S67" i="184" s="1" a="1"/>
  <c r="S67" i="184" s="1"/>
  <c r="B72" i="185" s="1"/>
  <c r="M23" i="184"/>
  <c r="S68" i="184" s="1" a="1"/>
  <c r="S68" i="184" s="1"/>
  <c r="B73" i="185" s="1"/>
  <c r="N23" i="184"/>
  <c r="S69" i="184" s="1" a="1"/>
  <c r="S69" i="184" s="1"/>
  <c r="B74" i="185" s="1"/>
  <c r="I24" i="184"/>
  <c r="S70" i="184" s="1" a="1"/>
  <c r="S70" i="184" s="1"/>
  <c r="B75" i="185" s="1"/>
  <c r="J24" i="184"/>
  <c r="S71" i="184" s="1" a="1"/>
  <c r="S71" i="184" s="1"/>
  <c r="B76" i="185" s="1"/>
  <c r="K24" i="184"/>
  <c r="S72" i="184" s="1" a="1"/>
  <c r="S72" i="184" s="1"/>
  <c r="B77" i="185" s="1"/>
  <c r="L24" i="184"/>
  <c r="S73" i="184" s="1" a="1"/>
  <c r="S73" i="184" s="1"/>
  <c r="B78" i="185" s="1"/>
  <c r="M24" i="184"/>
  <c r="S74" i="184" s="1" a="1"/>
  <c r="S74" i="184" s="1"/>
  <c r="B79" i="185" s="1"/>
  <c r="N24" i="184"/>
  <c r="S75" i="184" s="1" a="1"/>
  <c r="S75" i="184" s="1"/>
  <c r="B80" i="185" s="1"/>
  <c r="I25" i="184"/>
  <c r="S76" i="184" s="1" a="1"/>
  <c r="S76" i="184" s="1"/>
  <c r="B81" i="185" s="1"/>
  <c r="J25" i="184"/>
  <c r="S77" i="184" s="1" a="1"/>
  <c r="S77" i="184" s="1"/>
  <c r="B82" i="185" s="1"/>
  <c r="K25" i="184"/>
  <c r="S78" i="184" s="1" a="1"/>
  <c r="S78" i="184" s="1"/>
  <c r="B83" i="185" s="1"/>
  <c r="L25" i="184"/>
  <c r="S79" i="184" s="1" a="1"/>
  <c r="S79" i="184" s="1"/>
  <c r="B84" i="185" s="1"/>
  <c r="M25" i="184"/>
  <c r="S80" i="184" s="1" a="1"/>
  <c r="S80" i="184" s="1"/>
  <c r="B85" i="185" s="1"/>
  <c r="N25" i="184"/>
  <c r="S81" i="184" s="1" a="1"/>
  <c r="S81" i="184" s="1"/>
  <c r="B86" i="185" s="1"/>
  <c r="I26" i="184"/>
  <c r="J26" i="184"/>
  <c r="K26" i="184"/>
  <c r="L26" i="184"/>
  <c r="S85" i="184" s="1" a="1"/>
  <c r="S85" i="184" s="1"/>
  <c r="B90" i="185" s="1"/>
  <c r="M26" i="184"/>
  <c r="S86" i="184" s="1" a="1"/>
  <c r="S86" i="184" s="1"/>
  <c r="B91" i="185" s="1"/>
  <c r="N26" i="184"/>
  <c r="I27" i="184"/>
  <c r="J27" i="184"/>
  <c r="K27" i="184"/>
  <c r="L27" i="184"/>
  <c r="M27" i="184"/>
  <c r="N27" i="184"/>
  <c r="I28" i="184"/>
  <c r="J28" i="184"/>
  <c r="K28" i="184"/>
  <c r="L28" i="184"/>
  <c r="M28" i="184"/>
  <c r="N28" i="184"/>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I37" i="184"/>
  <c r="J37" i="184"/>
  <c r="K37" i="184"/>
  <c r="L37" i="184"/>
  <c r="M37" i="184"/>
  <c r="N37" i="184"/>
  <c r="I38" i="184"/>
  <c r="J38" i="184"/>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19" i="184"/>
  <c r="J19" i="184"/>
  <c r="K19" i="184"/>
  <c r="L19" i="184"/>
  <c r="S43" i="184" s="1" a="1"/>
  <c r="S43" i="184" s="1"/>
  <c r="B48" i="185" s="1"/>
  <c r="M19" i="184"/>
  <c r="S44" i="184" s="1" a="1"/>
  <c r="S44" i="184" s="1"/>
  <c r="B49" i="185" s="1"/>
  <c r="N19" i="184"/>
  <c r="S45" i="184" s="1" a="1"/>
  <c r="S45" i="184" s="1"/>
  <c r="B50" i="185" s="1"/>
  <c r="I20" i="184"/>
  <c r="S46" i="184" s="1" a="1"/>
  <c r="S46" i="184" s="1"/>
  <c r="B51" i="185" s="1"/>
  <c r="J20" i="184"/>
  <c r="S47" i="184" s="1" a="1"/>
  <c r="S47" i="184" s="1"/>
  <c r="B52" i="185" s="1"/>
  <c r="K20" i="184"/>
  <c r="S48" i="184" s="1" a="1"/>
  <c r="S48" i="184" s="1"/>
  <c r="B53" i="185" s="1"/>
  <c r="L20" i="184"/>
  <c r="S49" i="184" s="1" a="1"/>
  <c r="S49" i="184" s="1"/>
  <c r="B54" i="185" s="1"/>
  <c r="M20" i="184"/>
  <c r="S50" i="184" s="1" a="1"/>
  <c r="S50" i="184" s="1"/>
  <c r="B55" i="185" s="1"/>
  <c r="N20" i="184"/>
  <c r="S51" i="184" s="1" a="1"/>
  <c r="S51" i="184" s="1"/>
  <c r="B56" i="185" s="1"/>
  <c r="I21" i="184"/>
  <c r="S52" i="184" s="1" a="1"/>
  <c r="S52" i="184" s="1"/>
  <c r="B57" i="185" s="1"/>
  <c r="J21" i="184"/>
  <c r="S53" i="184" s="1" a="1"/>
  <c r="S53" i="184" s="1"/>
  <c r="B58" i="185" s="1"/>
  <c r="K21" i="184"/>
  <c r="S54" i="184" s="1" a="1"/>
  <c r="S54" i="184" s="1"/>
  <c r="B59" i="185" s="1"/>
  <c r="L21" i="184"/>
  <c r="S55" i="184" s="1" a="1"/>
  <c r="S55" i="184" s="1"/>
  <c r="B60" i="185" s="1"/>
  <c r="M21" i="184"/>
  <c r="S56" i="184" s="1" a="1"/>
  <c r="S56" i="184" s="1"/>
  <c r="B61" i="185" s="1"/>
  <c r="N21" i="184"/>
  <c r="S57" i="184" s="1" a="1"/>
  <c r="S57" i="184" s="1"/>
  <c r="B62" i="185" s="1"/>
  <c r="I22" i="184"/>
  <c r="S58" i="184" s="1" a="1"/>
  <c r="S58" i="184" s="1"/>
  <c r="B63" i="185" s="1"/>
  <c r="J22" i="184"/>
  <c r="S59" i="184" s="1" a="1"/>
  <c r="S59" i="184" s="1"/>
  <c r="B64" i="185" s="1"/>
  <c r="K22" i="184"/>
  <c r="S60" i="184" s="1" a="1"/>
  <c r="S60" i="184" s="1"/>
  <c r="B65" i="185" s="1"/>
  <c r="L22" i="184"/>
  <c r="S61" i="184" s="1" a="1"/>
  <c r="S61" i="184" s="1"/>
  <c r="B66" i="185" s="1"/>
  <c r="M22" i="184"/>
  <c r="S62" i="184" s="1" a="1"/>
  <c r="S62" i="184" s="1"/>
  <c r="B67" i="185" s="1"/>
  <c r="N22" i="184"/>
  <c r="S63" i="184" s="1" a="1"/>
  <c r="S63" i="184" s="1"/>
  <c r="B68" i="185" s="1"/>
  <c r="I16" i="184"/>
  <c r="J16" i="184"/>
  <c r="K16" i="184"/>
  <c r="L16" i="184"/>
  <c r="M16" i="184"/>
  <c r="N16" i="184"/>
  <c r="I17" i="184"/>
  <c r="J17" i="184"/>
  <c r="K17" i="184"/>
  <c r="L17" i="184"/>
  <c r="M17" i="184"/>
  <c r="N17" i="184"/>
  <c r="I18" i="184"/>
  <c r="J18" i="184"/>
  <c r="K18" i="184"/>
  <c r="L18" i="184"/>
  <c r="M18" i="184"/>
  <c r="N18" i="184"/>
  <c r="B23" i="184"/>
  <c r="C23" i="184"/>
  <c r="B16" i="184"/>
  <c r="C16" i="184"/>
  <c r="B17" i="184"/>
  <c r="C17" i="184"/>
  <c r="B18" i="184"/>
  <c r="C18" i="184"/>
  <c r="B19" i="184"/>
  <c r="C19" i="184"/>
  <c r="B20" i="184"/>
  <c r="C20" i="184"/>
  <c r="B21" i="184"/>
  <c r="C21" i="184"/>
  <c r="B22" i="184"/>
  <c r="C22" i="184"/>
  <c r="B24" i="184"/>
  <c r="C24" i="184"/>
  <c r="B25" i="184"/>
  <c r="C25" i="184"/>
  <c r="B26" i="184"/>
  <c r="C26" i="184"/>
  <c r="B27" i="184"/>
  <c r="C27" i="184"/>
  <c r="B28" i="184"/>
  <c r="C28" i="184"/>
  <c r="B29" i="184"/>
  <c r="C29" i="184"/>
  <c r="B30" i="184"/>
  <c r="C30" i="184"/>
  <c r="B31" i="184"/>
  <c r="C31" i="184"/>
  <c r="B32" i="184"/>
  <c r="C32" i="184"/>
  <c r="B33" i="184"/>
  <c r="C33" i="184"/>
  <c r="B34" i="184"/>
  <c r="C34" i="184"/>
  <c r="B35" i="184"/>
  <c r="C35" i="184"/>
  <c r="B36" i="184"/>
  <c r="C36" i="184"/>
  <c r="B37" i="184"/>
  <c r="C37" i="184"/>
  <c r="B38" i="184"/>
  <c r="C38" i="184"/>
  <c r="B39" i="184"/>
  <c r="C39" i="184"/>
  <c r="B40" i="184"/>
  <c r="C40" i="184"/>
  <c r="B41" i="184"/>
  <c r="C41" i="184"/>
  <c r="B42" i="184"/>
  <c r="C42" i="184"/>
  <c r="C15" i="184"/>
  <c r="J15" i="184" s="1"/>
  <c r="B15" i="184"/>
  <c r="B14" i="184"/>
  <c r="E7" i="184"/>
  <c r="E6" i="184"/>
  <c r="B17" i="185" s="1"/>
  <c r="B18" i="185"/>
  <c r="B15" i="185"/>
  <c r="B14" i="185"/>
  <c r="B13" i="185"/>
  <c r="B12" i="185"/>
  <c r="B9" i="185"/>
  <c r="B8" i="185"/>
  <c r="B4" i="185"/>
  <c r="R81" i="184"/>
  <c r="Q81" i="184"/>
  <c r="R80" i="184"/>
  <c r="Q80" i="184"/>
  <c r="R79" i="184"/>
  <c r="Q79" i="184"/>
  <c r="R78" i="184"/>
  <c r="Q78" i="184"/>
  <c r="R77" i="184"/>
  <c r="Q77" i="184"/>
  <c r="R76" i="184"/>
  <c r="Q76" i="184"/>
  <c r="R75" i="184"/>
  <c r="Q75" i="184"/>
  <c r="R74" i="184"/>
  <c r="Q74" i="184"/>
  <c r="R73" i="184"/>
  <c r="Q73" i="184"/>
  <c r="R72" i="184"/>
  <c r="Q72" i="184"/>
  <c r="R71" i="184"/>
  <c r="Q71" i="184"/>
  <c r="R70" i="184"/>
  <c r="Q70" i="184"/>
  <c r="R69" i="184"/>
  <c r="Q69" i="184"/>
  <c r="R68" i="184"/>
  <c r="Q68" i="184"/>
  <c r="R67" i="184"/>
  <c r="Q67" i="184"/>
  <c r="R66" i="184"/>
  <c r="Q66" i="184"/>
  <c r="R65" i="184"/>
  <c r="Q65" i="184"/>
  <c r="R64" i="184"/>
  <c r="Q64" i="184"/>
  <c r="R63" i="184"/>
  <c r="Q63" i="184"/>
  <c r="R62" i="184"/>
  <c r="Q62" i="184"/>
  <c r="R61" i="184"/>
  <c r="Q61" i="184"/>
  <c r="R60" i="184"/>
  <c r="Q60" i="184"/>
  <c r="R59" i="184"/>
  <c r="Q59" i="184"/>
  <c r="R58" i="184"/>
  <c r="Q58" i="184"/>
  <c r="R57" i="184"/>
  <c r="Q57" i="184"/>
  <c r="R56" i="184"/>
  <c r="Q56" i="184"/>
  <c r="R55" i="184"/>
  <c r="Q55" i="184"/>
  <c r="R54" i="184"/>
  <c r="Q54" i="184"/>
  <c r="R53" i="184"/>
  <c r="Q53" i="184"/>
  <c r="R52" i="184"/>
  <c r="Q52" i="184"/>
  <c r="R51" i="184"/>
  <c r="Q51" i="184"/>
  <c r="R50" i="184"/>
  <c r="Q50" i="184"/>
  <c r="R49" i="184"/>
  <c r="Q49" i="184"/>
  <c r="R48" i="184"/>
  <c r="Q48" i="184"/>
  <c r="R47" i="184"/>
  <c r="Q47" i="184"/>
  <c r="R46" i="184"/>
  <c r="Q46" i="184"/>
  <c r="R45" i="184"/>
  <c r="Q45" i="184"/>
  <c r="R44" i="184"/>
  <c r="Q44" i="184"/>
  <c r="R43" i="184"/>
  <c r="Q43" i="184"/>
  <c r="R42" i="184"/>
  <c r="Q42" i="184"/>
  <c r="R41" i="184"/>
  <c r="Q41" i="184"/>
  <c r="R40" i="184"/>
  <c r="Q40" i="184"/>
  <c r="R39" i="184"/>
  <c r="Q39" i="184"/>
  <c r="R38" i="184"/>
  <c r="Q38" i="184"/>
  <c r="R37" i="184"/>
  <c r="Q37" i="184"/>
  <c r="R36" i="184"/>
  <c r="Q36" i="184"/>
  <c r="R35" i="184"/>
  <c r="Q35" i="184"/>
  <c r="R34" i="184"/>
  <c r="Q34" i="184"/>
  <c r="R33" i="184"/>
  <c r="Q33" i="184"/>
  <c r="R32" i="184"/>
  <c r="Q32" i="184"/>
  <c r="R31" i="184"/>
  <c r="Q31" i="184"/>
  <c r="R30" i="184"/>
  <c r="Q30" i="184"/>
  <c r="R29" i="184"/>
  <c r="Q29" i="184"/>
  <c r="R28" i="184"/>
  <c r="Q28" i="184"/>
  <c r="R27" i="184"/>
  <c r="Q27" i="184"/>
  <c r="R26" i="184"/>
  <c r="Q26" i="184"/>
  <c r="R25" i="184"/>
  <c r="Q25" i="184"/>
  <c r="R24" i="184"/>
  <c r="Q24" i="184"/>
  <c r="R22" i="184"/>
  <c r="Q22" i="184"/>
  <c r="R21" i="184"/>
  <c r="Q21" i="184"/>
  <c r="R20" i="184"/>
  <c r="Q20" i="184"/>
  <c r="R19" i="184"/>
  <c r="Q19" i="184"/>
  <c r="R18" i="184"/>
  <c r="Q18" i="184"/>
  <c r="R17" i="184"/>
  <c r="Q17" i="184"/>
  <c r="R16" i="184"/>
  <c r="Q16" i="184"/>
  <c r="R15" i="184"/>
  <c r="Q15" i="184"/>
  <c r="N15" i="184"/>
  <c r="M15" i="184"/>
  <c r="L15" i="184"/>
  <c r="K15" i="184"/>
  <c r="I15" i="184"/>
  <c r="S19" i="184" l="1" a="1"/>
  <c r="S19" i="184" s="1"/>
  <c r="B24" i="185" s="1"/>
  <c r="S24" i="184" a="1"/>
  <c r="S24" i="184" s="1"/>
  <c r="B29" i="185" s="1"/>
  <c r="S28" i="184" a="1"/>
  <c r="S28" i="184" s="1"/>
  <c r="B33" i="185" s="1"/>
  <c r="S32" i="184" a="1"/>
  <c r="S32" i="184" s="1"/>
  <c r="B37" i="185" s="1"/>
  <c r="S40" i="184" a="1"/>
  <c r="S40" i="184" s="1"/>
  <c r="B45" i="185" s="1"/>
  <c r="S36" i="184" a="1"/>
  <c r="S36" i="184" s="1"/>
  <c r="B41" i="185" s="1"/>
  <c r="S23" i="184" a="1"/>
  <c r="S23" i="184" s="1"/>
  <c r="B28" i="185" s="1"/>
  <c r="S22" i="184" a="1"/>
  <c r="S22" i="184" s="1"/>
  <c r="B27" i="185" s="1"/>
  <c r="S31" i="184" a="1"/>
  <c r="S31" i="184" s="1"/>
  <c r="B36" i="185" s="1"/>
  <c r="S39" i="184" a="1"/>
  <c r="S39" i="184" s="1"/>
  <c r="B44" i="185" s="1"/>
  <c r="S17" i="184" a="1"/>
  <c r="S17" i="184" s="1"/>
  <c r="B22" i="185" s="1"/>
  <c r="S21" i="184" a="1"/>
  <c r="S21" i="184" s="1"/>
  <c r="B26" i="185" s="1"/>
  <c r="S26" i="184" a="1"/>
  <c r="S26" i="184" s="1"/>
  <c r="B31" i="185" s="1"/>
  <c r="S30" i="184" a="1"/>
  <c r="S30" i="184" s="1"/>
  <c r="B35" i="185" s="1"/>
  <c r="S34" i="184" a="1"/>
  <c r="S34" i="184" s="1"/>
  <c r="B39" i="185" s="1"/>
  <c r="S38" i="184" a="1"/>
  <c r="S38" i="184" s="1"/>
  <c r="B43" i="185" s="1"/>
  <c r="S42" i="184" a="1"/>
  <c r="S42" i="184" s="1"/>
  <c r="B47" i="185" s="1"/>
  <c r="S27" i="184" a="1"/>
  <c r="S27" i="184" s="1"/>
  <c r="B32" i="185" s="1"/>
  <c r="S35" i="184" a="1"/>
  <c r="S35" i="184" s="1"/>
  <c r="B40" i="185" s="1"/>
  <c r="S82" i="184" a="1"/>
  <c r="S82" i="184" s="1"/>
  <c r="B87" i="185" s="1"/>
  <c r="S18" i="184" a="1"/>
  <c r="S18" i="184" s="1"/>
  <c r="B23" i="185" s="1"/>
  <c r="S130" i="184" a="1"/>
  <c r="S130" i="184" s="1"/>
  <c r="B135" i="185" s="1"/>
  <c r="S122" i="184" a="1"/>
  <c r="S122" i="184" s="1"/>
  <c r="B127" i="185" s="1"/>
  <c r="S118" i="184" a="1"/>
  <c r="S118" i="184" s="1"/>
  <c r="B123" i="185" s="1"/>
  <c r="S114" i="184" a="1"/>
  <c r="S114" i="184" s="1"/>
  <c r="B119" i="185" s="1"/>
  <c r="S110" i="184" a="1"/>
  <c r="S110" i="184" s="1"/>
  <c r="B115" i="185" s="1"/>
  <c r="S106" i="184" a="1"/>
  <c r="S106" i="184" s="1"/>
  <c r="B111" i="185" s="1"/>
  <c r="S98" i="184" a="1"/>
  <c r="S98" i="184" s="1"/>
  <c r="B103" i="185" s="1"/>
  <c r="S94" i="184" a="1"/>
  <c r="S94" i="184" s="1"/>
  <c r="B99" i="185" s="1"/>
  <c r="S177" i="184" a="1"/>
  <c r="S177" i="184" s="1"/>
  <c r="B182" i="185" s="1"/>
  <c r="S169" i="184" a="1"/>
  <c r="S169" i="184" s="1"/>
  <c r="B174" i="185" s="1"/>
  <c r="S161" i="184" a="1"/>
  <c r="S161" i="184" s="1"/>
  <c r="B166" i="185" s="1"/>
  <c r="S153" i="184" a="1"/>
  <c r="S153" i="184" s="1"/>
  <c r="B158" i="185" s="1"/>
  <c r="S145" i="184" a="1"/>
  <c r="S145" i="184" s="1"/>
  <c r="B150" i="185" s="1"/>
  <c r="S137" i="184" a="1"/>
  <c r="S137" i="184" s="1"/>
  <c r="B142" i="185" s="1"/>
  <c r="S16" i="184" a="1"/>
  <c r="S16" i="184" s="1"/>
  <c r="B21" i="185" s="1"/>
  <c r="S20" i="184" a="1"/>
  <c r="S20" i="184" s="1"/>
  <c r="B25" i="185" s="1"/>
  <c r="S25" i="184" a="1"/>
  <c r="S25" i="184" s="1"/>
  <c r="B30" i="185" s="1"/>
  <c r="S29" i="184" a="1"/>
  <c r="S29" i="184" s="1"/>
  <c r="B34" i="185" s="1"/>
  <c r="S33" i="184" a="1"/>
  <c r="S33" i="184" s="1"/>
  <c r="B38" i="185" s="1"/>
  <c r="S37" i="184" a="1"/>
  <c r="S37" i="184" s="1"/>
  <c r="B42" i="185" s="1"/>
  <c r="S41" i="184" a="1"/>
  <c r="S41" i="184" s="1"/>
  <c r="B46" i="185" s="1"/>
  <c r="S129" i="184" a="1"/>
  <c r="S129" i="184" s="1"/>
  <c r="B134" i="185" s="1"/>
  <c r="S121" i="184" a="1"/>
  <c r="S121" i="184" s="1"/>
  <c r="B126" i="185" s="1"/>
  <c r="S113" i="184" a="1"/>
  <c r="S113" i="184" s="1"/>
  <c r="B118" i="185" s="1"/>
  <c r="S105" i="184" a="1"/>
  <c r="S105" i="184" s="1"/>
  <c r="B110" i="185" s="1"/>
  <c r="S97" i="184" a="1"/>
  <c r="S97" i="184" s="1"/>
  <c r="B102" i="185" s="1"/>
  <c r="S89" i="184" a="1"/>
  <c r="S89" i="184" s="1"/>
  <c r="B94" i="185" s="1"/>
  <c r="S180" i="184" a="1"/>
  <c r="S180" i="184" s="1"/>
  <c r="B185" i="185" s="1"/>
  <c r="S176" i="184" a="1"/>
  <c r="S176" i="184" s="1"/>
  <c r="B181" i="185" s="1"/>
  <c r="S172" i="184" a="1"/>
  <c r="S172" i="184" s="1"/>
  <c r="B177" i="185" s="1"/>
  <c r="S168" i="184" a="1"/>
  <c r="S168" i="184" s="1"/>
  <c r="B173" i="185" s="1"/>
  <c r="S164" i="184" a="1"/>
  <c r="S164" i="184" s="1"/>
  <c r="B169" i="185" s="1"/>
  <c r="S160" i="184" a="1"/>
  <c r="S160" i="184" s="1"/>
  <c r="B165" i="185" s="1"/>
  <c r="S152" i="184" a="1"/>
  <c r="S152" i="184" s="1"/>
  <c r="B157" i="185" s="1"/>
  <c r="S148" i="184" a="1"/>
  <c r="S148" i="184" s="1"/>
  <c r="B153" i="185" s="1"/>
  <c r="S144" i="184" a="1"/>
  <c r="S144" i="184" s="1"/>
  <c r="B149" i="185" s="1"/>
  <c r="S140" i="184" a="1"/>
  <c r="S140" i="184" s="1"/>
  <c r="B145" i="185" s="1"/>
  <c r="S136" i="184" a="1"/>
  <c r="S136" i="184" s="1"/>
  <c r="B141" i="185" s="1"/>
  <c r="S132" i="184" a="1"/>
  <c r="S132" i="184" s="1"/>
  <c r="B137" i="185" s="1"/>
  <c r="S102" i="184" a="1"/>
  <c r="S102" i="184" s="1"/>
  <c r="B107" i="185" s="1"/>
  <c r="S156" i="184" a="1"/>
  <c r="S156" i="184" s="1"/>
  <c r="B161" i="185" s="1"/>
  <c r="S126" i="184" a="1"/>
  <c r="S126" i="184" s="1"/>
  <c r="B131" i="185" s="1"/>
  <c r="S181" i="184" a="1"/>
  <c r="S181" i="184" s="1"/>
  <c r="B186" i="185" s="1"/>
  <c r="S173" i="184" a="1"/>
  <c r="S173" i="184" s="1"/>
  <c r="B178" i="185" s="1"/>
  <c r="S165" i="184" a="1"/>
  <c r="S165" i="184" s="1"/>
  <c r="B170" i="185" s="1"/>
  <c r="S157" i="184" a="1"/>
  <c r="S157" i="184" s="1"/>
  <c r="B162" i="185" s="1"/>
  <c r="S149" i="184" a="1"/>
  <c r="S149" i="184" s="1"/>
  <c r="B154" i="185" s="1"/>
  <c r="S141" i="184" a="1"/>
  <c r="S141" i="184" s="1"/>
  <c r="B146" i="185" s="1"/>
  <c r="S133" i="184" a="1"/>
  <c r="S133" i="184" s="1"/>
  <c r="B138" i="185" s="1"/>
  <c r="S88" i="184" a="1"/>
  <c r="S88" i="184" s="1"/>
  <c r="B93" i="185" s="1"/>
  <c r="S125" i="184" a="1"/>
  <c r="S125" i="184" s="1"/>
  <c r="B130" i="185" s="1"/>
  <c r="S117" i="184" a="1"/>
  <c r="S117" i="184" s="1"/>
  <c r="B122" i="185" s="1"/>
  <c r="S109" i="184" a="1"/>
  <c r="S109" i="184" s="1"/>
  <c r="B114" i="185" s="1"/>
  <c r="S101" i="184" a="1"/>
  <c r="S101" i="184" s="1"/>
  <c r="B106" i="185" s="1"/>
  <c r="S93" i="184" a="1"/>
  <c r="S93" i="184" s="1"/>
  <c r="B98" i="185" s="1"/>
  <c r="S87" i="184" a="1"/>
  <c r="S87" i="184" s="1"/>
  <c r="B92" i="185" s="1"/>
  <c r="S83" i="184" a="1"/>
  <c r="S83" i="184" s="1"/>
  <c r="B88" i="185" s="1"/>
  <c r="S128" i="184" a="1"/>
  <c r="S128" i="184" s="1"/>
  <c r="B133" i="185" s="1"/>
  <c r="S124" i="184" a="1"/>
  <c r="S124" i="184" s="1"/>
  <c r="B129" i="185" s="1"/>
  <c r="S120" i="184" a="1"/>
  <c r="S120" i="184" s="1"/>
  <c r="B125" i="185" s="1"/>
  <c r="S116" i="184" a="1"/>
  <c r="S116" i="184" s="1"/>
  <c r="B121" i="185" s="1"/>
  <c r="S112" i="184" a="1"/>
  <c r="S112" i="184" s="1"/>
  <c r="B117" i="185" s="1"/>
  <c r="S108" i="184" a="1"/>
  <c r="S108" i="184" s="1"/>
  <c r="B113" i="185" s="1"/>
  <c r="S104" i="184" a="1"/>
  <c r="S104" i="184" s="1"/>
  <c r="B109" i="185" s="1"/>
  <c r="S100" i="184" a="1"/>
  <c r="S100" i="184" s="1"/>
  <c r="B105" i="185" s="1"/>
  <c r="S92" i="184" a="1"/>
  <c r="S92" i="184" s="1"/>
  <c r="B97" i="185" s="1"/>
  <c r="S183" i="184" a="1"/>
  <c r="S183" i="184" s="1"/>
  <c r="B188" i="185" s="1"/>
  <c r="S179" i="184" a="1"/>
  <c r="S179" i="184" s="1"/>
  <c r="B184" i="185" s="1"/>
  <c r="S175" i="184" a="1"/>
  <c r="S175" i="184" s="1"/>
  <c r="B180" i="185" s="1"/>
  <c r="S171" i="184" a="1"/>
  <c r="S171" i="184" s="1"/>
  <c r="B176" i="185" s="1"/>
  <c r="S167" i="184" a="1"/>
  <c r="S167" i="184" s="1"/>
  <c r="B172" i="185" s="1"/>
  <c r="S163" i="184" a="1"/>
  <c r="S163" i="184" s="1"/>
  <c r="B168" i="185" s="1"/>
  <c r="S159" i="184" a="1"/>
  <c r="S159" i="184" s="1"/>
  <c r="B164" i="185" s="1"/>
  <c r="S155" i="184" a="1"/>
  <c r="S155" i="184" s="1"/>
  <c r="B160" i="185" s="1"/>
  <c r="S151" i="184" a="1"/>
  <c r="S151" i="184" s="1"/>
  <c r="B156" i="185" s="1"/>
  <c r="S147" i="184" a="1"/>
  <c r="S147" i="184" s="1"/>
  <c r="B152" i="185" s="1"/>
  <c r="S143" i="184" a="1"/>
  <c r="S143" i="184" s="1"/>
  <c r="B148" i="185" s="1"/>
  <c r="S139" i="184" a="1"/>
  <c r="S139" i="184" s="1"/>
  <c r="B144" i="185" s="1"/>
  <c r="S135" i="184" a="1"/>
  <c r="S135" i="184" s="1"/>
  <c r="B140" i="185" s="1"/>
  <c r="S131" i="184" a="1"/>
  <c r="S131" i="184" s="1"/>
  <c r="B136" i="185" s="1"/>
  <c r="S127" i="184" a="1"/>
  <c r="S127" i="184" s="1"/>
  <c r="B132" i="185" s="1"/>
  <c r="S123" i="184" a="1"/>
  <c r="S123" i="184" s="1"/>
  <c r="B128" i="185" s="1"/>
  <c r="S119" i="184" a="1"/>
  <c r="S119" i="184" s="1"/>
  <c r="B124" i="185" s="1"/>
  <c r="S115" i="184" a="1"/>
  <c r="S115" i="184" s="1"/>
  <c r="B120" i="185" s="1"/>
  <c r="S111" i="184" a="1"/>
  <c r="S111" i="184" s="1"/>
  <c r="B116" i="185" s="1"/>
  <c r="S107" i="184" a="1"/>
  <c r="S107" i="184" s="1"/>
  <c r="B112" i="185" s="1"/>
  <c r="S103" i="184" a="1"/>
  <c r="S103" i="184" s="1"/>
  <c r="B108" i="185" s="1"/>
  <c r="S99" i="184" a="1"/>
  <c r="S99" i="184" s="1"/>
  <c r="B104" i="185" s="1"/>
  <c r="S95" i="184" a="1"/>
  <c r="S95" i="184" s="1"/>
  <c r="B100" i="185" s="1"/>
  <c r="S91" i="184" a="1"/>
  <c r="S91" i="184" s="1"/>
  <c r="B96" i="185" s="1"/>
  <c r="S182" i="184" a="1"/>
  <c r="S182" i="184" s="1"/>
  <c r="B187" i="185" s="1"/>
  <c r="S178" i="184" a="1"/>
  <c r="S178" i="184" s="1"/>
  <c r="B183" i="185" s="1"/>
  <c r="S174" i="184" a="1"/>
  <c r="S174" i="184" s="1"/>
  <c r="B179" i="185" s="1"/>
  <c r="S170" i="184" a="1"/>
  <c r="S170" i="184" s="1"/>
  <c r="B175" i="185" s="1"/>
  <c r="S166" i="184" a="1"/>
  <c r="S166" i="184" s="1"/>
  <c r="B171" i="185" s="1"/>
  <c r="S162" i="184" a="1"/>
  <c r="S162" i="184" s="1"/>
  <c r="B167" i="185" s="1"/>
  <c r="S158" i="184" a="1"/>
  <c r="S158" i="184" s="1"/>
  <c r="B163" i="185" s="1"/>
  <c r="S154" i="184" a="1"/>
  <c r="S154" i="184" s="1"/>
  <c r="B159" i="185" s="1"/>
  <c r="S150" i="184" a="1"/>
  <c r="S150" i="184" s="1"/>
  <c r="B155" i="185" s="1"/>
  <c r="S146" i="184" a="1"/>
  <c r="S146" i="184" s="1"/>
  <c r="B151" i="185" s="1"/>
  <c r="S142" i="184" a="1"/>
  <c r="S142" i="184" s="1"/>
  <c r="B147" i="185" s="1"/>
  <c r="S138" i="184" a="1"/>
  <c r="S138" i="184" s="1"/>
  <c r="B143" i="185" s="1"/>
  <c r="S134" i="184" a="1"/>
  <c r="S134" i="184" s="1"/>
  <c r="B139" i="185" s="1"/>
  <c r="S96" i="184" a="1"/>
  <c r="S96" i="184" s="1"/>
  <c r="B101" i="185" s="1"/>
  <c r="S90" i="184" a="1"/>
  <c r="S90" i="184" s="1"/>
  <c r="B95" i="185" s="1"/>
  <c r="S84" i="184" a="1"/>
  <c r="S84" i="184" s="1"/>
  <c r="B89" i="185" s="1"/>
  <c r="S15" i="184" a="1"/>
  <c r="S15" i="184" s="1"/>
  <c r="B20" i="185" s="1"/>
  <c r="C52" i="180" l="1"/>
  <c r="C53" i="180"/>
  <c r="C54" i="180"/>
  <c r="C55" i="180"/>
  <c r="C56" i="180"/>
  <c r="C57" i="180"/>
  <c r="C58" i="180"/>
  <c r="C59" i="180"/>
  <c r="C60" i="180"/>
  <c r="C61" i="180"/>
  <c r="C62" i="180"/>
  <c r="C63" i="180"/>
  <c r="C64" i="180"/>
  <c r="C66" i="180"/>
  <c r="C67" i="180"/>
  <c r="C68" i="180"/>
  <c r="C69" i="180"/>
  <c r="C70" i="180"/>
  <c r="C71" i="180"/>
  <c r="C72" i="180"/>
  <c r="C73" i="180"/>
  <c r="C74" i="180"/>
  <c r="C75" i="180"/>
  <c r="C76" i="180"/>
  <c r="C77" i="180"/>
  <c r="C10" i="180"/>
  <c r="C11" i="180"/>
  <c r="C12" i="180"/>
  <c r="C13" i="180"/>
  <c r="C14" i="180"/>
  <c r="C15" i="180"/>
  <c r="C16" i="180"/>
  <c r="C17" i="180"/>
  <c r="C18" i="180"/>
  <c r="C19" i="180"/>
  <c r="C20" i="180"/>
  <c r="C21" i="180"/>
  <c r="C22" i="180"/>
  <c r="C23" i="180"/>
  <c r="C24" i="180"/>
  <c r="C26" i="180"/>
  <c r="C27" i="180"/>
  <c r="C28" i="180"/>
  <c r="C29" i="180"/>
  <c r="C30" i="180"/>
  <c r="C31" i="180"/>
  <c r="C32" i="180"/>
  <c r="C33" i="180"/>
  <c r="C34" i="180"/>
  <c r="C35" i="180"/>
  <c r="C36" i="180"/>
  <c r="C37" i="180"/>
  <c r="B11" i="179"/>
  <c r="B12" i="179"/>
  <c r="B13" i="179"/>
  <c r="B14" i="179"/>
  <c r="B15" i="179"/>
  <c r="E15" i="179" s="1"/>
  <c r="C96" i="180" s="1"/>
  <c r="B16" i="179"/>
  <c r="E16" i="179" s="1"/>
  <c r="C97" i="180" s="1"/>
  <c r="B17" i="179"/>
  <c r="E17" i="179" s="1"/>
  <c r="C98" i="180" s="1"/>
  <c r="B18" i="179"/>
  <c r="E18" i="179" s="1"/>
  <c r="C99" i="180" s="1"/>
  <c r="B19" i="179"/>
  <c r="B20" i="179"/>
  <c r="B21" i="179"/>
  <c r="B22" i="179"/>
  <c r="B23" i="179"/>
  <c r="E23" i="179" s="1"/>
  <c r="C104" i="180" s="1"/>
  <c r="B24" i="179"/>
  <c r="E24" i="179" s="1"/>
  <c r="C105" i="180" s="1"/>
  <c r="B25" i="179"/>
  <c r="E25" i="179" s="1"/>
  <c r="C106" i="180" s="1"/>
  <c r="B26" i="179"/>
  <c r="E26" i="179" s="1"/>
  <c r="C107" i="180" s="1"/>
  <c r="B27" i="179"/>
  <c r="B28" i="179"/>
  <c r="B29" i="179"/>
  <c r="B30" i="179"/>
  <c r="B31" i="179"/>
  <c r="E31" i="179" s="1"/>
  <c r="C112" i="180" s="1"/>
  <c r="B32" i="179"/>
  <c r="E32" i="179" s="1"/>
  <c r="C113" i="180" s="1"/>
  <c r="B33" i="179"/>
  <c r="E33" i="179" s="1"/>
  <c r="C114" i="180" s="1"/>
  <c r="B34" i="179"/>
  <c r="E34" i="179" s="1"/>
  <c r="C115" i="180" s="1"/>
  <c r="B35" i="179"/>
  <c r="B36" i="179"/>
  <c r="B37" i="179"/>
  <c r="B38" i="179"/>
  <c r="B39" i="179"/>
  <c r="E39" i="179" s="1"/>
  <c r="C120" i="180" s="1"/>
  <c r="B40" i="179"/>
  <c r="E40" i="179" s="1"/>
  <c r="C121" i="180" s="1"/>
  <c r="L9" i="178"/>
  <c r="L10" i="178"/>
  <c r="L11" i="178"/>
  <c r="L12" i="178"/>
  <c r="L13" i="178"/>
  <c r="L14" i="178"/>
  <c r="L15" i="178"/>
  <c r="L16" i="178"/>
  <c r="L17" i="178"/>
  <c r="L18" i="178"/>
  <c r="L19" i="178"/>
  <c r="L20" i="178"/>
  <c r="L21" i="178"/>
  <c r="L22" i="178"/>
  <c r="L23" i="178"/>
  <c r="L24" i="178"/>
  <c r="L26" i="178"/>
  <c r="L27" i="178"/>
  <c r="L28" i="178"/>
  <c r="L29" i="178"/>
  <c r="L30" i="178"/>
  <c r="L31" i="178"/>
  <c r="L32" i="178"/>
  <c r="L33" i="178"/>
  <c r="L34" i="178"/>
  <c r="L35" i="178"/>
  <c r="L36" i="178"/>
  <c r="L37" i="178"/>
  <c r="J24" i="178"/>
  <c r="J25" i="178"/>
  <c r="C25" i="180" s="1"/>
  <c r="J26" i="178"/>
  <c r="J27" i="178"/>
  <c r="J28" i="178"/>
  <c r="J29" i="178"/>
  <c r="J30" i="178"/>
  <c r="J31" i="178"/>
  <c r="J32" i="178"/>
  <c r="J33" i="178"/>
  <c r="J34" i="178"/>
  <c r="J35" i="178"/>
  <c r="J36" i="178"/>
  <c r="J37" i="178"/>
  <c r="J18" i="178"/>
  <c r="J19" i="178"/>
  <c r="J20" i="178"/>
  <c r="J21" i="178"/>
  <c r="J22" i="178"/>
  <c r="J23" i="178"/>
  <c r="J17" i="178"/>
  <c r="J14" i="178"/>
  <c r="J15" i="178"/>
  <c r="J16" i="178"/>
  <c r="J13" i="178"/>
  <c r="J9" i="178"/>
  <c r="J10" i="178"/>
  <c r="J11" i="178"/>
  <c r="J12" i="178"/>
  <c r="C5" i="183"/>
  <c r="C6" i="183"/>
  <c r="C7" i="183"/>
  <c r="C8" i="183"/>
  <c r="C9" i="183"/>
  <c r="C10" i="183"/>
  <c r="C11" i="183"/>
  <c r="C12" i="183"/>
  <c r="C13" i="183"/>
  <c r="C14" i="183"/>
  <c r="C15" i="183"/>
  <c r="C16" i="183"/>
  <c r="C17" i="183"/>
  <c r="C18" i="183"/>
  <c r="C19" i="183"/>
  <c r="C20" i="183"/>
  <c r="C21" i="183"/>
  <c r="C22" i="183"/>
  <c r="C23" i="183"/>
  <c r="C24" i="183"/>
  <c r="C25" i="183"/>
  <c r="C26" i="183"/>
  <c r="C27" i="183"/>
  <c r="C28" i="183"/>
  <c r="C4" i="183"/>
  <c r="E5" i="183"/>
  <c r="F5" i="183"/>
  <c r="E6" i="183"/>
  <c r="F6" i="183"/>
  <c r="E7" i="183"/>
  <c r="F7" i="183"/>
  <c r="E8" i="183"/>
  <c r="F8" i="183"/>
  <c r="E9" i="183"/>
  <c r="F9" i="183"/>
  <c r="E10" i="183"/>
  <c r="F10" i="183"/>
  <c r="E11" i="183"/>
  <c r="F11" i="183"/>
  <c r="E12" i="183"/>
  <c r="F12" i="183"/>
  <c r="E13" i="183"/>
  <c r="F13" i="183"/>
  <c r="E14" i="183"/>
  <c r="F14" i="183"/>
  <c r="E15" i="183"/>
  <c r="F15" i="183"/>
  <c r="E16" i="183"/>
  <c r="F16" i="183"/>
  <c r="E17" i="183"/>
  <c r="F17" i="183"/>
  <c r="E18" i="183"/>
  <c r="F18" i="183"/>
  <c r="E19" i="183"/>
  <c r="F19" i="183"/>
  <c r="E20" i="183"/>
  <c r="E21" i="183"/>
  <c r="F21" i="183"/>
  <c r="E22" i="183"/>
  <c r="F22" i="183"/>
  <c r="E23" i="183"/>
  <c r="F23" i="183"/>
  <c r="E24" i="183"/>
  <c r="F24" i="183"/>
  <c r="E25" i="183"/>
  <c r="F25" i="183"/>
  <c r="E26" i="183"/>
  <c r="F26" i="183"/>
  <c r="E27" i="183"/>
  <c r="F27" i="183"/>
  <c r="E28" i="183"/>
  <c r="F28" i="183"/>
  <c r="F4" i="183"/>
  <c r="E4" i="183"/>
  <c r="C82" i="180"/>
  <c r="C81" i="180"/>
  <c r="C2" i="180"/>
  <c r="C1" i="180"/>
  <c r="E38" i="179"/>
  <c r="C119" i="180" s="1"/>
  <c r="E37" i="179"/>
  <c r="C118" i="180" s="1"/>
  <c r="E36" i="179"/>
  <c r="C117" i="180" s="1"/>
  <c r="E35" i="179"/>
  <c r="C116" i="180" s="1"/>
  <c r="E30" i="179"/>
  <c r="C111" i="180" s="1"/>
  <c r="E29" i="179"/>
  <c r="C110" i="180" s="1"/>
  <c r="E28" i="179"/>
  <c r="C109" i="180" s="1"/>
  <c r="E27" i="179"/>
  <c r="C108" i="180" s="1"/>
  <c r="E22" i="179"/>
  <c r="C103" i="180" s="1"/>
  <c r="E21" i="179"/>
  <c r="C102" i="180" s="1"/>
  <c r="E20" i="179"/>
  <c r="C101" i="180" s="1"/>
  <c r="E19" i="179"/>
  <c r="C100" i="180" s="1"/>
  <c r="E14" i="179"/>
  <c r="C95" i="180" s="1"/>
  <c r="E13" i="179"/>
  <c r="C94" i="180" s="1"/>
  <c r="E12" i="179"/>
  <c r="C93" i="180" s="1"/>
  <c r="E11" i="179"/>
  <c r="C92" i="180" s="1"/>
  <c r="B10" i="179"/>
  <c r="E10" i="179" s="1"/>
  <c r="C91" i="180" s="1"/>
  <c r="E9" i="179"/>
  <c r="C90" i="180" s="1"/>
  <c r="B9" i="179"/>
  <c r="C7" i="179" s="1"/>
  <c r="E7" i="179" s="1"/>
  <c r="C87" i="180" s="1"/>
  <c r="E8" i="179"/>
  <c r="C88" i="180" s="1"/>
  <c r="E6" i="179"/>
  <c r="C86" i="180" s="1"/>
  <c r="E5" i="179"/>
  <c r="C85" i="180" s="1"/>
  <c r="C4" i="179"/>
  <c r="E4" i="179" s="1"/>
  <c r="C84" i="180" s="1"/>
  <c r="E3" i="179"/>
  <c r="C83" i="180" s="1"/>
  <c r="J7" i="178"/>
  <c r="C7" i="180" s="1"/>
  <c r="J6" i="178"/>
  <c r="C6" i="180" s="1"/>
  <c r="J5" i="178"/>
  <c r="C5" i="180" s="1"/>
  <c r="J4" i="178"/>
  <c r="C4" i="180" s="1"/>
  <c r="L3" i="178"/>
  <c r="J3" i="178"/>
  <c r="C3" i="180" s="1"/>
  <c r="C3" i="169"/>
  <c r="C4" i="169"/>
  <c r="C5" i="169"/>
  <c r="C6" i="169"/>
  <c r="C7" i="169"/>
  <c r="C8" i="169"/>
  <c r="C9" i="169"/>
  <c r="C10" i="169"/>
  <c r="C11" i="169"/>
  <c r="C12" i="169"/>
  <c r="C13" i="169"/>
  <c r="C14" i="169"/>
  <c r="C15" i="169"/>
  <c r="C16" i="169"/>
  <c r="C17" i="169"/>
  <c r="C18" i="169"/>
  <c r="C19" i="169"/>
  <c r="C20" i="169"/>
  <c r="C21" i="169"/>
  <c r="C22" i="169"/>
  <c r="C23" i="169"/>
  <c r="C24" i="169"/>
  <c r="C25" i="169"/>
  <c r="C26" i="169"/>
  <c r="C27" i="169"/>
  <c r="C28" i="169"/>
  <c r="C29" i="169"/>
  <c r="C30" i="169"/>
  <c r="C31" i="169"/>
  <c r="C32" i="169"/>
  <c r="C33" i="169"/>
  <c r="C34" i="169"/>
  <c r="C35" i="169"/>
  <c r="C36" i="169"/>
  <c r="C37" i="169"/>
  <c r="C38" i="169"/>
  <c r="C39" i="169"/>
  <c r="C40" i="169"/>
  <c r="C41" i="169"/>
  <c r="C42" i="169"/>
  <c r="C43" i="169"/>
  <c r="C44" i="169"/>
  <c r="C45" i="169"/>
  <c r="C46" i="169"/>
  <c r="C47" i="169"/>
  <c r="C48" i="169"/>
  <c r="C49" i="169"/>
  <c r="C50" i="169"/>
  <c r="C51" i="169"/>
  <c r="C52" i="169"/>
  <c r="C53" i="169"/>
  <c r="C54" i="169"/>
  <c r="C55" i="169"/>
  <c r="C56" i="169"/>
  <c r="C57" i="169"/>
  <c r="C58" i="169"/>
  <c r="C59" i="169"/>
  <c r="C60" i="169"/>
  <c r="C61" i="169"/>
  <c r="C62" i="169"/>
  <c r="C63" i="169"/>
  <c r="C64" i="169"/>
  <c r="C65" i="169"/>
  <c r="C66" i="169"/>
  <c r="C67" i="169"/>
  <c r="C68" i="169"/>
  <c r="C69" i="169"/>
  <c r="C70" i="169"/>
  <c r="C71" i="169"/>
  <c r="C72" i="169"/>
  <c r="C73" i="169"/>
  <c r="C74" i="169"/>
  <c r="C75" i="169"/>
  <c r="C76" i="169"/>
  <c r="C77" i="169"/>
  <c r="C78" i="169"/>
  <c r="C79" i="169"/>
  <c r="C80" i="169"/>
  <c r="C81" i="169"/>
  <c r="C82" i="169"/>
  <c r="C83" i="169"/>
  <c r="C84" i="169"/>
  <c r="C85" i="169"/>
  <c r="C86" i="169"/>
  <c r="C87" i="169"/>
  <c r="C88" i="169"/>
  <c r="C89" i="169"/>
  <c r="C90" i="169"/>
  <c r="C91" i="169"/>
  <c r="C92" i="169"/>
  <c r="C93" i="169"/>
  <c r="C94" i="169"/>
  <c r="C95" i="169"/>
  <c r="C96" i="169"/>
  <c r="C97" i="169"/>
  <c r="C98" i="169"/>
  <c r="C99" i="169"/>
  <c r="C100" i="169"/>
  <c r="C101" i="169"/>
  <c r="C102" i="169"/>
  <c r="C103" i="169"/>
  <c r="C104" i="169"/>
  <c r="C105" i="169"/>
  <c r="C106" i="169"/>
  <c r="C107" i="169"/>
  <c r="C108" i="169"/>
  <c r="C109" i="169"/>
  <c r="C110" i="169"/>
  <c r="C111" i="169"/>
  <c r="C112" i="169"/>
  <c r="C113" i="169"/>
  <c r="C114" i="169"/>
  <c r="C115" i="169"/>
  <c r="C116" i="169"/>
  <c r="C117" i="169"/>
  <c r="C118" i="169"/>
  <c r="C119" i="169"/>
  <c r="C120" i="169"/>
  <c r="C121" i="169"/>
  <c r="C122" i="169"/>
  <c r="C123" i="169"/>
  <c r="C124" i="169"/>
  <c r="C125" i="169"/>
  <c r="C126" i="169"/>
  <c r="C127" i="169"/>
  <c r="C128" i="169"/>
  <c r="C129" i="169"/>
  <c r="C130" i="169"/>
  <c r="C131" i="169"/>
  <c r="C132" i="169"/>
  <c r="C133" i="169"/>
  <c r="C134" i="169"/>
  <c r="C135" i="169"/>
  <c r="C136" i="169"/>
  <c r="C137" i="169"/>
  <c r="C138" i="169"/>
  <c r="C139" i="169"/>
  <c r="C140" i="169"/>
  <c r="C141" i="169"/>
  <c r="C142" i="169"/>
  <c r="C143" i="169"/>
  <c r="C144" i="169"/>
  <c r="C145" i="169"/>
  <c r="C146" i="169"/>
  <c r="C147" i="169"/>
  <c r="C148" i="169"/>
  <c r="C149" i="169"/>
  <c r="C150" i="169"/>
  <c r="C151" i="169"/>
  <c r="C152" i="169"/>
  <c r="C153" i="169"/>
  <c r="C154" i="169"/>
  <c r="C155" i="169"/>
  <c r="C156" i="169"/>
  <c r="C157" i="169"/>
  <c r="C158" i="169"/>
  <c r="C159" i="169"/>
  <c r="C160" i="169"/>
  <c r="C161" i="169"/>
  <c r="C162" i="169"/>
  <c r="C163" i="169"/>
  <c r="C164" i="169"/>
  <c r="C165" i="169"/>
  <c r="C166" i="169"/>
  <c r="C167" i="169"/>
  <c r="C168" i="169"/>
  <c r="C169" i="169"/>
  <c r="C170" i="169"/>
  <c r="C171" i="169"/>
  <c r="C172" i="169"/>
  <c r="C173" i="169"/>
  <c r="C174" i="169"/>
  <c r="C175" i="169"/>
  <c r="C176" i="169"/>
  <c r="C177" i="169"/>
  <c r="C178" i="169"/>
  <c r="C179" i="169"/>
  <c r="C180" i="169"/>
  <c r="C181" i="169"/>
  <c r="C182" i="169"/>
  <c r="C183" i="169"/>
  <c r="C184" i="169"/>
  <c r="C185" i="169"/>
  <c r="C186" i="169"/>
  <c r="C187" i="169"/>
  <c r="C188" i="169"/>
  <c r="C189" i="169"/>
  <c r="C190" i="169"/>
  <c r="C191" i="169"/>
  <c r="C192" i="169"/>
  <c r="C193" i="169"/>
  <c r="C194" i="169"/>
  <c r="C195" i="169"/>
  <c r="C196" i="169"/>
  <c r="C197" i="169"/>
  <c r="C198" i="169"/>
  <c r="C199" i="169"/>
  <c r="C200" i="169"/>
  <c r="C201" i="169"/>
  <c r="C202" i="169"/>
  <c r="C203" i="169"/>
  <c r="C204" i="169"/>
  <c r="C205" i="169"/>
  <c r="C206" i="169"/>
  <c r="C207" i="169"/>
  <c r="C208" i="169"/>
  <c r="C209" i="169"/>
  <c r="C210" i="169"/>
  <c r="C211" i="169"/>
  <c r="C212" i="169"/>
  <c r="C213" i="169"/>
  <c r="C214" i="169"/>
  <c r="C215" i="169"/>
  <c r="C216" i="169"/>
  <c r="C217" i="169"/>
  <c r="C218" i="169"/>
  <c r="C219" i="169"/>
  <c r="C220" i="169"/>
  <c r="C221" i="169"/>
  <c r="C222" i="169"/>
  <c r="C223" i="169"/>
  <c r="C224" i="169"/>
  <c r="C225" i="169"/>
  <c r="C226" i="169"/>
  <c r="C227" i="169"/>
  <c r="C228" i="169"/>
  <c r="C229" i="169"/>
  <c r="C230" i="169"/>
  <c r="C231" i="169"/>
  <c r="C232" i="169"/>
  <c r="C233" i="169"/>
  <c r="C234" i="169"/>
  <c r="C235" i="169"/>
  <c r="C236" i="169"/>
  <c r="C237" i="169"/>
  <c r="C238" i="169"/>
  <c r="C239" i="169"/>
  <c r="C240" i="169"/>
  <c r="C241" i="169"/>
  <c r="C242" i="169"/>
  <c r="C243" i="169"/>
  <c r="C244" i="169"/>
  <c r="C245" i="169"/>
  <c r="C246" i="169"/>
  <c r="C247" i="169"/>
  <c r="C248" i="169"/>
  <c r="C249" i="169"/>
  <c r="C250" i="169"/>
  <c r="C251" i="169"/>
  <c r="C252" i="169"/>
  <c r="C253" i="169"/>
  <c r="C254" i="169"/>
  <c r="C255" i="169"/>
  <c r="C256" i="169"/>
  <c r="C257" i="169"/>
  <c r="C258" i="169"/>
  <c r="C259" i="169"/>
  <c r="C260" i="169"/>
  <c r="C261" i="169"/>
  <c r="C262" i="169"/>
  <c r="C263" i="169"/>
  <c r="C264" i="169"/>
  <c r="C265" i="169"/>
  <c r="C266" i="169"/>
  <c r="C267" i="169"/>
  <c r="C268" i="169"/>
  <c r="C269" i="169"/>
  <c r="C270" i="169"/>
  <c r="C271" i="169"/>
  <c r="C272" i="169"/>
  <c r="C273" i="169"/>
  <c r="C274" i="169"/>
  <c r="C275" i="169"/>
  <c r="C276" i="169"/>
  <c r="C277" i="169"/>
  <c r="C278" i="169"/>
  <c r="C279" i="169"/>
  <c r="C280" i="169"/>
  <c r="C281" i="169"/>
  <c r="C282" i="169"/>
  <c r="C283" i="169"/>
  <c r="C284" i="169"/>
  <c r="C285" i="169"/>
  <c r="C286" i="169"/>
  <c r="C287" i="169"/>
  <c r="C288" i="169"/>
  <c r="C289" i="169"/>
  <c r="C290" i="169"/>
  <c r="C291" i="169"/>
  <c r="C292" i="169"/>
  <c r="C293" i="169"/>
  <c r="C294" i="169"/>
  <c r="C295" i="169"/>
  <c r="C296" i="169"/>
  <c r="C297" i="169"/>
  <c r="C298" i="169"/>
  <c r="C299" i="169"/>
  <c r="C300" i="169"/>
  <c r="C301" i="169"/>
  <c r="C302" i="169"/>
  <c r="C303" i="169"/>
  <c r="C304" i="169"/>
  <c r="C305" i="169"/>
  <c r="C306" i="169"/>
  <c r="C307" i="169"/>
  <c r="C308" i="169"/>
  <c r="C309" i="169"/>
  <c r="C310" i="169"/>
  <c r="C311" i="169"/>
  <c r="C312" i="169"/>
  <c r="C313" i="169"/>
  <c r="C314" i="169"/>
  <c r="C315" i="169"/>
  <c r="C316" i="169"/>
  <c r="C317" i="169"/>
  <c r="C318" i="169"/>
  <c r="C319" i="169"/>
  <c r="C320" i="169"/>
  <c r="C321" i="169"/>
  <c r="C322" i="169"/>
  <c r="C323" i="169"/>
  <c r="C324" i="169"/>
  <c r="C325" i="169"/>
  <c r="C326" i="169"/>
  <c r="C327" i="169"/>
  <c r="C328" i="169"/>
  <c r="C329" i="169"/>
  <c r="C330" i="169"/>
  <c r="C331" i="169"/>
  <c r="C332" i="169"/>
  <c r="C333" i="169"/>
  <c r="C334" i="169"/>
  <c r="C335" i="169"/>
  <c r="C336" i="169"/>
  <c r="C337" i="169"/>
  <c r="C338" i="169"/>
  <c r="C339" i="169"/>
  <c r="C340" i="169"/>
  <c r="C341" i="169"/>
  <c r="C342" i="169"/>
  <c r="C343" i="169"/>
  <c r="C344" i="169"/>
  <c r="C345" i="169"/>
  <c r="C346" i="169"/>
  <c r="C347" i="169"/>
  <c r="C348" i="169"/>
  <c r="C349" i="169"/>
  <c r="C350" i="169"/>
  <c r="C351" i="169"/>
  <c r="C352" i="169"/>
  <c r="C353" i="169"/>
  <c r="C354" i="169"/>
  <c r="C355" i="169"/>
  <c r="C356" i="169"/>
  <c r="C357" i="169"/>
  <c r="C358" i="169"/>
  <c r="C359" i="169"/>
  <c r="C360" i="169"/>
  <c r="C361" i="169"/>
  <c r="C362" i="169"/>
  <c r="C363" i="169"/>
  <c r="C364" i="169"/>
  <c r="C365" i="169"/>
  <c r="C366" i="169"/>
  <c r="C367" i="169"/>
  <c r="C368" i="169"/>
  <c r="C369" i="169"/>
  <c r="C370" i="169"/>
  <c r="C371" i="169"/>
  <c r="C372" i="169"/>
  <c r="C373" i="169"/>
  <c r="C374" i="169"/>
  <c r="C375" i="169"/>
  <c r="C376" i="169"/>
  <c r="C377" i="169"/>
  <c r="C378" i="169"/>
  <c r="C379" i="169"/>
  <c r="C380" i="169"/>
  <c r="C381" i="169"/>
  <c r="C382" i="169"/>
  <c r="C383" i="169"/>
  <c r="C384" i="169"/>
  <c r="C385" i="169"/>
  <c r="C386" i="169"/>
  <c r="C387" i="169"/>
  <c r="C388" i="169"/>
  <c r="C389" i="169"/>
  <c r="C390" i="169"/>
  <c r="C391" i="169"/>
  <c r="C392" i="169"/>
  <c r="C393" i="169"/>
  <c r="C394" i="169"/>
  <c r="C395" i="169"/>
  <c r="C396" i="169"/>
  <c r="C397" i="169"/>
  <c r="C398" i="169"/>
  <c r="C399" i="169"/>
  <c r="C400" i="169"/>
  <c r="C401" i="169"/>
  <c r="C402" i="169"/>
  <c r="C403" i="169"/>
  <c r="C404" i="169"/>
  <c r="C405" i="169"/>
  <c r="C406" i="169"/>
  <c r="C407" i="169"/>
  <c r="C408" i="169"/>
  <c r="C409" i="169"/>
  <c r="C410" i="169"/>
  <c r="C411" i="169"/>
  <c r="C412" i="169"/>
  <c r="C413" i="169"/>
  <c r="C414" i="169"/>
  <c r="C415" i="169"/>
  <c r="C416" i="169"/>
  <c r="C417" i="169"/>
  <c r="C418" i="169"/>
  <c r="C419" i="169"/>
  <c r="C420" i="169"/>
  <c r="C421" i="169"/>
  <c r="C422" i="169"/>
  <c r="C423" i="169"/>
  <c r="C424" i="169"/>
  <c r="C425" i="169"/>
  <c r="C426" i="169"/>
  <c r="C427" i="169"/>
  <c r="C428" i="169"/>
  <c r="C429" i="169"/>
  <c r="C430" i="169"/>
  <c r="C431" i="169"/>
  <c r="C432" i="169"/>
  <c r="C433" i="169"/>
  <c r="C434" i="169"/>
  <c r="C435" i="169"/>
  <c r="C436" i="169"/>
  <c r="C437" i="169"/>
  <c r="C438" i="169"/>
  <c r="C439" i="169"/>
  <c r="C440" i="169"/>
  <c r="C441" i="169"/>
  <c r="C442" i="169"/>
  <c r="C443" i="169"/>
  <c r="C444" i="169"/>
  <c r="C445" i="169"/>
  <c r="C446" i="169"/>
  <c r="C447" i="169"/>
  <c r="C448" i="169"/>
  <c r="C2" i="169"/>
  <c r="B52" i="154"/>
  <c r="B53" i="154"/>
  <c r="B54" i="154"/>
  <c r="B55" i="154"/>
  <c r="B56" i="154"/>
  <c r="B57" i="154"/>
  <c r="B58" i="154"/>
  <c r="B59" i="154"/>
  <c r="B60" i="154"/>
  <c r="B61" i="154"/>
  <c r="B62" i="154"/>
  <c r="B63" i="154"/>
  <c r="B64" i="154"/>
  <c r="B65" i="154"/>
  <c r="B66" i="154"/>
  <c r="B67" i="154"/>
  <c r="B68" i="154"/>
  <c r="B69" i="154"/>
  <c r="B70" i="154"/>
  <c r="B71" i="154"/>
  <c r="B72" i="154"/>
  <c r="B73" i="154"/>
  <c r="B74" i="154"/>
  <c r="B75" i="154"/>
  <c r="B76" i="154"/>
  <c r="B77" i="154"/>
  <c r="B78" i="154"/>
  <c r="B79" i="154"/>
  <c r="B80" i="154"/>
  <c r="B81" i="154"/>
  <c r="B82" i="154"/>
  <c r="B83" i="154"/>
  <c r="B84" i="154"/>
  <c r="B85" i="154"/>
  <c r="B86" i="154"/>
  <c r="B87" i="154"/>
  <c r="B18" i="154"/>
  <c r="B19" i="154"/>
  <c r="B20" i="154"/>
  <c r="B21" i="154"/>
  <c r="B22" i="154"/>
  <c r="B23" i="154"/>
  <c r="B24" i="154"/>
  <c r="B25" i="154"/>
  <c r="B26" i="154"/>
  <c r="B27" i="154"/>
  <c r="B28" i="154"/>
  <c r="B29" i="154"/>
  <c r="B30" i="154"/>
  <c r="B31" i="154"/>
  <c r="B32" i="154"/>
  <c r="B33" i="154"/>
  <c r="B34" i="154"/>
  <c r="B35" i="154"/>
  <c r="B36" i="154"/>
  <c r="B37" i="154"/>
  <c r="B38" i="154"/>
  <c r="B39" i="154"/>
  <c r="B40" i="154"/>
  <c r="B41" i="154"/>
  <c r="B42" i="154"/>
  <c r="B43" i="154"/>
  <c r="B44" i="154"/>
  <c r="B45" i="154"/>
  <c r="B46" i="154"/>
  <c r="B47" i="154"/>
  <c r="B48" i="154"/>
  <c r="B49" i="154"/>
  <c r="B50" i="154"/>
  <c r="B51" i="154"/>
  <c r="B12" i="154"/>
  <c r="B13" i="154"/>
  <c r="B14" i="154"/>
  <c r="B15" i="154"/>
  <c r="B16" i="154"/>
  <c r="B17" i="154"/>
  <c r="C265" i="177"/>
  <c r="C266" i="177"/>
  <c r="C267" i="177"/>
  <c r="C174" i="177"/>
  <c r="C87" i="177"/>
  <c r="C85" i="177"/>
  <c r="C86" i="177"/>
  <c r="C76" i="177"/>
  <c r="C77" i="177"/>
  <c r="C49" i="177"/>
  <c r="C50" i="177"/>
  <c r="E89" i="176"/>
  <c r="E72" i="176"/>
  <c r="C250" i="177" s="1"/>
  <c r="E80" i="176"/>
  <c r="C258" i="177" s="1"/>
  <c r="E87" i="176"/>
  <c r="E88" i="176"/>
  <c r="B86" i="176"/>
  <c r="E86" i="176" s="1"/>
  <c r="C264" i="177" s="1"/>
  <c r="B61" i="176"/>
  <c r="E61" i="176" s="1"/>
  <c r="C239" i="177" s="1"/>
  <c r="B62" i="176"/>
  <c r="E62" i="176" s="1"/>
  <c r="C240" i="177" s="1"/>
  <c r="B63" i="176"/>
  <c r="E63" i="176" s="1"/>
  <c r="C241" i="177" s="1"/>
  <c r="B64" i="176"/>
  <c r="E64" i="176" s="1"/>
  <c r="C242" i="177" s="1"/>
  <c r="B65" i="176"/>
  <c r="E65" i="176" s="1"/>
  <c r="C243" i="177" s="1"/>
  <c r="B66" i="176"/>
  <c r="E66" i="176" s="1"/>
  <c r="C244" i="177" s="1"/>
  <c r="B67" i="176"/>
  <c r="E67" i="176" s="1"/>
  <c r="C245" i="177" s="1"/>
  <c r="B68" i="176"/>
  <c r="E68" i="176" s="1"/>
  <c r="C246" i="177" s="1"/>
  <c r="B69" i="176"/>
  <c r="E69" i="176" s="1"/>
  <c r="C247" i="177" s="1"/>
  <c r="B70" i="176"/>
  <c r="E70" i="176" s="1"/>
  <c r="C248" i="177" s="1"/>
  <c r="B71" i="176"/>
  <c r="E71" i="176" s="1"/>
  <c r="C249" i="177" s="1"/>
  <c r="B72" i="176"/>
  <c r="B73" i="176"/>
  <c r="E73" i="176" s="1"/>
  <c r="C251" i="177" s="1"/>
  <c r="B74" i="176"/>
  <c r="E74" i="176" s="1"/>
  <c r="C252" i="177" s="1"/>
  <c r="B75" i="176"/>
  <c r="E75" i="176" s="1"/>
  <c r="C253" i="177" s="1"/>
  <c r="B76" i="176"/>
  <c r="E76" i="176" s="1"/>
  <c r="C254" i="177" s="1"/>
  <c r="B77" i="176"/>
  <c r="E77" i="176" s="1"/>
  <c r="C255" i="177" s="1"/>
  <c r="B78" i="176"/>
  <c r="E78" i="176" s="1"/>
  <c r="C256" i="177" s="1"/>
  <c r="B79" i="176"/>
  <c r="E79" i="176" s="1"/>
  <c r="C257" i="177" s="1"/>
  <c r="B80" i="176"/>
  <c r="B81" i="176"/>
  <c r="E81" i="176" s="1"/>
  <c r="C259" i="177" s="1"/>
  <c r="B82" i="176"/>
  <c r="E82" i="176" s="1"/>
  <c r="C260" i="177" s="1"/>
  <c r="B83" i="176"/>
  <c r="E83" i="176" s="1"/>
  <c r="C261" i="177" s="1"/>
  <c r="B84" i="176"/>
  <c r="E84" i="176" s="1"/>
  <c r="C262" i="177" s="1"/>
  <c r="B85" i="176"/>
  <c r="E85" i="176" s="1"/>
  <c r="C263" i="177" s="1"/>
  <c r="B11" i="176"/>
  <c r="E11" i="176" s="1"/>
  <c r="C189" i="177" s="1"/>
  <c r="B12" i="176"/>
  <c r="E12" i="176" s="1"/>
  <c r="C190" i="177" s="1"/>
  <c r="B13" i="176"/>
  <c r="E13" i="176" s="1"/>
  <c r="C191" i="177" s="1"/>
  <c r="B14" i="176"/>
  <c r="E14" i="176" s="1"/>
  <c r="C192" i="177" s="1"/>
  <c r="B15" i="176"/>
  <c r="E15" i="176" s="1"/>
  <c r="C193" i="177" s="1"/>
  <c r="B16" i="176"/>
  <c r="E16" i="176" s="1"/>
  <c r="C194" i="177" s="1"/>
  <c r="B17" i="176"/>
  <c r="E17" i="176" s="1"/>
  <c r="C195" i="177" s="1"/>
  <c r="B18" i="176"/>
  <c r="E18" i="176" s="1"/>
  <c r="C196" i="177" s="1"/>
  <c r="B19" i="176"/>
  <c r="E19" i="176" s="1"/>
  <c r="C197" i="177" s="1"/>
  <c r="B20" i="176"/>
  <c r="E20" i="176" s="1"/>
  <c r="C198" i="177" s="1"/>
  <c r="B21" i="176"/>
  <c r="E21" i="176" s="1"/>
  <c r="C199" i="177" s="1"/>
  <c r="B22" i="176"/>
  <c r="E22" i="176" s="1"/>
  <c r="C200" i="177" s="1"/>
  <c r="B23" i="176"/>
  <c r="E23" i="176" s="1"/>
  <c r="C201" i="177" s="1"/>
  <c r="B24" i="176"/>
  <c r="E24" i="176" s="1"/>
  <c r="C202" i="177" s="1"/>
  <c r="B25" i="176"/>
  <c r="E25" i="176" s="1"/>
  <c r="C203" i="177" s="1"/>
  <c r="B26" i="176"/>
  <c r="E26" i="176" s="1"/>
  <c r="C204" i="177" s="1"/>
  <c r="B27" i="176"/>
  <c r="E27" i="176" s="1"/>
  <c r="C205" i="177" s="1"/>
  <c r="B28" i="176"/>
  <c r="E28" i="176" s="1"/>
  <c r="C206" i="177" s="1"/>
  <c r="B29" i="176"/>
  <c r="E29" i="176" s="1"/>
  <c r="C207" i="177" s="1"/>
  <c r="B30" i="176"/>
  <c r="E30" i="176" s="1"/>
  <c r="C208" i="177" s="1"/>
  <c r="B31" i="176"/>
  <c r="E31" i="176" s="1"/>
  <c r="C209" i="177" s="1"/>
  <c r="B32" i="176"/>
  <c r="E32" i="176" s="1"/>
  <c r="C210" i="177" s="1"/>
  <c r="B33" i="176"/>
  <c r="E33" i="176" s="1"/>
  <c r="C211" i="177" s="1"/>
  <c r="B34" i="176"/>
  <c r="E34" i="176" s="1"/>
  <c r="C212" i="177" s="1"/>
  <c r="B35" i="176"/>
  <c r="E35" i="176" s="1"/>
  <c r="C213" i="177" s="1"/>
  <c r="B36" i="176"/>
  <c r="E36" i="176" s="1"/>
  <c r="C214" i="177" s="1"/>
  <c r="B37" i="176"/>
  <c r="E37" i="176" s="1"/>
  <c r="C215" i="177" s="1"/>
  <c r="B38" i="176"/>
  <c r="E38" i="176" s="1"/>
  <c r="C216" i="177" s="1"/>
  <c r="B39" i="176"/>
  <c r="E39" i="176" s="1"/>
  <c r="C217" i="177" s="1"/>
  <c r="B40" i="176"/>
  <c r="E40" i="176" s="1"/>
  <c r="C218" i="177" s="1"/>
  <c r="B41" i="176"/>
  <c r="E41" i="176" s="1"/>
  <c r="C219" i="177" s="1"/>
  <c r="B42" i="176"/>
  <c r="E42" i="176" s="1"/>
  <c r="C220" i="177" s="1"/>
  <c r="B43" i="176"/>
  <c r="E43" i="176" s="1"/>
  <c r="C221" i="177" s="1"/>
  <c r="B44" i="176"/>
  <c r="E44" i="176" s="1"/>
  <c r="C222" i="177" s="1"/>
  <c r="B45" i="176"/>
  <c r="E45" i="176" s="1"/>
  <c r="C223" i="177" s="1"/>
  <c r="B46" i="176"/>
  <c r="E46" i="176" s="1"/>
  <c r="C224" i="177" s="1"/>
  <c r="B47" i="176"/>
  <c r="E47" i="176" s="1"/>
  <c r="C225" i="177" s="1"/>
  <c r="B48" i="176"/>
  <c r="E48" i="176" s="1"/>
  <c r="C226" i="177" s="1"/>
  <c r="B49" i="176"/>
  <c r="E49" i="176" s="1"/>
  <c r="C227" i="177" s="1"/>
  <c r="B50" i="176"/>
  <c r="E50" i="176" s="1"/>
  <c r="C228" i="177" s="1"/>
  <c r="B51" i="176"/>
  <c r="E51" i="176" s="1"/>
  <c r="C229" i="177" s="1"/>
  <c r="B52" i="176"/>
  <c r="E52" i="176" s="1"/>
  <c r="C230" i="177" s="1"/>
  <c r="B53" i="176"/>
  <c r="E53" i="176" s="1"/>
  <c r="C231" i="177" s="1"/>
  <c r="B54" i="176"/>
  <c r="E54" i="176" s="1"/>
  <c r="C232" i="177" s="1"/>
  <c r="B55" i="176"/>
  <c r="E55" i="176" s="1"/>
  <c r="C233" i="177" s="1"/>
  <c r="B56" i="176"/>
  <c r="E56" i="176" s="1"/>
  <c r="C234" i="177" s="1"/>
  <c r="B57" i="176"/>
  <c r="E57" i="176" s="1"/>
  <c r="C235" i="177" s="1"/>
  <c r="B58" i="176"/>
  <c r="E58" i="176" s="1"/>
  <c r="C236" i="177" s="1"/>
  <c r="B59" i="176"/>
  <c r="E59" i="176" s="1"/>
  <c r="C237" i="177" s="1"/>
  <c r="B60" i="176"/>
  <c r="E60" i="176" s="1"/>
  <c r="C238" i="177" s="1"/>
  <c r="B11" i="152"/>
  <c r="B12" i="152"/>
  <c r="B13" i="152"/>
  <c r="B14" i="152"/>
  <c r="B15" i="152"/>
  <c r="B16" i="152"/>
  <c r="B17" i="152"/>
  <c r="B18" i="152"/>
  <c r="B19" i="152"/>
  <c r="B20" i="152"/>
  <c r="B21" i="152"/>
  <c r="B22" i="152"/>
  <c r="B23" i="152"/>
  <c r="B24" i="152"/>
  <c r="B25" i="152"/>
  <c r="B26" i="152"/>
  <c r="B27" i="152"/>
  <c r="B28" i="152"/>
  <c r="B29" i="152"/>
  <c r="B30" i="152"/>
  <c r="B31" i="152"/>
  <c r="B32" i="152"/>
  <c r="B33" i="152"/>
  <c r="B34" i="152"/>
  <c r="B35" i="152"/>
  <c r="B36" i="152"/>
  <c r="B37" i="152"/>
  <c r="B38" i="152"/>
  <c r="B39" i="152"/>
  <c r="B40" i="152"/>
  <c r="B41" i="152"/>
  <c r="B42" i="152"/>
  <c r="B43" i="152"/>
  <c r="B44" i="152"/>
  <c r="B45" i="152"/>
  <c r="B46" i="152"/>
  <c r="E46" i="152" s="1"/>
  <c r="C226" i="153" s="1"/>
  <c r="B47" i="152"/>
  <c r="B48" i="152"/>
  <c r="B49" i="152"/>
  <c r="E49" i="152" s="1"/>
  <c r="C229" i="153" s="1"/>
  <c r="B50" i="152"/>
  <c r="E50" i="152" s="1"/>
  <c r="C230" i="153" s="1"/>
  <c r="B51" i="152"/>
  <c r="B52" i="152"/>
  <c r="B53" i="152"/>
  <c r="B54" i="152"/>
  <c r="B55" i="152"/>
  <c r="B56" i="152"/>
  <c r="B57" i="152"/>
  <c r="B58" i="152"/>
  <c r="E58" i="152" s="1"/>
  <c r="C238" i="153" s="1"/>
  <c r="B59" i="152"/>
  <c r="B60" i="152"/>
  <c r="E60" i="152" s="1"/>
  <c r="C240" i="153" s="1"/>
  <c r="B61" i="152"/>
  <c r="E61" i="152" s="1"/>
  <c r="C241" i="153" s="1"/>
  <c r="B62" i="152"/>
  <c r="E62" i="152" s="1"/>
  <c r="C242" i="153" s="1"/>
  <c r="B63" i="152"/>
  <c r="B64" i="152"/>
  <c r="E64" i="152" s="1"/>
  <c r="C244" i="153" s="1"/>
  <c r="B65" i="152"/>
  <c r="E65" i="152" s="1"/>
  <c r="C245" i="153" s="1"/>
  <c r="B66" i="152"/>
  <c r="E66" i="152" s="1"/>
  <c r="C246" i="153" s="1"/>
  <c r="B67" i="152"/>
  <c r="B68" i="152"/>
  <c r="B69" i="152"/>
  <c r="B70" i="152"/>
  <c r="B71" i="152"/>
  <c r="B72" i="152"/>
  <c r="B73" i="152"/>
  <c r="E73" i="152" s="1"/>
  <c r="C253" i="153" s="1"/>
  <c r="B74" i="152"/>
  <c r="E74" i="152" s="1"/>
  <c r="C254" i="153" s="1"/>
  <c r="B75" i="152"/>
  <c r="B76" i="152"/>
  <c r="B77" i="152"/>
  <c r="B78" i="152"/>
  <c r="B79" i="152"/>
  <c r="B80" i="152"/>
  <c r="B81" i="152"/>
  <c r="E81" i="152" s="1"/>
  <c r="C261" i="153" s="1"/>
  <c r="B82" i="152"/>
  <c r="E82" i="152" s="1"/>
  <c r="C262" i="153" s="1"/>
  <c r="B83" i="152"/>
  <c r="B84" i="152"/>
  <c r="B85" i="152"/>
  <c r="B86" i="152"/>
  <c r="L48" i="175"/>
  <c r="C136" i="177" s="1"/>
  <c r="L49" i="175"/>
  <c r="C137" i="177" s="1"/>
  <c r="L85" i="175"/>
  <c r="C173" i="177" s="1"/>
  <c r="L86" i="175"/>
  <c r="L87" i="175"/>
  <c r="C175" i="177" s="1"/>
  <c r="L88" i="175"/>
  <c r="C176" i="177" s="1"/>
  <c r="L89" i="175"/>
  <c r="J52" i="175"/>
  <c r="C52" i="177" s="1"/>
  <c r="J53" i="175"/>
  <c r="C53" i="177" s="1"/>
  <c r="J54" i="175"/>
  <c r="C54" i="177" s="1"/>
  <c r="J55" i="175"/>
  <c r="C55" i="177" s="1"/>
  <c r="J56" i="175"/>
  <c r="C56" i="177" s="1"/>
  <c r="J57" i="175"/>
  <c r="C57" i="177" s="1"/>
  <c r="J58" i="175"/>
  <c r="L58" i="175" s="1"/>
  <c r="C146" i="177" s="1"/>
  <c r="J59" i="175"/>
  <c r="C59" i="177" s="1"/>
  <c r="J60" i="175"/>
  <c r="C60" i="177" s="1"/>
  <c r="J61" i="175"/>
  <c r="L61" i="175" s="1"/>
  <c r="C149" i="177" s="1"/>
  <c r="J62" i="175"/>
  <c r="C62" i="177" s="1"/>
  <c r="J63" i="175"/>
  <c r="C63" i="177" s="1"/>
  <c r="J64" i="175"/>
  <c r="C64" i="177" s="1"/>
  <c r="J65" i="175"/>
  <c r="C65" i="177" s="1"/>
  <c r="J66" i="175"/>
  <c r="L66" i="175" s="1"/>
  <c r="C154" i="177" s="1"/>
  <c r="J67" i="175"/>
  <c r="L67" i="175" s="1"/>
  <c r="C155" i="177" s="1"/>
  <c r="J68" i="175"/>
  <c r="C68" i="177" s="1"/>
  <c r="J69" i="175"/>
  <c r="C69" i="177" s="1"/>
  <c r="J70" i="175"/>
  <c r="L70" i="175" s="1"/>
  <c r="C158" i="177" s="1"/>
  <c r="J71" i="175"/>
  <c r="L71" i="175" s="1"/>
  <c r="C159" i="177" s="1"/>
  <c r="J72" i="175"/>
  <c r="C72" i="177" s="1"/>
  <c r="J73" i="175"/>
  <c r="C73" i="177" s="1"/>
  <c r="J74" i="175"/>
  <c r="C74" i="177" s="1"/>
  <c r="J75" i="175"/>
  <c r="L75" i="175" s="1"/>
  <c r="C163" i="177" s="1"/>
  <c r="J76" i="175"/>
  <c r="L76" i="175" s="1"/>
  <c r="C164" i="177" s="1"/>
  <c r="J77" i="175"/>
  <c r="L77" i="175" s="1"/>
  <c r="C165" i="177" s="1"/>
  <c r="J78" i="175"/>
  <c r="C78" i="177" s="1"/>
  <c r="J79" i="175"/>
  <c r="C79" i="177" s="1"/>
  <c r="J80" i="175"/>
  <c r="L80" i="175" s="1"/>
  <c r="C168" i="177" s="1"/>
  <c r="J81" i="175"/>
  <c r="C81" i="177" s="1"/>
  <c r="J82" i="175"/>
  <c r="C82" i="177" s="1"/>
  <c r="J83" i="175"/>
  <c r="C83" i="177" s="1"/>
  <c r="J84" i="175"/>
  <c r="C84" i="177" s="1"/>
  <c r="J85" i="175"/>
  <c r="J86" i="175"/>
  <c r="J87" i="175"/>
  <c r="J88" i="175"/>
  <c r="J10" i="175"/>
  <c r="C10" i="177" s="1"/>
  <c r="J11" i="175"/>
  <c r="C11" i="177" s="1"/>
  <c r="J12" i="175"/>
  <c r="C12" i="177" s="1"/>
  <c r="J13" i="175"/>
  <c r="C13" i="177" s="1"/>
  <c r="J14" i="175"/>
  <c r="C14" i="177" s="1"/>
  <c r="J15" i="175"/>
  <c r="C15" i="177" s="1"/>
  <c r="J16" i="175"/>
  <c r="C16" i="177" s="1"/>
  <c r="J17" i="175"/>
  <c r="C17" i="177" s="1"/>
  <c r="J18" i="175"/>
  <c r="L18" i="175" s="1"/>
  <c r="C106" i="177" s="1"/>
  <c r="J19" i="175"/>
  <c r="C19" i="177" s="1"/>
  <c r="J20" i="175"/>
  <c r="C20" i="177" s="1"/>
  <c r="J21" i="175"/>
  <c r="C21" i="177" s="1"/>
  <c r="J22" i="175"/>
  <c r="C22" i="177" s="1"/>
  <c r="J23" i="175"/>
  <c r="C23" i="177" s="1"/>
  <c r="J24" i="175"/>
  <c r="C24" i="177" s="1"/>
  <c r="J25" i="175"/>
  <c r="C25" i="177" s="1"/>
  <c r="J26" i="175"/>
  <c r="L26" i="175" s="1"/>
  <c r="C114" i="177" s="1"/>
  <c r="J27" i="175"/>
  <c r="C27" i="177" s="1"/>
  <c r="J28" i="175"/>
  <c r="C28" i="177" s="1"/>
  <c r="J29" i="175"/>
  <c r="C29" i="177" s="1"/>
  <c r="J30" i="175"/>
  <c r="C30" i="177" s="1"/>
  <c r="J31" i="175"/>
  <c r="C31" i="177" s="1"/>
  <c r="J32" i="175"/>
  <c r="C32" i="177" s="1"/>
  <c r="J33" i="175"/>
  <c r="C33" i="177" s="1"/>
  <c r="J34" i="175"/>
  <c r="L34" i="175" s="1"/>
  <c r="C122" i="177" s="1"/>
  <c r="J35" i="175"/>
  <c r="C35" i="177" s="1"/>
  <c r="J36" i="175"/>
  <c r="C36" i="177" s="1"/>
  <c r="J37" i="175"/>
  <c r="C37" i="177" s="1"/>
  <c r="J38" i="175"/>
  <c r="C38" i="177" s="1"/>
  <c r="J39" i="175"/>
  <c r="C39" i="177" s="1"/>
  <c r="J40" i="175"/>
  <c r="C40" i="177" s="1"/>
  <c r="J41" i="175"/>
  <c r="L41" i="175" s="1"/>
  <c r="C129" i="177" s="1"/>
  <c r="J42" i="175"/>
  <c r="L42" i="175" s="1"/>
  <c r="C130" i="177" s="1"/>
  <c r="J43" i="175"/>
  <c r="C43" i="177" s="1"/>
  <c r="J44" i="175"/>
  <c r="C44" i="177" s="1"/>
  <c r="J45" i="175"/>
  <c r="C45" i="177" s="1"/>
  <c r="J46" i="175"/>
  <c r="C46" i="177" s="1"/>
  <c r="J47" i="175"/>
  <c r="C47" i="177" s="1"/>
  <c r="J48" i="175"/>
  <c r="C48" i="177" s="1"/>
  <c r="J49" i="175"/>
  <c r="J50" i="175"/>
  <c r="L50" i="175" s="1"/>
  <c r="C138" i="177" s="1"/>
  <c r="J51" i="175"/>
  <c r="C51" i="177" s="1"/>
  <c r="C247" i="153"/>
  <c r="C248" i="153"/>
  <c r="C252" i="153"/>
  <c r="C255" i="153"/>
  <c r="C256" i="153"/>
  <c r="C260" i="153"/>
  <c r="C263" i="153"/>
  <c r="C264" i="153"/>
  <c r="C232" i="153"/>
  <c r="C233" i="153"/>
  <c r="E67" i="152"/>
  <c r="E68" i="152"/>
  <c r="E69" i="152"/>
  <c r="C249" i="153" s="1"/>
  <c r="E70" i="152"/>
  <c r="C250" i="153" s="1"/>
  <c r="E71" i="152"/>
  <c r="C251" i="153" s="1"/>
  <c r="E72" i="152"/>
  <c r="E75" i="152"/>
  <c r="E76" i="152"/>
  <c r="E77" i="152"/>
  <c r="C257" i="153" s="1"/>
  <c r="E78" i="152"/>
  <c r="C258" i="153" s="1"/>
  <c r="E79" i="152"/>
  <c r="C259" i="153" s="1"/>
  <c r="E80" i="152"/>
  <c r="E83" i="152"/>
  <c r="E84" i="152"/>
  <c r="E85" i="152"/>
  <c r="C265" i="153" s="1"/>
  <c r="E86" i="152"/>
  <c r="C266" i="153" s="1"/>
  <c r="E87" i="152"/>
  <c r="C267" i="153" s="1"/>
  <c r="E88" i="152"/>
  <c r="C268" i="153" s="1"/>
  <c r="E89" i="152"/>
  <c r="C269" i="153" s="1"/>
  <c r="E90" i="152"/>
  <c r="E54" i="152"/>
  <c r="C234" i="153" s="1"/>
  <c r="E57" i="152"/>
  <c r="C237" i="153" s="1"/>
  <c r="C179" i="177"/>
  <c r="C178" i="177"/>
  <c r="C2" i="177"/>
  <c r="C1" i="177"/>
  <c r="B10" i="176"/>
  <c r="E10" i="176" s="1"/>
  <c r="C188" i="177" s="1"/>
  <c r="E9" i="176"/>
  <c r="C187" i="177" s="1"/>
  <c r="B9" i="176"/>
  <c r="C7" i="176" s="1"/>
  <c r="E7" i="176" s="1"/>
  <c r="C184" i="177" s="1"/>
  <c r="E8" i="176"/>
  <c r="C185" i="177" s="1"/>
  <c r="E6" i="176"/>
  <c r="C183" i="177" s="1"/>
  <c r="E5" i="176"/>
  <c r="C182" i="177" s="1"/>
  <c r="C4" i="176"/>
  <c r="E4" i="176" s="1"/>
  <c r="C181" i="177" s="1"/>
  <c r="E3" i="176"/>
  <c r="C180" i="177" s="1"/>
  <c r="J89" i="175"/>
  <c r="J9" i="175"/>
  <c r="C9" i="177" s="1"/>
  <c r="J8" i="175"/>
  <c r="C8" i="177" s="1"/>
  <c r="J7" i="175"/>
  <c r="C7" i="177" s="1"/>
  <c r="J6" i="175"/>
  <c r="C6" i="177" s="1"/>
  <c r="J5" i="175"/>
  <c r="C5" i="177" s="1"/>
  <c r="J4" i="175"/>
  <c r="C4" i="177" s="1"/>
  <c r="L3" i="175"/>
  <c r="J3" i="175"/>
  <c r="C3" i="177" s="1"/>
  <c r="E63" i="152"/>
  <c r="C243" i="153" s="1"/>
  <c r="E55" i="152"/>
  <c r="C235" i="153" s="1"/>
  <c r="E56" i="152"/>
  <c r="C236" i="153" s="1"/>
  <c r="E59" i="152"/>
  <c r="C239" i="153" s="1"/>
  <c r="E47" i="152"/>
  <c r="C227" i="153" s="1"/>
  <c r="E48" i="152"/>
  <c r="C228" i="153" s="1"/>
  <c r="E51" i="152"/>
  <c r="C231" i="153" s="1"/>
  <c r="E52" i="152"/>
  <c r="E53" i="152"/>
  <c r="E3" i="169"/>
  <c r="E4" i="169"/>
  <c r="E5" i="169"/>
  <c r="E6" i="169"/>
  <c r="E7" i="169"/>
  <c r="E8" i="169"/>
  <c r="E9" i="169"/>
  <c r="E10" i="169"/>
  <c r="E11" i="169"/>
  <c r="E12" i="169"/>
  <c r="E13" i="169"/>
  <c r="E14" i="169"/>
  <c r="E15" i="169"/>
  <c r="E16" i="169"/>
  <c r="E17" i="169"/>
  <c r="E18" i="169"/>
  <c r="E19" i="169"/>
  <c r="E20" i="169"/>
  <c r="E21" i="169"/>
  <c r="E22" i="169"/>
  <c r="E23" i="169"/>
  <c r="E24" i="169"/>
  <c r="E25" i="169"/>
  <c r="E26" i="169"/>
  <c r="E27" i="169"/>
  <c r="E28" i="169"/>
  <c r="E29" i="169"/>
  <c r="E30" i="169"/>
  <c r="E31" i="169"/>
  <c r="E32" i="169"/>
  <c r="E33" i="169"/>
  <c r="E34" i="169"/>
  <c r="E35" i="169"/>
  <c r="E36" i="169"/>
  <c r="E37" i="169"/>
  <c r="E38" i="169"/>
  <c r="E39" i="169"/>
  <c r="E40" i="169"/>
  <c r="E41" i="169"/>
  <c r="E42" i="169"/>
  <c r="E43" i="169"/>
  <c r="E44" i="169"/>
  <c r="E45" i="169"/>
  <c r="E46" i="169"/>
  <c r="E47" i="169"/>
  <c r="E48" i="169"/>
  <c r="E49" i="169"/>
  <c r="E50" i="169"/>
  <c r="E51" i="169"/>
  <c r="E52" i="169"/>
  <c r="E53" i="169"/>
  <c r="E54" i="169"/>
  <c r="E55" i="169"/>
  <c r="E56" i="169"/>
  <c r="E57" i="169"/>
  <c r="E58" i="169"/>
  <c r="E59" i="169"/>
  <c r="E60" i="169"/>
  <c r="E61" i="169"/>
  <c r="E62" i="169"/>
  <c r="E63" i="169"/>
  <c r="E64" i="169"/>
  <c r="E65" i="169"/>
  <c r="E66" i="169"/>
  <c r="E67" i="169"/>
  <c r="E68" i="169"/>
  <c r="E69" i="169"/>
  <c r="E70" i="169"/>
  <c r="E71" i="169"/>
  <c r="E72" i="169"/>
  <c r="E73" i="169"/>
  <c r="E74" i="169"/>
  <c r="E75" i="169"/>
  <c r="E76" i="169"/>
  <c r="E77" i="169"/>
  <c r="E78" i="169"/>
  <c r="E79" i="169"/>
  <c r="E80" i="169"/>
  <c r="E81" i="169"/>
  <c r="E82" i="169"/>
  <c r="E83" i="169"/>
  <c r="E84" i="169"/>
  <c r="E85" i="169"/>
  <c r="E86" i="169"/>
  <c r="E87" i="169"/>
  <c r="E88" i="169"/>
  <c r="E89" i="169"/>
  <c r="E90" i="169"/>
  <c r="E91" i="169"/>
  <c r="E92" i="169"/>
  <c r="E93" i="169"/>
  <c r="E94" i="169"/>
  <c r="E95" i="169"/>
  <c r="E96" i="169"/>
  <c r="E97" i="169"/>
  <c r="E98" i="169"/>
  <c r="E99" i="169"/>
  <c r="E100" i="169"/>
  <c r="E101" i="169"/>
  <c r="E102" i="169"/>
  <c r="E103" i="169"/>
  <c r="E104" i="169"/>
  <c r="E105" i="169"/>
  <c r="E106" i="169"/>
  <c r="E107" i="169"/>
  <c r="E108" i="169"/>
  <c r="E109" i="169"/>
  <c r="E110" i="169"/>
  <c r="E111" i="169"/>
  <c r="E112" i="169"/>
  <c r="E113" i="169"/>
  <c r="E114" i="169"/>
  <c r="E115" i="169"/>
  <c r="E116" i="169"/>
  <c r="E117" i="169"/>
  <c r="E118" i="169"/>
  <c r="E119" i="169"/>
  <c r="E120" i="169"/>
  <c r="E121" i="169"/>
  <c r="E122" i="169"/>
  <c r="E123" i="169"/>
  <c r="E124" i="169"/>
  <c r="E125" i="169"/>
  <c r="E126" i="169"/>
  <c r="E127" i="169"/>
  <c r="E128" i="169"/>
  <c r="E129" i="169"/>
  <c r="E130" i="169"/>
  <c r="E131" i="169"/>
  <c r="E132" i="169"/>
  <c r="E133" i="169"/>
  <c r="E134" i="169"/>
  <c r="E135" i="169"/>
  <c r="E136" i="169"/>
  <c r="E137" i="169"/>
  <c r="E138" i="169"/>
  <c r="E139" i="169"/>
  <c r="E140" i="169"/>
  <c r="E141" i="169"/>
  <c r="E142" i="169"/>
  <c r="E143" i="169"/>
  <c r="E144" i="169"/>
  <c r="E145" i="169"/>
  <c r="E146" i="169"/>
  <c r="E147" i="169"/>
  <c r="E148" i="169"/>
  <c r="E149" i="169"/>
  <c r="E150" i="169"/>
  <c r="E151" i="169"/>
  <c r="E152" i="169"/>
  <c r="E153" i="169"/>
  <c r="E154" i="169"/>
  <c r="E155" i="169"/>
  <c r="E156" i="169"/>
  <c r="E157" i="169"/>
  <c r="E158" i="169"/>
  <c r="E159" i="169"/>
  <c r="E160" i="169"/>
  <c r="E161" i="169"/>
  <c r="E162" i="169"/>
  <c r="E163" i="169"/>
  <c r="E164" i="169"/>
  <c r="E165" i="169"/>
  <c r="E166" i="169"/>
  <c r="E167" i="169"/>
  <c r="E168" i="169"/>
  <c r="E169" i="169"/>
  <c r="E170" i="169"/>
  <c r="E171" i="169"/>
  <c r="E172" i="169"/>
  <c r="E173" i="169"/>
  <c r="E174" i="169"/>
  <c r="E175" i="169"/>
  <c r="E176" i="169"/>
  <c r="E177" i="169"/>
  <c r="E178" i="169"/>
  <c r="E179" i="169"/>
  <c r="E180" i="169"/>
  <c r="E181" i="169"/>
  <c r="E182" i="169"/>
  <c r="E183" i="169"/>
  <c r="E184" i="169"/>
  <c r="E185" i="169"/>
  <c r="E186" i="169"/>
  <c r="E187" i="169"/>
  <c r="E188" i="169"/>
  <c r="E189" i="169"/>
  <c r="E190" i="169"/>
  <c r="E191" i="169"/>
  <c r="E192" i="169"/>
  <c r="E193" i="169"/>
  <c r="E194" i="169"/>
  <c r="E195" i="169"/>
  <c r="E196" i="169"/>
  <c r="E197" i="169"/>
  <c r="E198" i="169"/>
  <c r="E199" i="169"/>
  <c r="E200" i="169"/>
  <c r="E201" i="169"/>
  <c r="E202" i="169"/>
  <c r="E203" i="169"/>
  <c r="E204" i="169"/>
  <c r="E205" i="169"/>
  <c r="E206" i="169"/>
  <c r="E207" i="169"/>
  <c r="E208" i="169"/>
  <c r="E209" i="169"/>
  <c r="E210" i="169"/>
  <c r="E211" i="169"/>
  <c r="E212" i="169"/>
  <c r="E213" i="169"/>
  <c r="E214" i="169"/>
  <c r="E215" i="169"/>
  <c r="E216" i="169"/>
  <c r="E217" i="169"/>
  <c r="E218" i="169"/>
  <c r="E219" i="169"/>
  <c r="E220" i="169"/>
  <c r="E221" i="169"/>
  <c r="E222" i="169"/>
  <c r="E223" i="169"/>
  <c r="E224" i="169"/>
  <c r="E225" i="169"/>
  <c r="E226" i="169"/>
  <c r="E227" i="169"/>
  <c r="E228" i="169"/>
  <c r="E229" i="169"/>
  <c r="E230" i="169"/>
  <c r="E231" i="169"/>
  <c r="E232" i="169"/>
  <c r="E233" i="169"/>
  <c r="E234" i="169"/>
  <c r="E235" i="169"/>
  <c r="E236" i="169"/>
  <c r="E237" i="169"/>
  <c r="E238" i="169"/>
  <c r="E239" i="169"/>
  <c r="E240" i="169"/>
  <c r="E241" i="169"/>
  <c r="E242" i="169"/>
  <c r="E243" i="169"/>
  <c r="E244" i="169"/>
  <c r="E245" i="169"/>
  <c r="E246" i="169"/>
  <c r="E247" i="169"/>
  <c r="E248" i="169"/>
  <c r="E249" i="169"/>
  <c r="E250" i="169"/>
  <c r="E251" i="169"/>
  <c r="E252" i="169"/>
  <c r="E253" i="169"/>
  <c r="E254" i="169"/>
  <c r="E255" i="169"/>
  <c r="E256" i="169"/>
  <c r="E257" i="169"/>
  <c r="E258" i="169"/>
  <c r="E259" i="169"/>
  <c r="E260" i="169"/>
  <c r="E261" i="169"/>
  <c r="E262" i="169"/>
  <c r="E263" i="169"/>
  <c r="E264" i="169"/>
  <c r="E265" i="169"/>
  <c r="E266" i="169"/>
  <c r="E267" i="169"/>
  <c r="E268" i="169"/>
  <c r="E269" i="169"/>
  <c r="E270" i="169"/>
  <c r="E271" i="169"/>
  <c r="E272" i="169"/>
  <c r="E273" i="169"/>
  <c r="E274" i="169"/>
  <c r="E275" i="169"/>
  <c r="E276" i="169"/>
  <c r="E277" i="169"/>
  <c r="E278" i="169"/>
  <c r="E279" i="169"/>
  <c r="E280" i="169"/>
  <c r="E281" i="169"/>
  <c r="E282" i="169"/>
  <c r="E283" i="169"/>
  <c r="E284" i="169"/>
  <c r="E285" i="169"/>
  <c r="E286" i="169"/>
  <c r="E287" i="169"/>
  <c r="E288" i="169"/>
  <c r="E289" i="169"/>
  <c r="E290" i="169"/>
  <c r="E291" i="169"/>
  <c r="E292" i="169"/>
  <c r="E293" i="169"/>
  <c r="E294" i="169"/>
  <c r="E295" i="169"/>
  <c r="E296" i="169"/>
  <c r="E297" i="169"/>
  <c r="E298" i="169"/>
  <c r="E299" i="169"/>
  <c r="E300" i="169"/>
  <c r="E301" i="169"/>
  <c r="E302" i="169"/>
  <c r="E303" i="169"/>
  <c r="E304" i="169"/>
  <c r="E305" i="169"/>
  <c r="E306" i="169"/>
  <c r="E307" i="169"/>
  <c r="E308" i="169"/>
  <c r="E309" i="169"/>
  <c r="E310" i="169"/>
  <c r="E311" i="169"/>
  <c r="E312" i="169"/>
  <c r="E313" i="169"/>
  <c r="E314" i="169"/>
  <c r="E315" i="169"/>
  <c r="E316" i="169"/>
  <c r="E317" i="169"/>
  <c r="E318" i="169"/>
  <c r="E319" i="169"/>
  <c r="E320" i="169"/>
  <c r="E321" i="169"/>
  <c r="E322" i="169"/>
  <c r="E323" i="169"/>
  <c r="E324" i="169"/>
  <c r="E325" i="169"/>
  <c r="E326" i="169"/>
  <c r="E327" i="169"/>
  <c r="E328" i="169"/>
  <c r="E329" i="169"/>
  <c r="E330" i="169"/>
  <c r="E331" i="169"/>
  <c r="E332" i="169"/>
  <c r="E333" i="169"/>
  <c r="E334" i="169"/>
  <c r="E335" i="169"/>
  <c r="E336" i="169"/>
  <c r="E337" i="169"/>
  <c r="E338" i="169"/>
  <c r="E339" i="169"/>
  <c r="E340" i="169"/>
  <c r="E341" i="169"/>
  <c r="E342" i="169"/>
  <c r="E343" i="169"/>
  <c r="E344" i="169"/>
  <c r="E345" i="169"/>
  <c r="E346" i="169"/>
  <c r="E347" i="169"/>
  <c r="E348" i="169"/>
  <c r="E349" i="169"/>
  <c r="E350" i="169"/>
  <c r="E351" i="169"/>
  <c r="E352" i="169"/>
  <c r="E353" i="169"/>
  <c r="E354" i="169"/>
  <c r="E355" i="169"/>
  <c r="E356" i="169"/>
  <c r="E357" i="169"/>
  <c r="E358" i="169"/>
  <c r="E359" i="169"/>
  <c r="E360" i="169"/>
  <c r="E361" i="169"/>
  <c r="E362" i="169"/>
  <c r="E363" i="169"/>
  <c r="E364" i="169"/>
  <c r="E365" i="169"/>
  <c r="E366" i="169"/>
  <c r="E367" i="169"/>
  <c r="E368" i="169"/>
  <c r="E369" i="169"/>
  <c r="E370" i="169"/>
  <c r="E371" i="169"/>
  <c r="E372" i="169"/>
  <c r="E373" i="169"/>
  <c r="E374" i="169"/>
  <c r="E375" i="169"/>
  <c r="E376" i="169"/>
  <c r="E377" i="169"/>
  <c r="E378" i="169"/>
  <c r="E379" i="169"/>
  <c r="E380" i="169"/>
  <c r="E381" i="169"/>
  <c r="E382" i="169"/>
  <c r="E383" i="169"/>
  <c r="E384" i="169"/>
  <c r="E385" i="169"/>
  <c r="E386" i="169"/>
  <c r="E387" i="169"/>
  <c r="E388" i="169"/>
  <c r="E389" i="169"/>
  <c r="E390" i="169"/>
  <c r="E391" i="169"/>
  <c r="E392" i="169"/>
  <c r="E393" i="169"/>
  <c r="E394" i="169"/>
  <c r="E395" i="169"/>
  <c r="E396" i="169"/>
  <c r="E397" i="169"/>
  <c r="E398" i="169"/>
  <c r="E399" i="169"/>
  <c r="E400" i="169"/>
  <c r="E401" i="169"/>
  <c r="E402" i="169"/>
  <c r="E403" i="169"/>
  <c r="E404" i="169"/>
  <c r="E405" i="169"/>
  <c r="E406" i="169"/>
  <c r="E407" i="169"/>
  <c r="E408" i="169"/>
  <c r="E409" i="169"/>
  <c r="E410" i="169"/>
  <c r="E411" i="169"/>
  <c r="E412" i="169"/>
  <c r="E413" i="169"/>
  <c r="E414" i="169"/>
  <c r="E415" i="169"/>
  <c r="E416" i="169"/>
  <c r="E417" i="169"/>
  <c r="E418" i="169"/>
  <c r="E419" i="169"/>
  <c r="E420" i="169"/>
  <c r="E421" i="169"/>
  <c r="E422" i="169"/>
  <c r="E423" i="169"/>
  <c r="E424" i="169"/>
  <c r="E425" i="169"/>
  <c r="E426" i="169"/>
  <c r="E427" i="169"/>
  <c r="E428" i="169"/>
  <c r="E429" i="169"/>
  <c r="E430" i="169"/>
  <c r="E431" i="169"/>
  <c r="E432" i="169"/>
  <c r="E433" i="169"/>
  <c r="E434" i="169"/>
  <c r="E435" i="169"/>
  <c r="E436" i="169"/>
  <c r="E437" i="169"/>
  <c r="E438" i="169"/>
  <c r="E439" i="169"/>
  <c r="E440" i="169"/>
  <c r="E441" i="169"/>
  <c r="E442" i="169"/>
  <c r="E443" i="169"/>
  <c r="E444" i="169"/>
  <c r="E445" i="169"/>
  <c r="E446" i="169"/>
  <c r="E447" i="169"/>
  <c r="E448" i="169"/>
  <c r="E2" i="169"/>
  <c r="F3" i="169"/>
  <c r="F4" i="169"/>
  <c r="F5" i="169"/>
  <c r="F6" i="169"/>
  <c r="F7" i="169"/>
  <c r="F8" i="169"/>
  <c r="F9" i="169"/>
  <c r="F10" i="169"/>
  <c r="F11" i="169"/>
  <c r="F13" i="169"/>
  <c r="F14" i="169"/>
  <c r="F15" i="169"/>
  <c r="F16" i="169"/>
  <c r="F17" i="169"/>
  <c r="F18" i="169"/>
  <c r="F19" i="169"/>
  <c r="F20" i="169"/>
  <c r="F21" i="169"/>
  <c r="F22" i="169"/>
  <c r="F24" i="169"/>
  <c r="F25" i="169"/>
  <c r="F26" i="169"/>
  <c r="F27" i="169"/>
  <c r="F28" i="169"/>
  <c r="F29" i="169"/>
  <c r="F30" i="169"/>
  <c r="F31" i="169"/>
  <c r="F32" i="169"/>
  <c r="F33" i="169"/>
  <c r="F34" i="169"/>
  <c r="F35" i="169"/>
  <c r="F36" i="169"/>
  <c r="F37" i="169"/>
  <c r="F38" i="169"/>
  <c r="F39" i="169"/>
  <c r="F40" i="169"/>
  <c r="F41" i="169"/>
  <c r="F42" i="169"/>
  <c r="F43" i="169"/>
  <c r="F44" i="169"/>
  <c r="F45" i="169"/>
  <c r="F46" i="169"/>
  <c r="F47" i="169"/>
  <c r="F48" i="169"/>
  <c r="F49" i="169"/>
  <c r="F50" i="169"/>
  <c r="F51" i="169"/>
  <c r="F52" i="169"/>
  <c r="F53" i="169"/>
  <c r="F54" i="169"/>
  <c r="F55" i="169"/>
  <c r="F56" i="169"/>
  <c r="F57" i="169"/>
  <c r="F58" i="169"/>
  <c r="F59" i="169"/>
  <c r="F60" i="169"/>
  <c r="F61" i="169"/>
  <c r="F62" i="169"/>
  <c r="F63" i="169"/>
  <c r="F64" i="169"/>
  <c r="F65" i="169"/>
  <c r="F66" i="169"/>
  <c r="F67" i="169"/>
  <c r="F68" i="169"/>
  <c r="F69" i="169"/>
  <c r="F70" i="169"/>
  <c r="F71" i="169"/>
  <c r="F72" i="169"/>
  <c r="F73" i="169"/>
  <c r="F74" i="169"/>
  <c r="F75" i="169"/>
  <c r="F76" i="169"/>
  <c r="F77" i="169"/>
  <c r="F78" i="169"/>
  <c r="F79" i="169"/>
  <c r="F80" i="169"/>
  <c r="F81" i="169"/>
  <c r="F82" i="169"/>
  <c r="F83" i="169"/>
  <c r="F84" i="169"/>
  <c r="F85" i="169"/>
  <c r="F86" i="169"/>
  <c r="F87" i="169"/>
  <c r="F88" i="169"/>
  <c r="F89" i="169"/>
  <c r="F90" i="169"/>
  <c r="F91" i="169"/>
  <c r="F92" i="169"/>
  <c r="F93" i="169"/>
  <c r="F94" i="169"/>
  <c r="F95" i="169"/>
  <c r="F96" i="169"/>
  <c r="F97" i="169"/>
  <c r="F98" i="169"/>
  <c r="F99" i="169"/>
  <c r="F100" i="169"/>
  <c r="F101" i="169"/>
  <c r="F102" i="169"/>
  <c r="F103" i="169"/>
  <c r="F104" i="169"/>
  <c r="F105" i="169"/>
  <c r="F106" i="169"/>
  <c r="F107" i="169"/>
  <c r="F108" i="169"/>
  <c r="F109" i="169"/>
  <c r="F110" i="169"/>
  <c r="F111" i="169"/>
  <c r="F112" i="169"/>
  <c r="F113" i="169"/>
  <c r="F114" i="169"/>
  <c r="F115" i="169"/>
  <c r="F116" i="169"/>
  <c r="F117" i="169"/>
  <c r="F118" i="169"/>
  <c r="F119" i="169"/>
  <c r="F120" i="169"/>
  <c r="F121" i="169"/>
  <c r="F122" i="169"/>
  <c r="F123" i="169"/>
  <c r="F124" i="169"/>
  <c r="F125" i="169"/>
  <c r="F126" i="169"/>
  <c r="F127" i="169"/>
  <c r="F128" i="169"/>
  <c r="F129" i="169"/>
  <c r="F130" i="169"/>
  <c r="F131" i="169"/>
  <c r="F132" i="169"/>
  <c r="F133" i="169"/>
  <c r="F134" i="169"/>
  <c r="F135" i="169"/>
  <c r="F136" i="169"/>
  <c r="F137" i="169"/>
  <c r="F138" i="169"/>
  <c r="F139" i="169"/>
  <c r="F140" i="169"/>
  <c r="F141" i="169"/>
  <c r="F142" i="169"/>
  <c r="F143" i="169"/>
  <c r="F144" i="169"/>
  <c r="F145" i="169"/>
  <c r="F146" i="169"/>
  <c r="F147" i="169"/>
  <c r="F148" i="169"/>
  <c r="F149" i="169"/>
  <c r="F150" i="169"/>
  <c r="F151" i="169"/>
  <c r="F152" i="169"/>
  <c r="F153" i="169"/>
  <c r="F154" i="169"/>
  <c r="F155" i="169"/>
  <c r="F156" i="169"/>
  <c r="F157" i="169"/>
  <c r="F158" i="169"/>
  <c r="F159" i="169"/>
  <c r="F160" i="169"/>
  <c r="F161" i="169"/>
  <c r="F162" i="169"/>
  <c r="F163" i="169"/>
  <c r="F164" i="169"/>
  <c r="F165" i="169"/>
  <c r="F166" i="169"/>
  <c r="F167" i="169"/>
  <c r="F168" i="169"/>
  <c r="F169" i="169"/>
  <c r="F170" i="169"/>
  <c r="F171" i="169"/>
  <c r="F172" i="169"/>
  <c r="F173" i="169"/>
  <c r="F174" i="169"/>
  <c r="F175" i="169"/>
  <c r="F176" i="169"/>
  <c r="F177" i="169"/>
  <c r="F178" i="169"/>
  <c r="F179" i="169"/>
  <c r="F180" i="169"/>
  <c r="F181" i="169"/>
  <c r="F182" i="169"/>
  <c r="F183" i="169"/>
  <c r="F184" i="169"/>
  <c r="F185" i="169"/>
  <c r="F186" i="169"/>
  <c r="F187" i="169"/>
  <c r="F188" i="169"/>
  <c r="F189" i="169"/>
  <c r="F190" i="169"/>
  <c r="F191" i="169"/>
  <c r="F192" i="169"/>
  <c r="F193" i="169"/>
  <c r="F194" i="169"/>
  <c r="F195" i="169"/>
  <c r="F196" i="169"/>
  <c r="F197" i="169"/>
  <c r="F198" i="169"/>
  <c r="F199" i="169"/>
  <c r="F200" i="169"/>
  <c r="F201" i="169"/>
  <c r="F202" i="169"/>
  <c r="F203" i="169"/>
  <c r="F204" i="169"/>
  <c r="F205" i="169"/>
  <c r="F206" i="169"/>
  <c r="F207" i="169"/>
  <c r="F208" i="169"/>
  <c r="F209" i="169"/>
  <c r="F210" i="169"/>
  <c r="F211" i="169"/>
  <c r="F212" i="169"/>
  <c r="F213" i="169"/>
  <c r="F214" i="169"/>
  <c r="F215" i="169"/>
  <c r="F216" i="169"/>
  <c r="F217" i="169"/>
  <c r="F218" i="169"/>
  <c r="F219" i="169"/>
  <c r="F220" i="169"/>
  <c r="F221" i="169"/>
  <c r="F222" i="169"/>
  <c r="F223" i="169"/>
  <c r="F224" i="169"/>
  <c r="F225" i="169"/>
  <c r="F226" i="169"/>
  <c r="F227" i="169"/>
  <c r="F228" i="169"/>
  <c r="F229" i="169"/>
  <c r="F230" i="169"/>
  <c r="F231" i="169"/>
  <c r="F232" i="169"/>
  <c r="F233" i="169"/>
  <c r="F234" i="169"/>
  <c r="F235" i="169"/>
  <c r="F236" i="169"/>
  <c r="F237" i="169"/>
  <c r="F238" i="169"/>
  <c r="F239" i="169"/>
  <c r="F240" i="169"/>
  <c r="F241" i="169"/>
  <c r="F242" i="169"/>
  <c r="F243" i="169"/>
  <c r="F244" i="169"/>
  <c r="F245" i="169"/>
  <c r="F246" i="169"/>
  <c r="F247" i="169"/>
  <c r="F248" i="169"/>
  <c r="F249" i="169"/>
  <c r="F250" i="169"/>
  <c r="F251" i="169"/>
  <c r="F252" i="169"/>
  <c r="F253" i="169"/>
  <c r="F254" i="169"/>
  <c r="F255" i="169"/>
  <c r="F256" i="169"/>
  <c r="F257" i="169"/>
  <c r="F258" i="169"/>
  <c r="F259" i="169"/>
  <c r="F260" i="169"/>
  <c r="F261" i="169"/>
  <c r="F262" i="169"/>
  <c r="F263" i="169"/>
  <c r="F264" i="169"/>
  <c r="F265" i="169"/>
  <c r="F266" i="169"/>
  <c r="F267" i="169"/>
  <c r="F268" i="169"/>
  <c r="F269" i="169"/>
  <c r="F270" i="169"/>
  <c r="F271" i="169"/>
  <c r="F272" i="169"/>
  <c r="F273" i="169"/>
  <c r="F274" i="169"/>
  <c r="F275" i="169"/>
  <c r="F276" i="169"/>
  <c r="F277" i="169"/>
  <c r="F278" i="169"/>
  <c r="F279" i="169"/>
  <c r="F280" i="169"/>
  <c r="F281" i="169"/>
  <c r="F282" i="169"/>
  <c r="F283" i="169"/>
  <c r="F284" i="169"/>
  <c r="F285" i="169"/>
  <c r="F286" i="169"/>
  <c r="F287" i="169"/>
  <c r="F288" i="169"/>
  <c r="F289" i="169"/>
  <c r="F290" i="169"/>
  <c r="F291" i="169"/>
  <c r="F292" i="169"/>
  <c r="F293" i="169"/>
  <c r="F294" i="169"/>
  <c r="F295" i="169"/>
  <c r="F296" i="169"/>
  <c r="F297" i="169"/>
  <c r="F298" i="169"/>
  <c r="F299" i="169"/>
  <c r="F300" i="169"/>
  <c r="F301" i="169"/>
  <c r="F302" i="169"/>
  <c r="F303" i="169"/>
  <c r="F304" i="169"/>
  <c r="F305" i="169"/>
  <c r="F306" i="169"/>
  <c r="F307" i="169"/>
  <c r="F308" i="169"/>
  <c r="F309" i="169"/>
  <c r="F310" i="169"/>
  <c r="F311" i="169"/>
  <c r="F312" i="169"/>
  <c r="F313" i="169"/>
  <c r="F314" i="169"/>
  <c r="F315" i="169"/>
  <c r="F316" i="169"/>
  <c r="F317" i="169"/>
  <c r="F318" i="169"/>
  <c r="F319" i="169"/>
  <c r="F320" i="169"/>
  <c r="F321" i="169"/>
  <c r="F322" i="169"/>
  <c r="F323" i="169"/>
  <c r="F324" i="169"/>
  <c r="F325" i="169"/>
  <c r="F326" i="169"/>
  <c r="F327" i="169"/>
  <c r="F328" i="169"/>
  <c r="F329" i="169"/>
  <c r="F330" i="169"/>
  <c r="F331" i="169"/>
  <c r="F332" i="169"/>
  <c r="F333" i="169"/>
  <c r="F334" i="169"/>
  <c r="F335" i="169"/>
  <c r="F336" i="169"/>
  <c r="F337" i="169"/>
  <c r="F338" i="169"/>
  <c r="F339" i="169"/>
  <c r="F340" i="169"/>
  <c r="F341" i="169"/>
  <c r="F342" i="169"/>
  <c r="F343" i="169"/>
  <c r="F344" i="169"/>
  <c r="F345" i="169"/>
  <c r="F346" i="169"/>
  <c r="F347" i="169"/>
  <c r="F348" i="169"/>
  <c r="F349" i="169"/>
  <c r="F350" i="169"/>
  <c r="F351" i="169"/>
  <c r="F352" i="169"/>
  <c r="F353" i="169"/>
  <c r="F354" i="169"/>
  <c r="F355" i="169"/>
  <c r="F356" i="169"/>
  <c r="F357" i="169"/>
  <c r="F358" i="169"/>
  <c r="F359" i="169"/>
  <c r="F360" i="169"/>
  <c r="F361" i="169"/>
  <c r="F362" i="169"/>
  <c r="F363" i="169"/>
  <c r="F364" i="169"/>
  <c r="F365" i="169"/>
  <c r="F366" i="169"/>
  <c r="F367" i="169"/>
  <c r="F368" i="169"/>
  <c r="F369" i="169"/>
  <c r="F370" i="169"/>
  <c r="F371" i="169"/>
  <c r="F372" i="169"/>
  <c r="F373" i="169"/>
  <c r="F374" i="169"/>
  <c r="F375" i="169"/>
  <c r="F376" i="169"/>
  <c r="F377" i="169"/>
  <c r="F378" i="169"/>
  <c r="F379" i="169"/>
  <c r="F380" i="169"/>
  <c r="F381" i="169"/>
  <c r="F382" i="169"/>
  <c r="F383" i="169"/>
  <c r="F384" i="169"/>
  <c r="F385" i="169"/>
  <c r="F386" i="169"/>
  <c r="F387" i="169"/>
  <c r="F388" i="169"/>
  <c r="F389" i="169"/>
  <c r="F390" i="169"/>
  <c r="F391" i="169"/>
  <c r="F392" i="169"/>
  <c r="F393" i="169"/>
  <c r="F394" i="169"/>
  <c r="F395" i="169"/>
  <c r="F396" i="169"/>
  <c r="F397" i="169"/>
  <c r="F398" i="169"/>
  <c r="F399" i="169"/>
  <c r="F400" i="169"/>
  <c r="F401" i="169"/>
  <c r="F402" i="169"/>
  <c r="F403" i="169"/>
  <c r="F404" i="169"/>
  <c r="F405" i="169"/>
  <c r="F406" i="169"/>
  <c r="F407" i="169"/>
  <c r="F408" i="169"/>
  <c r="F409" i="169"/>
  <c r="F410" i="169"/>
  <c r="F411" i="169"/>
  <c r="F412" i="169"/>
  <c r="F413" i="169"/>
  <c r="F414" i="169"/>
  <c r="F415" i="169"/>
  <c r="F416" i="169"/>
  <c r="F417" i="169"/>
  <c r="F418" i="169"/>
  <c r="F419" i="169"/>
  <c r="F420" i="169"/>
  <c r="F421" i="169"/>
  <c r="F422" i="169"/>
  <c r="F423" i="169"/>
  <c r="F424" i="169"/>
  <c r="F425" i="169"/>
  <c r="F426" i="169"/>
  <c r="F427" i="169"/>
  <c r="F428" i="169"/>
  <c r="F429" i="169"/>
  <c r="F430" i="169"/>
  <c r="F431" i="169"/>
  <c r="F432" i="169"/>
  <c r="F433" i="169"/>
  <c r="F434" i="169"/>
  <c r="F435" i="169"/>
  <c r="F436" i="169"/>
  <c r="F437" i="169"/>
  <c r="F438" i="169"/>
  <c r="F439" i="169"/>
  <c r="F440" i="169"/>
  <c r="F441" i="169"/>
  <c r="F442" i="169"/>
  <c r="F443" i="169"/>
  <c r="F444" i="169"/>
  <c r="F445" i="169"/>
  <c r="F446" i="169"/>
  <c r="F447" i="169"/>
  <c r="F448" i="169"/>
  <c r="F2" i="169"/>
  <c r="C4" i="152"/>
  <c r="L25" i="178" l="1"/>
  <c r="C65" i="180" s="1"/>
  <c r="L79" i="175"/>
  <c r="C167" i="177" s="1"/>
  <c r="L17" i="175"/>
  <c r="C105" i="177" s="1"/>
  <c r="C18" i="177"/>
  <c r="L57" i="175"/>
  <c r="C145" i="177" s="1"/>
  <c r="L33" i="175"/>
  <c r="C121" i="177" s="1"/>
  <c r="C42" i="177"/>
  <c r="L32" i="175"/>
  <c r="C120" i="177" s="1"/>
  <c r="L25" i="175"/>
  <c r="C113" i="177" s="1"/>
  <c r="C26" i="177"/>
  <c r="C80" i="177"/>
  <c r="L24" i="175"/>
  <c r="C112" i="177" s="1"/>
  <c r="C41" i="177"/>
  <c r="L56" i="175"/>
  <c r="C144" i="177" s="1"/>
  <c r="C34" i="177"/>
  <c r="L40" i="175"/>
  <c r="C128" i="177" s="1"/>
  <c r="L16" i="175"/>
  <c r="C104" i="177" s="1"/>
  <c r="L78" i="175"/>
  <c r="C166" i="177" s="1"/>
  <c r="L55" i="175"/>
  <c r="C143" i="177" s="1"/>
  <c r="L47" i="175"/>
  <c r="C135" i="177" s="1"/>
  <c r="L39" i="175"/>
  <c r="C127" i="177" s="1"/>
  <c r="L31" i="175"/>
  <c r="C119" i="177" s="1"/>
  <c r="L23" i="175"/>
  <c r="C111" i="177" s="1"/>
  <c r="L15" i="175"/>
  <c r="C103" i="177" s="1"/>
  <c r="C58" i="177"/>
  <c r="L54" i="175"/>
  <c r="C142" i="177" s="1"/>
  <c r="L46" i="175"/>
  <c r="C134" i="177" s="1"/>
  <c r="L38" i="175"/>
  <c r="C126" i="177" s="1"/>
  <c r="L30" i="175"/>
  <c r="C118" i="177" s="1"/>
  <c r="L22" i="175"/>
  <c r="C110" i="177" s="1"/>
  <c r="L14" i="175"/>
  <c r="C102" i="177" s="1"/>
  <c r="L84" i="175"/>
  <c r="C172" i="177" s="1"/>
  <c r="L53" i="175"/>
  <c r="C141" i="177" s="1"/>
  <c r="L45" i="175"/>
  <c r="C133" i="177" s="1"/>
  <c r="L37" i="175"/>
  <c r="C125" i="177" s="1"/>
  <c r="L29" i="175"/>
  <c r="C117" i="177" s="1"/>
  <c r="L21" i="175"/>
  <c r="C109" i="177" s="1"/>
  <c r="L13" i="175"/>
  <c r="C101" i="177" s="1"/>
  <c r="L83" i="175"/>
  <c r="C171" i="177" s="1"/>
  <c r="L72" i="175"/>
  <c r="C160" i="177" s="1"/>
  <c r="L52" i="175"/>
  <c r="C140" i="177" s="1"/>
  <c r="L44" i="175"/>
  <c r="C132" i="177" s="1"/>
  <c r="L36" i="175"/>
  <c r="C124" i="177" s="1"/>
  <c r="L28" i="175"/>
  <c r="C116" i="177" s="1"/>
  <c r="L20" i="175"/>
  <c r="C108" i="177" s="1"/>
  <c r="L12" i="175"/>
  <c r="C100" i="177" s="1"/>
  <c r="L82" i="175"/>
  <c r="C170" i="177" s="1"/>
  <c r="L63" i="175"/>
  <c r="C151" i="177" s="1"/>
  <c r="L51" i="175"/>
  <c r="C139" i="177" s="1"/>
  <c r="L43" i="175"/>
  <c r="C131" i="177" s="1"/>
  <c r="L35" i="175"/>
  <c r="C123" i="177" s="1"/>
  <c r="L27" i="175"/>
  <c r="C115" i="177" s="1"/>
  <c r="L19" i="175"/>
  <c r="C107" i="177" s="1"/>
  <c r="L11" i="175"/>
  <c r="C99" i="177" s="1"/>
  <c r="L8" i="175"/>
  <c r="C96" i="177" s="1"/>
  <c r="L81" i="175"/>
  <c r="C169" i="177" s="1"/>
  <c r="L59" i="175"/>
  <c r="C147" i="177" s="1"/>
  <c r="L10" i="175"/>
  <c r="C98" i="177" s="1"/>
  <c r="C75" i="177"/>
  <c r="L74" i="175"/>
  <c r="C162" i="177" s="1"/>
  <c r="L73" i="175"/>
  <c r="C161" i="177" s="1"/>
  <c r="C71" i="177"/>
  <c r="C70" i="177"/>
  <c r="L69" i="175"/>
  <c r="C157" i="177" s="1"/>
  <c r="L68" i="175"/>
  <c r="C156" i="177" s="1"/>
  <c r="C67" i="177"/>
  <c r="C66" i="177"/>
  <c r="L65" i="175"/>
  <c r="C153" i="177" s="1"/>
  <c r="L64" i="175"/>
  <c r="C152" i="177" s="1"/>
  <c r="C61" i="177"/>
  <c r="L62" i="175"/>
  <c r="C150" i="177" s="1"/>
  <c r="L60" i="175"/>
  <c r="C148" i="177" s="1"/>
  <c r="L9" i="175"/>
  <c r="C97" i="177" s="1"/>
  <c r="E30" i="152" l="1"/>
  <c r="C210" i="153" s="1"/>
  <c r="E31" i="152"/>
  <c r="C211" i="153" s="1"/>
  <c r="E32" i="152"/>
  <c r="C212" i="153" s="1"/>
  <c r="E33" i="152"/>
  <c r="C213" i="153" s="1"/>
  <c r="E34" i="152"/>
  <c r="C214" i="153" s="1"/>
  <c r="E35" i="152"/>
  <c r="C215" i="153" s="1"/>
  <c r="E36" i="152"/>
  <c r="C216" i="153" s="1"/>
  <c r="E38" i="152"/>
  <c r="C218" i="153" s="1"/>
  <c r="E40" i="152"/>
  <c r="C220" i="153" s="1"/>
  <c r="E41" i="152"/>
  <c r="C221" i="153" s="1"/>
  <c r="E42" i="152"/>
  <c r="C222" i="153" s="1"/>
  <c r="E43" i="152"/>
  <c r="C223" i="153" s="1"/>
  <c r="E44" i="152"/>
  <c r="C224" i="153" s="1"/>
  <c r="E21" i="152"/>
  <c r="C201" i="153" s="1"/>
  <c r="L3" i="151"/>
  <c r="E45" i="152"/>
  <c r="C225" i="153" s="1"/>
  <c r="E11" i="152"/>
  <c r="C191" i="153" s="1"/>
  <c r="E13" i="152"/>
  <c r="C193" i="153" s="1"/>
  <c r="E14" i="152"/>
  <c r="C194" i="153" s="1"/>
  <c r="E15" i="152"/>
  <c r="C195" i="153" s="1"/>
  <c r="E16" i="152"/>
  <c r="C196" i="153" s="1"/>
  <c r="E17" i="152"/>
  <c r="C197" i="153" s="1"/>
  <c r="E18" i="152"/>
  <c r="C198" i="153" s="1"/>
  <c r="E19" i="152"/>
  <c r="C199" i="153" s="1"/>
  <c r="E20" i="152"/>
  <c r="C200" i="153" s="1"/>
  <c r="E24" i="152"/>
  <c r="C204" i="153" s="1"/>
  <c r="E25" i="152"/>
  <c r="C205" i="153" s="1"/>
  <c r="E26" i="152"/>
  <c r="C206" i="153" s="1"/>
  <c r="E27" i="152"/>
  <c r="C207" i="153" s="1"/>
  <c r="E28" i="152"/>
  <c r="C208" i="153" s="1"/>
  <c r="E29" i="152"/>
  <c r="C209" i="153" s="1"/>
  <c r="E37" i="152"/>
  <c r="C217" i="153" s="1"/>
  <c r="E39" i="152"/>
  <c r="C219" i="153" s="1"/>
  <c r="B10" i="152"/>
  <c r="E10" i="152" s="1"/>
  <c r="C190" i="153" s="1"/>
  <c r="P184" i="154"/>
  <c r="Q184" i="154" s="1" a="1"/>
  <c r="Q184" i="154" s="1"/>
  <c r="O184" i="154"/>
  <c r="P183" i="154"/>
  <c r="O183" i="154"/>
  <c r="Q183" i="154" s="1" a="1"/>
  <c r="Q183" i="154" s="1"/>
  <c r="P182" i="154"/>
  <c r="O182" i="154"/>
  <c r="Q182" i="154" s="1" a="1"/>
  <c r="Q182" i="154" s="1"/>
  <c r="P181" i="154"/>
  <c r="O181" i="154"/>
  <c r="Q181" i="154" s="1" a="1"/>
  <c r="Q181" i="154" s="1"/>
  <c r="P180" i="154"/>
  <c r="O180" i="154"/>
  <c r="Q180" i="154" s="1" a="1"/>
  <c r="Q180" i="154" s="1"/>
  <c r="P179" i="154"/>
  <c r="O179" i="154"/>
  <c r="Q179" i="154" s="1" a="1"/>
  <c r="Q179" i="154" s="1"/>
  <c r="P178" i="154"/>
  <c r="O178" i="154"/>
  <c r="Q178" i="154" s="1" a="1"/>
  <c r="Q178" i="154" s="1"/>
  <c r="P177" i="154"/>
  <c r="O177" i="154"/>
  <c r="Q177" i="154" s="1" a="1"/>
  <c r="Q177" i="154" s="1"/>
  <c r="P176" i="154"/>
  <c r="O176" i="154"/>
  <c r="Q176" i="154" s="1" a="1"/>
  <c r="Q176" i="154" s="1"/>
  <c r="P175" i="154"/>
  <c r="O175" i="154"/>
  <c r="Q175" i="154" s="1" a="1"/>
  <c r="Q175" i="154" s="1"/>
  <c r="P174" i="154"/>
  <c r="O174" i="154"/>
  <c r="Q174" i="154" s="1" a="1"/>
  <c r="Q174" i="154" s="1"/>
  <c r="P173" i="154"/>
  <c r="O173" i="154"/>
  <c r="Q173" i="154" s="1" a="1"/>
  <c r="Q173" i="154" s="1"/>
  <c r="P172" i="154"/>
  <c r="O172" i="154"/>
  <c r="Q172" i="154" s="1" a="1"/>
  <c r="Q172" i="154" s="1"/>
  <c r="P171" i="154"/>
  <c r="O171" i="154"/>
  <c r="Q171" i="154" s="1" a="1"/>
  <c r="Q171" i="154" s="1"/>
  <c r="P170" i="154"/>
  <c r="O170" i="154"/>
  <c r="Q170" i="154" s="1" a="1"/>
  <c r="Q170" i="154" s="1"/>
  <c r="P169" i="154"/>
  <c r="O169" i="154"/>
  <c r="Q169" i="154" s="1" a="1"/>
  <c r="Q169" i="154" s="1"/>
  <c r="P168" i="154"/>
  <c r="O168" i="154"/>
  <c r="Q168" i="154" s="1" a="1"/>
  <c r="Q168" i="154" s="1"/>
  <c r="P167" i="154"/>
  <c r="O167" i="154"/>
  <c r="Q167" i="154" s="1" a="1"/>
  <c r="Q167" i="154" s="1"/>
  <c r="P166" i="154"/>
  <c r="O166" i="154"/>
  <c r="Q166" i="154" s="1" a="1"/>
  <c r="Q166" i="154" s="1"/>
  <c r="P165" i="154"/>
  <c r="O165" i="154"/>
  <c r="Q165" i="154" s="1" a="1"/>
  <c r="Q165" i="154" s="1"/>
  <c r="P164" i="154"/>
  <c r="O164" i="154"/>
  <c r="Q164" i="154" s="1" a="1"/>
  <c r="Q164" i="154" s="1"/>
  <c r="P163" i="154"/>
  <c r="O163" i="154"/>
  <c r="Q163" i="154" s="1" a="1"/>
  <c r="Q163" i="154" s="1"/>
  <c r="P162" i="154"/>
  <c r="O162" i="154"/>
  <c r="Q162" i="154" s="1" a="1"/>
  <c r="Q162" i="154" s="1"/>
  <c r="P161" i="154"/>
  <c r="O161" i="154"/>
  <c r="Q161" i="154" s="1" a="1"/>
  <c r="Q161" i="154" s="1"/>
  <c r="P160" i="154"/>
  <c r="O160" i="154"/>
  <c r="Q160" i="154" s="1" a="1"/>
  <c r="Q160" i="154" s="1"/>
  <c r="P159" i="154"/>
  <c r="O159" i="154"/>
  <c r="Q159" i="154" s="1" a="1"/>
  <c r="Q159" i="154" s="1"/>
  <c r="P158" i="154"/>
  <c r="O158" i="154"/>
  <c r="Q158" i="154" s="1" a="1"/>
  <c r="Q158" i="154" s="1"/>
  <c r="P157" i="154"/>
  <c r="O157" i="154"/>
  <c r="Q157" i="154" s="1" a="1"/>
  <c r="Q157" i="154" s="1"/>
  <c r="P156" i="154"/>
  <c r="O156" i="154"/>
  <c r="Q156" i="154" s="1" a="1"/>
  <c r="Q156" i="154" s="1"/>
  <c r="P155" i="154"/>
  <c r="O155" i="154"/>
  <c r="Q155" i="154" s="1" a="1"/>
  <c r="Q155" i="154" s="1"/>
  <c r="P154" i="154"/>
  <c r="O154" i="154"/>
  <c r="Q154" i="154" s="1" a="1"/>
  <c r="Q154" i="154" s="1"/>
  <c r="P153" i="154"/>
  <c r="O153" i="154"/>
  <c r="Q153" i="154" s="1" a="1"/>
  <c r="Q153" i="154" s="1"/>
  <c r="P152" i="154"/>
  <c r="O152" i="154"/>
  <c r="Q152" i="154" s="1" a="1"/>
  <c r="Q152" i="154" s="1"/>
  <c r="P151" i="154"/>
  <c r="O151" i="154"/>
  <c r="Q151" i="154" s="1" a="1"/>
  <c r="Q151" i="154" s="1"/>
  <c r="P150" i="154"/>
  <c r="O150" i="154"/>
  <c r="Q150" i="154" s="1" a="1"/>
  <c r="Q150" i="154" s="1"/>
  <c r="P149" i="154"/>
  <c r="O149" i="154"/>
  <c r="Q149" i="154" s="1" a="1"/>
  <c r="Q149" i="154" s="1"/>
  <c r="P148" i="154"/>
  <c r="O148" i="154"/>
  <c r="Q148" i="154" s="1" a="1"/>
  <c r="Q148" i="154" s="1"/>
  <c r="P147" i="154"/>
  <c r="O147" i="154"/>
  <c r="Q147" i="154" s="1" a="1"/>
  <c r="Q147" i="154" s="1"/>
  <c r="P146" i="154"/>
  <c r="O146" i="154"/>
  <c r="Q146" i="154" s="1" a="1"/>
  <c r="Q146" i="154" s="1"/>
  <c r="P145" i="154"/>
  <c r="O145" i="154"/>
  <c r="Q145" i="154" s="1" a="1"/>
  <c r="Q145" i="154" s="1"/>
  <c r="P144" i="154"/>
  <c r="O144" i="154"/>
  <c r="Q144" i="154" s="1" a="1"/>
  <c r="Q144" i="154" s="1"/>
  <c r="P143" i="154"/>
  <c r="O143" i="154"/>
  <c r="Q143" i="154" s="1" a="1"/>
  <c r="Q143" i="154" s="1"/>
  <c r="P142" i="154"/>
  <c r="O142" i="154"/>
  <c r="Q142" i="154" s="1" a="1"/>
  <c r="Q142" i="154" s="1"/>
  <c r="P141" i="154"/>
  <c r="O141" i="154"/>
  <c r="Q141" i="154" s="1" a="1"/>
  <c r="Q141" i="154" s="1"/>
  <c r="P140" i="154"/>
  <c r="O140" i="154"/>
  <c r="Q140" i="154" s="1" a="1"/>
  <c r="Q140" i="154" s="1"/>
  <c r="P139" i="154"/>
  <c r="O139" i="154"/>
  <c r="Q139" i="154" s="1" a="1"/>
  <c r="Q139" i="154" s="1"/>
  <c r="P138" i="154"/>
  <c r="O138" i="154"/>
  <c r="Q138" i="154" s="1" a="1"/>
  <c r="Q138" i="154" s="1"/>
  <c r="P137" i="154"/>
  <c r="O137" i="154"/>
  <c r="Q137" i="154" s="1" a="1"/>
  <c r="Q137" i="154" s="1"/>
  <c r="P136" i="154"/>
  <c r="O136" i="154"/>
  <c r="Q136" i="154" s="1" a="1"/>
  <c r="Q136" i="154" s="1"/>
  <c r="Q135" i="154"/>
  <c r="P135" i="154"/>
  <c r="O135" i="154"/>
  <c r="Q135" i="154" s="1" a="1"/>
  <c r="P134" i="154"/>
  <c r="O134" i="154"/>
  <c r="Q134" i="154" s="1" a="1"/>
  <c r="Q134" i="154" s="1"/>
  <c r="P133" i="154"/>
  <c r="O133" i="154"/>
  <c r="Q133" i="154" s="1" a="1"/>
  <c r="Q133" i="154" s="1"/>
  <c r="P132" i="154"/>
  <c r="O132" i="154"/>
  <c r="Q132" i="154" s="1" a="1"/>
  <c r="Q132" i="154" s="1"/>
  <c r="P131" i="154"/>
  <c r="O131" i="154"/>
  <c r="Q131" i="154" s="1" a="1"/>
  <c r="Q131" i="154" s="1"/>
  <c r="P130" i="154"/>
  <c r="O130" i="154"/>
  <c r="Q130" i="154" s="1" a="1"/>
  <c r="Q130" i="154" s="1"/>
  <c r="P129" i="154"/>
  <c r="O129" i="154"/>
  <c r="Q129" i="154" s="1" a="1"/>
  <c r="Q129" i="154" s="1"/>
  <c r="P128" i="154"/>
  <c r="O128" i="154"/>
  <c r="Q128" i="154" s="1" a="1"/>
  <c r="Q128" i="154" s="1"/>
  <c r="P127" i="154"/>
  <c r="O127" i="154"/>
  <c r="Q127" i="154" s="1" a="1"/>
  <c r="Q127" i="154" s="1"/>
  <c r="P126" i="154"/>
  <c r="O126" i="154"/>
  <c r="Q126" i="154" s="1" a="1"/>
  <c r="Q126" i="154" s="1"/>
  <c r="Q125" i="154"/>
  <c r="P125" i="154"/>
  <c r="O125" i="154"/>
  <c r="Q125" i="154" s="1" a="1"/>
  <c r="P124" i="154"/>
  <c r="O124" i="154"/>
  <c r="Q124" i="154" s="1" a="1"/>
  <c r="Q124" i="154" s="1"/>
  <c r="P123" i="154"/>
  <c r="O123" i="154"/>
  <c r="Q123" i="154" s="1" a="1"/>
  <c r="Q123" i="154" s="1"/>
  <c r="P122" i="154"/>
  <c r="O122" i="154"/>
  <c r="P121" i="154"/>
  <c r="O121" i="154"/>
  <c r="Q121" i="154" s="1" a="1"/>
  <c r="Q121" i="154" s="1"/>
  <c r="P120" i="154"/>
  <c r="O120" i="154"/>
  <c r="P119" i="154"/>
  <c r="O119" i="154"/>
  <c r="P118" i="154"/>
  <c r="O118" i="154"/>
  <c r="P117" i="154"/>
  <c r="O117" i="154"/>
  <c r="P116" i="154"/>
  <c r="O116" i="154"/>
  <c r="Q116" i="154" s="1" a="1"/>
  <c r="Q116" i="154" s="1"/>
  <c r="P115" i="154"/>
  <c r="O115" i="154"/>
  <c r="P114" i="154"/>
  <c r="O114" i="154"/>
  <c r="Q114" i="154" s="1" a="1"/>
  <c r="Q114" i="154" s="1"/>
  <c r="P113" i="154"/>
  <c r="O113" i="154"/>
  <c r="Q113" i="154" s="1" a="1"/>
  <c r="Q113" i="154" s="1"/>
  <c r="P112" i="154"/>
  <c r="O112" i="154"/>
  <c r="Q112" i="154" s="1" a="1"/>
  <c r="Q112" i="154" s="1"/>
  <c r="P111" i="154"/>
  <c r="O111" i="154"/>
  <c r="Q111" i="154" s="1" a="1"/>
  <c r="Q111" i="154" s="1"/>
  <c r="P110" i="154"/>
  <c r="O110" i="154"/>
  <c r="Q110" i="154" s="1" a="1"/>
  <c r="Q110" i="154" s="1"/>
  <c r="Q109" i="154"/>
  <c r="P109" i="154"/>
  <c r="O109" i="154"/>
  <c r="Q109" i="154" s="1" a="1"/>
  <c r="P108" i="154"/>
  <c r="O108" i="154"/>
  <c r="Q108" i="154" s="1" a="1"/>
  <c r="Q108" i="154" s="1"/>
  <c r="P107" i="154"/>
  <c r="O107" i="154"/>
  <c r="Q107" i="154" s="1" a="1"/>
  <c r="Q107" i="154" s="1"/>
  <c r="P106" i="154"/>
  <c r="O106" i="154"/>
  <c r="P105" i="154"/>
  <c r="O105" i="154"/>
  <c r="Q105" i="154" s="1" a="1"/>
  <c r="Q105" i="154" s="1"/>
  <c r="P104" i="154"/>
  <c r="O104" i="154"/>
  <c r="P103" i="154"/>
  <c r="O103" i="154"/>
  <c r="P102" i="154"/>
  <c r="O102" i="154"/>
  <c r="P101" i="154"/>
  <c r="O101" i="154"/>
  <c r="P100" i="154"/>
  <c r="O100" i="154"/>
  <c r="Q100" i="154" s="1" a="1"/>
  <c r="Q100" i="154" s="1"/>
  <c r="P99" i="154"/>
  <c r="O99" i="154"/>
  <c r="P98" i="154"/>
  <c r="O98" i="154"/>
  <c r="Q98" i="154" s="1" a="1"/>
  <c r="Q98" i="154" s="1"/>
  <c r="P97" i="154"/>
  <c r="O97" i="154"/>
  <c r="Q97" i="154" s="1" a="1"/>
  <c r="Q97" i="154" s="1"/>
  <c r="P96" i="154"/>
  <c r="O96" i="154"/>
  <c r="Q96" i="154" s="1" a="1"/>
  <c r="Q96" i="154" s="1"/>
  <c r="P95" i="154"/>
  <c r="O95" i="154"/>
  <c r="Q95" i="154" s="1" a="1"/>
  <c r="Q95" i="154" s="1"/>
  <c r="P94" i="154"/>
  <c r="O94" i="154"/>
  <c r="Q94" i="154" s="1" a="1"/>
  <c r="Q94" i="154" s="1"/>
  <c r="P93" i="154"/>
  <c r="O93" i="154"/>
  <c r="Q93" i="154" s="1" a="1"/>
  <c r="Q93" i="154" s="1"/>
  <c r="P92" i="154"/>
  <c r="O92" i="154"/>
  <c r="Q92" i="154" s="1" a="1"/>
  <c r="Q92" i="154" s="1"/>
  <c r="P91" i="154"/>
  <c r="O91" i="154"/>
  <c r="Q91" i="154" s="1" a="1"/>
  <c r="Q91" i="154" s="1"/>
  <c r="P90" i="154"/>
  <c r="O90" i="154"/>
  <c r="P89" i="154"/>
  <c r="O89" i="154"/>
  <c r="Q89" i="154" s="1" a="1"/>
  <c r="Q89" i="154" s="1"/>
  <c r="P88" i="154"/>
  <c r="O88" i="154"/>
  <c r="P87" i="154"/>
  <c r="O87" i="154"/>
  <c r="P86" i="154"/>
  <c r="O86" i="154"/>
  <c r="P85" i="154"/>
  <c r="O85" i="154"/>
  <c r="P84" i="154"/>
  <c r="O84" i="154"/>
  <c r="Q84" i="154" s="1" a="1"/>
  <c r="Q84" i="154" s="1"/>
  <c r="P83" i="154"/>
  <c r="O83" i="154"/>
  <c r="Q83" i="154" s="1" a="1"/>
  <c r="Q83" i="154" s="1"/>
  <c r="Q82" i="154" a="1"/>
  <c r="Q82" i="154" s="1"/>
  <c r="P82" i="154"/>
  <c r="O82" i="154"/>
  <c r="P81" i="154"/>
  <c r="O81" i="154"/>
  <c r="Q81" i="154" s="1" a="1"/>
  <c r="Q81" i="154" s="1"/>
  <c r="P80" i="154"/>
  <c r="O80" i="154"/>
  <c r="Q80" i="154" s="1" a="1"/>
  <c r="Q80" i="154" s="1"/>
  <c r="Q79" i="154" a="1"/>
  <c r="Q79" i="154" s="1"/>
  <c r="P79" i="154"/>
  <c r="O79" i="154"/>
  <c r="P78" i="154"/>
  <c r="O78" i="154"/>
  <c r="Q78" i="154" s="1" a="1"/>
  <c r="Q78" i="154" s="1"/>
  <c r="P77" i="154"/>
  <c r="Q77" i="154" s="1" a="1"/>
  <c r="Q77" i="154" s="1"/>
  <c r="O77" i="154"/>
  <c r="P76" i="154"/>
  <c r="O76" i="154"/>
  <c r="Q76" i="154" s="1" a="1"/>
  <c r="Q76" i="154" s="1"/>
  <c r="P75" i="154"/>
  <c r="O75" i="154"/>
  <c r="Q75" i="154" s="1" a="1"/>
  <c r="Q75" i="154" s="1"/>
  <c r="P74" i="154"/>
  <c r="O74" i="154"/>
  <c r="Q74" i="154" s="1" a="1"/>
  <c r="Q74" i="154" s="1"/>
  <c r="Q73" i="154" a="1"/>
  <c r="Q73" i="154" s="1"/>
  <c r="P73" i="154"/>
  <c r="O73" i="154"/>
  <c r="Q72" i="154" a="1"/>
  <c r="Q72" i="154" s="1"/>
  <c r="P72" i="154"/>
  <c r="O72" i="154"/>
  <c r="P71" i="154"/>
  <c r="O71" i="154"/>
  <c r="Q71" i="154" s="1" a="1"/>
  <c r="Q71" i="154" s="1"/>
  <c r="P70" i="154"/>
  <c r="Q70" i="154" s="1" a="1"/>
  <c r="Q70" i="154" s="1"/>
  <c r="O70" i="154"/>
  <c r="P69" i="154"/>
  <c r="O69" i="154"/>
  <c r="Q69" i="154" s="1" a="1"/>
  <c r="Q69" i="154" s="1"/>
  <c r="P68" i="154"/>
  <c r="O68" i="154"/>
  <c r="Q68" i="154" s="1" a="1"/>
  <c r="Q68" i="154" s="1"/>
  <c r="P67" i="154"/>
  <c r="O67" i="154"/>
  <c r="Q67" i="154" s="1" a="1"/>
  <c r="Q67" i="154" s="1"/>
  <c r="Q66" i="154" a="1"/>
  <c r="Q66" i="154" s="1"/>
  <c r="P66" i="154"/>
  <c r="O66" i="154"/>
  <c r="P65" i="154"/>
  <c r="Q65" i="154" s="1" a="1"/>
  <c r="Q65" i="154" s="1"/>
  <c r="O65" i="154"/>
  <c r="P64" i="154"/>
  <c r="O64" i="154"/>
  <c r="Q64" i="154" s="1" a="1"/>
  <c r="Q64" i="154" s="1"/>
  <c r="Q63" i="154" a="1"/>
  <c r="Q63" i="154" s="1"/>
  <c r="P63" i="154"/>
  <c r="O63" i="154"/>
  <c r="P62" i="154"/>
  <c r="O62" i="154"/>
  <c r="Q62" i="154" s="1" a="1"/>
  <c r="Q62" i="154" s="1"/>
  <c r="P61" i="154"/>
  <c r="Q61" i="154" s="1" a="1"/>
  <c r="Q61" i="154" s="1"/>
  <c r="O61" i="154"/>
  <c r="P60" i="154"/>
  <c r="O60" i="154"/>
  <c r="Q60" i="154" s="1" a="1"/>
  <c r="Q60" i="154" s="1"/>
  <c r="P59" i="154"/>
  <c r="O59" i="154"/>
  <c r="Q59" i="154" s="1" a="1"/>
  <c r="Q59" i="154" s="1"/>
  <c r="P58" i="154"/>
  <c r="O58" i="154"/>
  <c r="Q58" i="154" s="1" a="1"/>
  <c r="Q58" i="154" s="1"/>
  <c r="Q57" i="154" a="1"/>
  <c r="Q57" i="154" s="1"/>
  <c r="P57" i="154"/>
  <c r="O57" i="154"/>
  <c r="Q56" i="154" a="1"/>
  <c r="Q56" i="154" s="1"/>
  <c r="P56" i="154"/>
  <c r="O56" i="154"/>
  <c r="P55" i="154"/>
  <c r="O55" i="154"/>
  <c r="Q55" i="154" s="1" a="1"/>
  <c r="Q55" i="154" s="1"/>
  <c r="P54" i="154"/>
  <c r="Q54" i="154" s="1" a="1"/>
  <c r="Q54" i="154" s="1"/>
  <c r="O54" i="154"/>
  <c r="P53" i="154"/>
  <c r="O53" i="154"/>
  <c r="Q53" i="154" s="1" a="1"/>
  <c r="Q53" i="154" s="1"/>
  <c r="P52" i="154"/>
  <c r="O52" i="154"/>
  <c r="Q52" i="154" s="1" a="1"/>
  <c r="Q52" i="154" s="1"/>
  <c r="B62" i="155" s="1"/>
  <c r="P51" i="154"/>
  <c r="O51" i="154"/>
  <c r="Q51" i="154" s="1" a="1"/>
  <c r="Q51" i="154" s="1"/>
  <c r="B61" i="155" s="1"/>
  <c r="Q50" i="154" a="1"/>
  <c r="Q50" i="154" s="1"/>
  <c r="B60" i="155" s="1"/>
  <c r="P50" i="154"/>
  <c r="O50" i="154"/>
  <c r="P49" i="154"/>
  <c r="O49" i="154"/>
  <c r="Q49" i="154" s="1" a="1"/>
  <c r="Q49" i="154" s="1"/>
  <c r="B59" i="155" s="1"/>
  <c r="P48" i="154"/>
  <c r="O48" i="154"/>
  <c r="Q48" i="154" s="1" a="1"/>
  <c r="Q48" i="154" s="1"/>
  <c r="B58" i="155" s="1"/>
  <c r="P47" i="154"/>
  <c r="O47" i="154"/>
  <c r="P46" i="154"/>
  <c r="O46" i="154"/>
  <c r="P45" i="154"/>
  <c r="O45" i="154"/>
  <c r="P44" i="154"/>
  <c r="O44" i="154"/>
  <c r="Q44" i="154" s="1" a="1"/>
  <c r="Q44" i="154" s="1"/>
  <c r="B54" i="155" s="1"/>
  <c r="P43" i="154"/>
  <c r="O43" i="154"/>
  <c r="P42" i="154"/>
  <c r="O42" i="154"/>
  <c r="P41" i="154"/>
  <c r="O41" i="154"/>
  <c r="P40" i="154"/>
  <c r="O40" i="154"/>
  <c r="P39" i="154"/>
  <c r="O39" i="154"/>
  <c r="Q39" i="154" s="1" a="1"/>
  <c r="Q39" i="154" s="1"/>
  <c r="B49" i="155" s="1"/>
  <c r="P38" i="154"/>
  <c r="O38" i="154"/>
  <c r="P37" i="154"/>
  <c r="O37" i="154"/>
  <c r="P36" i="154"/>
  <c r="O36" i="154"/>
  <c r="P35" i="154"/>
  <c r="O35" i="154"/>
  <c r="P34" i="154"/>
  <c r="O34" i="154"/>
  <c r="P33" i="154"/>
  <c r="O33" i="154"/>
  <c r="Q33" i="154" s="1" a="1"/>
  <c r="Q33" i="154" s="1"/>
  <c r="B43" i="155" s="1"/>
  <c r="P32" i="154"/>
  <c r="O32" i="154"/>
  <c r="Q32" i="154" s="1" a="1"/>
  <c r="Q32" i="154" s="1"/>
  <c r="B42" i="155" s="1"/>
  <c r="P31" i="154"/>
  <c r="O31" i="154"/>
  <c r="P30" i="154"/>
  <c r="O30" i="154"/>
  <c r="P29" i="154"/>
  <c r="Q29" i="154" s="1" a="1"/>
  <c r="Q29" i="154" s="1"/>
  <c r="B39" i="155" s="1"/>
  <c r="O29" i="154"/>
  <c r="P28" i="154"/>
  <c r="O28" i="154"/>
  <c r="Q28" i="154" s="1" a="1"/>
  <c r="Q28" i="154" s="1"/>
  <c r="B38" i="155" s="1"/>
  <c r="P27" i="154"/>
  <c r="O27" i="154"/>
  <c r="Q27" i="154" s="1" a="1"/>
  <c r="Q27" i="154" s="1"/>
  <c r="B37" i="155" s="1"/>
  <c r="P26" i="154"/>
  <c r="O26" i="154"/>
  <c r="P25" i="154"/>
  <c r="O25" i="154"/>
  <c r="P24" i="154"/>
  <c r="O24" i="154"/>
  <c r="Q24" i="154" s="1" a="1"/>
  <c r="Q24" i="154" s="1"/>
  <c r="B34" i="155" s="1"/>
  <c r="P23" i="154"/>
  <c r="O23" i="154"/>
  <c r="P22" i="154"/>
  <c r="O22" i="154"/>
  <c r="P21" i="154"/>
  <c r="O21" i="154"/>
  <c r="P20" i="154"/>
  <c r="O20" i="154"/>
  <c r="P19" i="154"/>
  <c r="O19" i="154"/>
  <c r="P18" i="154"/>
  <c r="O18" i="154"/>
  <c r="P17" i="154"/>
  <c r="O17" i="154"/>
  <c r="L17" i="154"/>
  <c r="K17" i="154"/>
  <c r="J17" i="154"/>
  <c r="Q47" i="154" s="1" a="1"/>
  <c r="Q47" i="154" s="1"/>
  <c r="B57" i="155" s="1"/>
  <c r="P16" i="154"/>
  <c r="O16" i="154"/>
  <c r="L16" i="154"/>
  <c r="P15" i="154"/>
  <c r="O15" i="154"/>
  <c r="L15" i="154"/>
  <c r="Q14" i="154" a="1"/>
  <c r="Q14" i="154" s="1"/>
  <c r="B24" i="155" s="1"/>
  <c r="P14" i="154"/>
  <c r="O14" i="154"/>
  <c r="L14" i="154"/>
  <c r="Q34" i="154" s="1" a="1"/>
  <c r="Q34" i="154" s="1"/>
  <c r="B44" i="155" s="1"/>
  <c r="K14" i="154"/>
  <c r="J14" i="154"/>
  <c r="P13" i="154"/>
  <c r="O13" i="154"/>
  <c r="L13" i="154"/>
  <c r="K13" i="154"/>
  <c r="J13" i="154"/>
  <c r="P12" i="154"/>
  <c r="O12" i="154"/>
  <c r="L12" i="154"/>
  <c r="P11" i="154"/>
  <c r="O11" i="154"/>
  <c r="L11" i="154"/>
  <c r="Q19" i="154" s="1" a="1"/>
  <c r="Q19" i="154" s="1"/>
  <c r="B29" i="155" s="1"/>
  <c r="P10" i="154"/>
  <c r="O10" i="154"/>
  <c r="L10" i="154"/>
  <c r="C10" i="154"/>
  <c r="I10" i="154" s="1"/>
  <c r="B10" i="154"/>
  <c r="H16" i="154" s="1"/>
  <c r="Q40" i="154" s="1" a="1"/>
  <c r="Q40" i="154" s="1"/>
  <c r="B50" i="155" s="1"/>
  <c r="C181" i="153"/>
  <c r="C180" i="153"/>
  <c r="C2" i="153"/>
  <c r="C1" i="153"/>
  <c r="E9" i="152"/>
  <c r="C189" i="153" s="1"/>
  <c r="B9" i="152"/>
  <c r="E8" i="152"/>
  <c r="C187" i="153" s="1"/>
  <c r="E6" i="152"/>
  <c r="C185" i="153" s="1"/>
  <c r="E5" i="152"/>
  <c r="C184" i="153" s="1"/>
  <c r="E4" i="152"/>
  <c r="C183" i="153" s="1"/>
  <c r="E3" i="152"/>
  <c r="C182" i="153" s="1"/>
  <c r="J7" i="151"/>
  <c r="C7" i="153" s="1"/>
  <c r="J6" i="151"/>
  <c r="C6" i="153" s="1"/>
  <c r="J5" i="151"/>
  <c r="C5" i="153" s="1"/>
  <c r="J4" i="151"/>
  <c r="C4" i="153" s="1"/>
  <c r="J3" i="151"/>
  <c r="C3" i="153" s="1"/>
  <c r="C7" i="152" l="1"/>
  <c r="E7" i="152" s="1"/>
  <c r="C186" i="153" s="1"/>
  <c r="E23" i="152"/>
  <c r="C203" i="153" s="1"/>
  <c r="E22" i="152"/>
  <c r="C202" i="153" s="1"/>
  <c r="E12" i="152"/>
  <c r="C192" i="153" s="1"/>
  <c r="H10" i="154"/>
  <c r="Q10" i="154" s="1" a="1"/>
  <c r="Q10" i="154" s="1"/>
  <c r="B20" i="155" s="1"/>
  <c r="Q11" i="154" a="1"/>
  <c r="Q11" i="154" s="1"/>
  <c r="B21" i="155" s="1"/>
  <c r="Q87" i="154" a="1"/>
  <c r="Q87" i="154" s="1"/>
  <c r="Q90" i="154" a="1"/>
  <c r="Q90" i="154" s="1"/>
  <c r="Q103" i="154" a="1"/>
  <c r="Q103" i="154" s="1"/>
  <c r="Q106" i="154" a="1"/>
  <c r="Q106" i="154" s="1"/>
  <c r="Q119" i="154" a="1"/>
  <c r="Q119" i="154" s="1"/>
  <c r="Q122" i="154" a="1"/>
  <c r="Q122" i="154" s="1"/>
  <c r="B11" i="154"/>
  <c r="H11" i="154" s="1"/>
  <c r="Q15" i="154" s="1" a="1"/>
  <c r="Q15" i="154" s="1"/>
  <c r="B25" i="155" s="1"/>
  <c r="H15" i="154"/>
  <c r="Q35" i="154" s="1" a="1"/>
  <c r="Q35" i="154" s="1"/>
  <c r="B45" i="155" s="1"/>
  <c r="H13" i="154"/>
  <c r="Q25" i="154" s="1" a="1"/>
  <c r="Q25" i="154" s="1"/>
  <c r="B35" i="155" s="1"/>
  <c r="H17" i="154"/>
  <c r="Q45" i="154" s="1" a="1"/>
  <c r="Q45" i="154" s="1"/>
  <c r="B55" i="155" s="1"/>
  <c r="Q85" i="154" a="1"/>
  <c r="Q85" i="154" s="1"/>
  <c r="Q88" i="154" a="1"/>
  <c r="Q88" i="154" s="1"/>
  <c r="Q101" i="154" a="1"/>
  <c r="Q101" i="154" s="1"/>
  <c r="Q104" i="154" a="1"/>
  <c r="Q104" i="154" s="1"/>
  <c r="Q117" i="154" a="1"/>
  <c r="Q117" i="154" s="1"/>
  <c r="Q120" i="154" a="1"/>
  <c r="Q120" i="154" s="1"/>
  <c r="H12" i="154"/>
  <c r="Q20" i="154" s="1" a="1"/>
  <c r="Q20" i="154" s="1"/>
  <c r="B30" i="155" s="1"/>
  <c r="H14" i="154"/>
  <c r="Q30" i="154" s="1" a="1"/>
  <c r="Q30" i="154" s="1"/>
  <c r="B40" i="155" s="1"/>
  <c r="Q86" i="154" a="1"/>
  <c r="Q86" i="154" s="1"/>
  <c r="Q99" i="154" a="1"/>
  <c r="Q99" i="154" s="1"/>
  <c r="Q102" i="154" a="1"/>
  <c r="Q102" i="154" s="1"/>
  <c r="Q115" i="154" a="1"/>
  <c r="Q115" i="154" s="1"/>
  <c r="Q118" i="154" a="1"/>
  <c r="Q118" i="154" s="1"/>
  <c r="D16" i="154" l="1"/>
  <c r="J16" i="154" s="1"/>
  <c r="Q42" i="154" s="1" a="1"/>
  <c r="Q42" i="154" s="1"/>
  <c r="B52" i="155" s="1"/>
  <c r="D15" i="154"/>
  <c r="J15" i="154" s="1"/>
  <c r="Q37" i="154" s="1" a="1"/>
  <c r="Q37" i="154" s="1"/>
  <c r="B47" i="155" s="1"/>
  <c r="E12" i="154"/>
  <c r="K12" i="154" s="1"/>
  <c r="Q23" i="154" s="1" a="1"/>
  <c r="Q23" i="154" s="1"/>
  <c r="B33" i="155" s="1"/>
  <c r="E11" i="154"/>
  <c r="K11" i="154" s="1"/>
  <c r="Q18" i="154" s="1" a="1"/>
  <c r="Q18" i="154" s="1"/>
  <c r="B28" i="155" s="1"/>
  <c r="D10" i="154"/>
  <c r="J10" i="154" s="1"/>
  <c r="Q12" i="154" s="1" a="1"/>
  <c r="Q12" i="154" s="1"/>
  <c r="B22" i="155" s="1"/>
  <c r="E16" i="154"/>
  <c r="K16" i="154" s="1"/>
  <c r="Q43" i="154" s="1" a="1"/>
  <c r="Q43" i="154" s="1"/>
  <c r="B53" i="155" s="1"/>
  <c r="E15" i="154"/>
  <c r="K15" i="154" s="1"/>
  <c r="Q38" i="154" s="1" a="1"/>
  <c r="Q38" i="154" s="1"/>
  <c r="B48" i="155" s="1"/>
  <c r="E10" i="154"/>
  <c r="K10" i="154" s="1"/>
  <c r="Q13" i="154" s="1" a="1"/>
  <c r="Q13" i="154" s="1"/>
  <c r="B23" i="155" s="1"/>
  <c r="D12" i="154"/>
  <c r="J12" i="154" s="1"/>
  <c r="Q22" i="154" s="1" a="1"/>
  <c r="Q22" i="154" s="1"/>
  <c r="B32" i="155" s="1"/>
  <c r="D11" i="154"/>
  <c r="J11" i="154" s="1"/>
  <c r="Q17" i="154" s="1" a="1"/>
  <c r="Q17" i="154" s="1"/>
  <c r="B27" i="155" s="1"/>
  <c r="C17" i="154" l="1"/>
  <c r="I17" i="154" s="1"/>
  <c r="Q46" i="154" s="1" a="1"/>
  <c r="Q46" i="154" s="1"/>
  <c r="B56" i="155" s="1"/>
  <c r="C13" i="154"/>
  <c r="I13" i="154" s="1"/>
  <c r="Q26" i="154" s="1" a="1"/>
  <c r="Q26" i="154" s="1"/>
  <c r="B36" i="155" s="1"/>
  <c r="C11" i="154"/>
  <c r="I11" i="154" s="1"/>
  <c r="Q16" i="154" s="1" a="1"/>
  <c r="Q16" i="154" s="1"/>
  <c r="B26" i="155" s="1"/>
  <c r="C12" i="154"/>
  <c r="I12" i="154" s="1"/>
  <c r="Q21" i="154" s="1" a="1"/>
  <c r="Q21" i="154" s="1"/>
  <c r="B31" i="155" s="1"/>
  <c r="C14" i="154"/>
  <c r="I14" i="154" s="1"/>
  <c r="Q31" i="154" s="1" a="1"/>
  <c r="Q31" i="154" s="1"/>
  <c r="B41" i="155" s="1"/>
  <c r="J15" i="151"/>
  <c r="L15" i="151" s="1"/>
  <c r="C100" i="153" s="1"/>
  <c r="J9" i="151"/>
  <c r="L9" i="151" s="1"/>
  <c r="C94" i="153" s="1"/>
  <c r="J57" i="151"/>
  <c r="C57" i="153" s="1"/>
  <c r="J65" i="151"/>
  <c r="L65" i="151" s="1"/>
  <c r="C150" i="153" s="1"/>
  <c r="C15" i="154"/>
  <c r="I15" i="154" s="1"/>
  <c r="Q36" i="154" s="1" a="1"/>
  <c r="Q36" i="154" s="1"/>
  <c r="B46" i="155" s="1"/>
  <c r="J55" i="151"/>
  <c r="C55" i="153" s="1"/>
  <c r="J71" i="151"/>
  <c r="C71" i="153" s="1"/>
  <c r="J34" i="151"/>
  <c r="L34" i="151" s="1"/>
  <c r="C119" i="153" s="1"/>
  <c r="J58" i="151"/>
  <c r="L58" i="151" s="1"/>
  <c r="C143" i="153" s="1"/>
  <c r="J50" i="151"/>
  <c r="L50" i="151" s="1"/>
  <c r="C135" i="153" s="1"/>
  <c r="J8" i="151"/>
  <c r="C8" i="153" s="1"/>
  <c r="J56" i="151"/>
  <c r="C56" i="153" s="1"/>
  <c r="J26" i="151"/>
  <c r="L26" i="151" s="1"/>
  <c r="C111" i="153" s="1"/>
  <c r="J41" i="151"/>
  <c r="L41" i="151" s="1"/>
  <c r="C126" i="153" s="1"/>
  <c r="J89" i="151"/>
  <c r="L89" i="151" s="1"/>
  <c r="C174" i="153" s="1"/>
  <c r="J59" i="151"/>
  <c r="C59" i="153" s="1"/>
  <c r="J75" i="151"/>
  <c r="L75" i="151" s="1"/>
  <c r="C160" i="153" s="1"/>
  <c r="J83" i="151"/>
  <c r="L83" i="151" s="1"/>
  <c r="C168" i="153" s="1"/>
  <c r="J33" i="151"/>
  <c r="L33" i="151" s="1"/>
  <c r="C118" i="153" s="1"/>
  <c r="J42" i="151"/>
  <c r="L42" i="151" s="1"/>
  <c r="C127" i="153" s="1"/>
  <c r="C16" i="154"/>
  <c r="I16" i="154" s="1"/>
  <c r="Q41" i="154" s="1" a="1"/>
  <c r="Q41" i="154" s="1"/>
  <c r="B51" i="155" s="1"/>
  <c r="J82" i="151"/>
  <c r="L82" i="151" s="1"/>
  <c r="C167" i="153" s="1"/>
  <c r="J74" i="151"/>
  <c r="L74" i="151" s="1"/>
  <c r="C159" i="153" s="1"/>
  <c r="J25" i="151"/>
  <c r="C25" i="153" s="1"/>
  <c r="J17" i="151"/>
  <c r="C17" i="153" s="1"/>
  <c r="J48" i="151"/>
  <c r="C48" i="153" s="1"/>
  <c r="J32" i="151"/>
  <c r="C32" i="153" s="1"/>
  <c r="J88" i="151"/>
  <c r="L88" i="151"/>
  <c r="C173" i="153" s="1"/>
  <c r="J12" i="151"/>
  <c r="L12" i="151" s="1"/>
  <c r="C97" i="153" s="1"/>
  <c r="J60" i="151"/>
  <c r="C60" i="153" s="1"/>
  <c r="J68" i="151"/>
  <c r="C68" i="153" s="1"/>
  <c r="J76" i="151"/>
  <c r="L76" i="151" s="1"/>
  <c r="C161" i="153" s="1"/>
  <c r="C76" i="153"/>
  <c r="J49" i="151"/>
  <c r="L49" i="151" s="1"/>
  <c r="C134" i="153" s="1"/>
  <c r="J84" i="151"/>
  <c r="L84" i="151" s="1"/>
  <c r="C169" i="153" s="1"/>
  <c r="J44" i="151"/>
  <c r="L44" i="151" s="1"/>
  <c r="C129" i="153" s="1"/>
  <c r="C44" i="153"/>
  <c r="J36" i="151"/>
  <c r="C36" i="153" s="1"/>
  <c r="J28" i="151"/>
  <c r="L28" i="151" s="1"/>
  <c r="C113" i="153" s="1"/>
  <c r="J20" i="151"/>
  <c r="L20" i="151" s="1"/>
  <c r="C105" i="153" s="1"/>
  <c r="J11" i="151"/>
  <c r="L11" i="151" s="1"/>
  <c r="C96" i="153" s="1"/>
  <c r="J73" i="151"/>
  <c r="C73" i="153" s="1"/>
  <c r="J63" i="151"/>
  <c r="L63" i="151" s="1"/>
  <c r="C148" i="153" s="1"/>
  <c r="J67" i="151"/>
  <c r="C67" i="153" s="1"/>
  <c r="J81" i="151"/>
  <c r="L81" i="151" s="1"/>
  <c r="C166" i="153" s="1"/>
  <c r="J24" i="151"/>
  <c r="L24" i="151" s="1"/>
  <c r="C109" i="153" s="1"/>
  <c r="J16" i="151"/>
  <c r="C16" i="153" s="1"/>
  <c r="J47" i="151"/>
  <c r="C47" i="153" s="1"/>
  <c r="L47" i="151"/>
  <c r="C132" i="153" s="1"/>
  <c r="J39" i="151"/>
  <c r="L39" i="151" s="1"/>
  <c r="C124" i="153" s="1"/>
  <c r="J31" i="151"/>
  <c r="C31" i="153" s="1"/>
  <c r="J87" i="151"/>
  <c r="L87" i="151" s="1"/>
  <c r="C172" i="153" s="1"/>
  <c r="J79" i="151"/>
  <c r="C79" i="153" s="1"/>
  <c r="J13" i="151"/>
  <c r="L13" i="151" s="1"/>
  <c r="C98" i="153" s="1"/>
  <c r="J21" i="151"/>
  <c r="L21" i="151" s="1"/>
  <c r="C106" i="153" s="1"/>
  <c r="J37" i="151"/>
  <c r="L37" i="151" s="1"/>
  <c r="C122" i="153" s="1"/>
  <c r="J45" i="151"/>
  <c r="L45" i="151" s="1"/>
  <c r="C130" i="153" s="1"/>
  <c r="J53" i="151"/>
  <c r="C53" i="153" s="1"/>
  <c r="J61" i="151"/>
  <c r="L61" i="151" s="1"/>
  <c r="C146" i="153" s="1"/>
  <c r="J69" i="151"/>
  <c r="L69" i="151" s="1"/>
  <c r="C154" i="153" s="1"/>
  <c r="J77" i="151"/>
  <c r="C77" i="153" s="1"/>
  <c r="J85" i="151"/>
  <c r="L85" i="151" s="1"/>
  <c r="C170" i="153" s="1"/>
  <c r="J29" i="151"/>
  <c r="C29" i="153" s="1"/>
  <c r="J40" i="151"/>
  <c r="C40" i="153" s="1"/>
  <c r="J52" i="151"/>
  <c r="C52" i="153" s="1"/>
  <c r="J18" i="151"/>
  <c r="L18" i="151" s="1"/>
  <c r="C103" i="153" s="1"/>
  <c r="J51" i="151"/>
  <c r="L51" i="151" s="1"/>
  <c r="C136" i="153" s="1"/>
  <c r="C51" i="153"/>
  <c r="J43" i="151"/>
  <c r="L43" i="151" s="1"/>
  <c r="C128" i="153" s="1"/>
  <c r="J35" i="151"/>
  <c r="L35" i="151" s="1"/>
  <c r="C120" i="153" s="1"/>
  <c r="J27" i="151"/>
  <c r="L27" i="151" s="1"/>
  <c r="C112" i="153" s="1"/>
  <c r="J19" i="151"/>
  <c r="L19" i="151" s="1"/>
  <c r="C104" i="153" s="1"/>
  <c r="J10" i="151"/>
  <c r="L10" i="151" s="1"/>
  <c r="C95" i="153" s="1"/>
  <c r="J72" i="151"/>
  <c r="C72" i="153" s="1"/>
  <c r="J66" i="151"/>
  <c r="C66" i="153" s="1"/>
  <c r="J80" i="151"/>
  <c r="L80" i="151" s="1"/>
  <c r="C165" i="153" s="1"/>
  <c r="J23" i="151"/>
  <c r="L23" i="151" s="1"/>
  <c r="C108" i="153" s="1"/>
  <c r="J64" i="151"/>
  <c r="L64" i="151" s="1"/>
  <c r="C149" i="153" s="1"/>
  <c r="J14" i="151"/>
  <c r="C14" i="153" s="1"/>
  <c r="J22" i="151"/>
  <c r="L22" i="151" s="1"/>
  <c r="C107" i="153" s="1"/>
  <c r="J30" i="151"/>
  <c r="L30" i="151" s="1"/>
  <c r="C115" i="153" s="1"/>
  <c r="J38" i="151"/>
  <c r="C38" i="153" s="1"/>
  <c r="J46" i="151"/>
  <c r="C46" i="153" s="1"/>
  <c r="J54" i="151"/>
  <c r="L54" i="151" s="1"/>
  <c r="C139" i="153" s="1"/>
  <c r="J62" i="151"/>
  <c r="L62" i="151" s="1"/>
  <c r="C147" i="153" s="1"/>
  <c r="J70" i="151"/>
  <c r="C70" i="153" s="1"/>
  <c r="J78" i="151"/>
  <c r="L78" i="151" s="1"/>
  <c r="C163" i="153" s="1"/>
  <c r="C78" i="153"/>
  <c r="J86" i="151"/>
  <c r="L86" i="151" s="1"/>
  <c r="C171" i="153" s="1"/>
  <c r="C86" i="153"/>
  <c r="L32" i="151" l="1"/>
  <c r="C117" i="153" s="1"/>
  <c r="C30" i="153"/>
  <c r="L14" i="151"/>
  <c r="C99" i="153" s="1"/>
  <c r="L17" i="151"/>
  <c r="C102" i="153" s="1"/>
  <c r="L79" i="151"/>
  <c r="C164" i="153" s="1"/>
  <c r="C18" i="153"/>
  <c r="C20" i="153"/>
  <c r="C49" i="153"/>
  <c r="C74" i="153"/>
  <c r="L67" i="151"/>
  <c r="C152" i="153" s="1"/>
  <c r="C65" i="153"/>
  <c r="C54" i="153"/>
  <c r="L70" i="151"/>
  <c r="C155" i="153" s="1"/>
  <c r="C19" i="153"/>
  <c r="L59" i="151"/>
  <c r="C144" i="153" s="1"/>
  <c r="C28" i="153"/>
  <c r="C34" i="153"/>
  <c r="L29" i="151"/>
  <c r="C114" i="153" s="1"/>
  <c r="C37" i="153"/>
  <c r="L52" i="151"/>
  <c r="C137" i="153" s="1"/>
  <c r="L66" i="151"/>
  <c r="C151" i="153" s="1"/>
  <c r="C39" i="153"/>
  <c r="C61" i="153"/>
  <c r="L31" i="151"/>
  <c r="C116" i="153" s="1"/>
  <c r="L16" i="151"/>
  <c r="C101" i="153" s="1"/>
  <c r="C63" i="153"/>
  <c r="L53" i="151"/>
  <c r="C138" i="153" s="1"/>
  <c r="C42" i="153"/>
  <c r="L8" i="151"/>
  <c r="C93" i="153" s="1"/>
  <c r="L55" i="151"/>
  <c r="C140" i="153" s="1"/>
  <c r="C9" i="153"/>
  <c r="C22" i="153"/>
  <c r="L46" i="151"/>
  <c r="C131" i="153" s="1"/>
  <c r="C85" i="153"/>
  <c r="C45" i="153"/>
  <c r="C87" i="153"/>
  <c r="C11" i="153"/>
  <c r="C33" i="153"/>
  <c r="L57" i="151"/>
  <c r="C142" i="153" s="1"/>
  <c r="C81" i="153"/>
  <c r="L72" i="151"/>
  <c r="C157" i="153" s="1"/>
  <c r="L48" i="151"/>
  <c r="C133" i="153" s="1"/>
  <c r="C82" i="153"/>
  <c r="C80" i="153"/>
  <c r="C27" i="153"/>
  <c r="C69" i="153"/>
  <c r="L71" i="151"/>
  <c r="C156" i="153" s="1"/>
  <c r="C41" i="153"/>
  <c r="C64" i="153"/>
  <c r="C83" i="153"/>
  <c r="L73" i="151"/>
  <c r="C158" i="153" s="1"/>
  <c r="C50" i="153"/>
  <c r="C26" i="153"/>
  <c r="L56" i="151"/>
  <c r="C141" i="153" s="1"/>
  <c r="L36" i="151"/>
  <c r="C121" i="153" s="1"/>
  <c r="C62" i="153"/>
  <c r="C23" i="153"/>
  <c r="C24" i="153"/>
  <c r="C84" i="153"/>
  <c r="C35" i="153"/>
  <c r="C21" i="153"/>
  <c r="L60" i="151"/>
  <c r="C145" i="153" s="1"/>
  <c r="L40" i="151"/>
  <c r="C125" i="153" s="1"/>
  <c r="L77" i="151"/>
  <c r="C162" i="153" s="1"/>
  <c r="L25" i="151"/>
  <c r="C110" i="153" s="1"/>
  <c r="C75" i="153"/>
  <c r="C58" i="153"/>
  <c r="L38" i="151"/>
  <c r="C123" i="153" s="1"/>
  <c r="C10" i="153"/>
  <c r="C43" i="153"/>
  <c r="C13" i="153"/>
  <c r="L68" i="151"/>
  <c r="C153" i="153" s="1"/>
  <c r="C12" i="153"/>
  <c r="C15" i="153"/>
  <c r="J8" i="178" l="1"/>
  <c r="C8" i="180" s="1"/>
  <c r="C49" i="180"/>
  <c r="C50" i="180"/>
  <c r="C9" i="180" l="1"/>
  <c r="L8" i="178"/>
  <c r="C48" i="180" s="1"/>
  <c r="C51" i="18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tc={329D1F46-98FC-4CF3-B697-4575097C632E}</author>
    <author>tc={23804839-EDB8-406C-9485-B73A69E8DA2F}</author>
  </authors>
  <commentList>
    <comment ref="D48" authorId="0" shapeId="0" xr:uid="{329D1F46-98FC-4CF3-B697-4575097C632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23804839-EDB8-406C-9485-B73A69E8DA2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tc={2C4B528D-A566-4F5F-B181-3FA39A9C91E7}</author>
    <author>tc={578AEC0A-47D8-487C-8878-2651F711EF13}</author>
  </authors>
  <commentList>
    <comment ref="D48" authorId="0" shapeId="0" xr:uid="{2C4B528D-A566-4F5F-B181-3FA39A9C91E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578AEC0A-47D8-487C-8878-2651F711EF1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<sst xmlns="http://schemas.openxmlformats.org/spreadsheetml/2006/main" count="5288" uniqueCount="1457">
  <si>
    <t>CodeableConcept</t>
  </si>
  <si>
    <t>string</t>
  </si>
  <si>
    <t>BackboneElement</t>
  </si>
  <si>
    <t>Description</t>
  </si>
  <si>
    <t xml:space="preserve">Data Element </t>
  </si>
  <si>
    <t>Data element description</t>
  </si>
  <si>
    <t>min</t>
  </si>
  <si>
    <t>max</t>
  </si>
  <si>
    <t>dataType</t>
  </si>
  <si>
    <t>*</t>
  </si>
  <si>
    <t>Title</t>
  </si>
  <si>
    <t>Name</t>
  </si>
  <si>
    <t>hl7.org/fhir/r4</t>
  </si>
  <si>
    <t>fhir</t>
  </si>
  <si>
    <t>Target</t>
  </si>
  <si>
    <t>Id</t>
  </si>
  <si>
    <t>Mapping</t>
  </si>
  <si>
    <t>Source</t>
  </si>
  <si>
    <t>//  Logical Model</t>
  </si>
  <si>
    <t>// -------------------------------------------------------------------------------</t>
  </si>
  <si>
    <t>//  Map to FHIR R4</t>
  </si>
  <si>
    <t>Date of birth</t>
  </si>
  <si>
    <t>Marital status</t>
  </si>
  <si>
    <t>Required</t>
  </si>
  <si>
    <t>Gender</t>
  </si>
  <si>
    <t>Date</t>
  </si>
  <si>
    <t>Cause of death</t>
  </si>
  <si>
    <t>Code</t>
  </si>
  <si>
    <t>Type</t>
  </si>
  <si>
    <t>TNM</t>
  </si>
  <si>
    <t>Version</t>
  </si>
  <si>
    <t>Status</t>
  </si>
  <si>
    <t>ATC</t>
  </si>
  <si>
    <t>Location</t>
  </si>
  <si>
    <t>Osiris</t>
  </si>
  <si>
    <t>1</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</si>
  <si>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</si>
  <si>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</si>
  <si>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</si>
  <si>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</si>
  <si>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</si>
  <si>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</si>
  <si>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</si>
  <si>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</si>
  <si>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</si>
  <si>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</si>
  <si>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</si>
  <si>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</si>
  <si>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</si>
  <si>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</si>
  <si>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</si>
  <si>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</si>
  <si>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</si>
  <si>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</si>
  <si>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</si>
  <si>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</si>
  <si>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</si>
  <si>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</si>
  <si>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</si>
  <si>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</si>
  <si>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</si>
  <si>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</si>
  <si>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</si>
  <si>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</si>
  <si>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</si>
  <si>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</si>
  <si>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</si>
  <si>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</si>
  <si>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</si>
  <si>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</si>
  <si>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</si>
  <si>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</si>
  <si>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</si>
  <si>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</si>
  <si>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</si>
  <si>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</si>
  <si>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</si>
  <si>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</si>
  <si>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</si>
  <si>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</si>
  <si>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InstanceOf: ConceptMap</t>
  </si>
  <si>
    <t xml:space="preserve">//  Concept Model. File: </t>
  </si>
  <si>
    <t>* sourceUri = ##34#http://hl7.eu/fhir/ig/idea4rc/StructureDefinition/Subject##34#</t>
  </si>
  <si>
    <t>* targetUri = ##34#http://hl7.eu/fhir/ig/idea4rc/StructureDefinition/Osiris##34#</t>
  </si>
  <si>
    <t>* group[0].source = ##34#http://hl7.eu/fhir/ig/idea4rc/StructureDefinition/Subject##34#</t>
  </si>
  <si>
    <t>* group[=].target = ##34#http://hl7.eu/fhir/ig/idea4rc/StructureDefinition/Osiris##34#</t>
  </si>
  <si>
    <t>subject-to-osiris-map.fsh</t>
  </si>
  <si>
    <t>Instance: ConceptMapSubject2Osiris</t>
  </si>
  <si>
    <t>* url = ##34#http://terminology.hl7.it/ConceptMap/ConceptMap-subject2osiris##34#</t>
  </si>
  <si>
    <t>* name = ##34#Subject2Osiris##34#</t>
  </si>
  <si>
    <t>* title = ##34#IDEA4RC Subject model to Osiris mapping##34#</t>
  </si>
  <si>
    <t>* description = ##334#IDEA4RC Subject model to Osiris mapping##334#</t>
  </si>
  <si>
    <t>* purpose = ##34#It shows how the IDEA4RC subject model is mapped into Osiris##34#</t>
  </si>
  <si>
    <t>ICD-O</t>
  </si>
  <si>
    <t>TBD</t>
  </si>
  <si>
    <t>Comment</t>
  </si>
  <si>
    <t>//  Comments</t>
  </si>
  <si>
    <t>//===================================================</t>
  </si>
  <si>
    <t>//--------------------------------------------------------------------------------</t>
  </si>
  <si>
    <t>type</t>
  </si>
  <si>
    <t>HospitalDischargeReportEHN</t>
  </si>
  <si>
    <t>HospitalDischargeReport</t>
  </si>
  <si>
    <t>Hospital Discharge Report
Maturity Level: 0 Draft</t>
  </si>
  <si>
    <t>#</t>
  </si>
  <si>
    <t>Data element</t>
  </si>
  <si>
    <t>Preferred Code System/Valueset</t>
  </si>
  <si>
    <t>Cardinality</t>
  </si>
  <si>
    <t>M/R/O</t>
  </si>
  <si>
    <t>A.1 </t>
  </si>
  <si>
    <t>Report header data element</t>
  </si>
  <si>
    <t>1..1</t>
  </si>
  <si>
    <t>Mandatory</t>
  </si>
  <si>
    <t>A.1.1 </t>
  </si>
  <si>
    <t>Identification of the patient/subject</t>
  </si>
  <si>
    <t>A.1.1.1</t>
  </si>
  <si>
    <t>Given name </t>
  </si>
  <si>
    <t>The given name/first name of the patient (also known as forename or first name). This field can contain more than one element.  </t>
  </si>
  <si>
    <t>1..*</t>
  </si>
  <si>
    <t>A.1.1.2</t>
  </si>
  <si>
    <t>Family name/surname</t>
  </si>
  <si>
    <t>The family name/surname/last name of the patient. This field can contain more than one element or multiple fields could be present. </t>
  </si>
  <si>
    <t>A.1.1.3</t>
  </si>
  <si>
    <t>Date of birth </t>
  </si>
  <si>
    <t>The date of birth of the patient [ISO TS 22220]. As age of the patient might be important for correct interpretation of the test result values, complete date of birth should be provided.</t>
  </si>
  <si>
    <t>A.1.1.4</t>
  </si>
  <si>
    <t>Personal identifier </t>
  </si>
  <si>
    <t>An identifier of the patient that is unique within a defined scope. Example: National ID (birth number) for Czech patient. Multiple identifiers could be provided.  </t>
  </si>
  <si>
    <t>A.1.1.5</t>
  </si>
  <si>
    <t>Nationality</t>
  </si>
  <si>
    <t>Nationality of the patient.</t>
  </si>
  <si>
    <t>eHDSICountry (ISO 3166)</t>
  </si>
  <si>
    <t>0..*</t>
  </si>
  <si>
    <t>A.1.1.6</t>
  </si>
  <si>
    <t>This field must contain a recognised valid value for "administrative gender". If different, "physiological gender" should be communicated elsewhere.</t>
  </si>
  <si>
    <t>HL7 Administrative Gender </t>
  </si>
  <si>
    <t>A.1.1.7</t>
  </si>
  <si>
    <t>Language communication</t>
  </si>
  <si>
    <t>Patient communication language. Multiple communication languages might be provided.  </t>
  </si>
  <si>
    <t>BCP 47</t>
  </si>
  <si>
    <t>Optional</t>
  </si>
  <si>
    <t>A.1.2 </t>
  </si>
  <si>
    <t>Patient/subject related contact information</t>
  </si>
  <si>
    <t>0..1</t>
  </si>
  <si>
    <t>A.1.2.1</t>
  </si>
  <si>
    <t>Patient address</t>
  </si>
  <si>
    <t>A.1.2.1.1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</si>
  <si>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</si>
  <si>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</si>
  <si>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A.1.2.1.2</t>
  </si>
  <si>
    <t>Telecom</t>
  </si>
  <si>
    <t>Telecommunication contact information (addresses) associated to a person. Multiple telecommunication addresses might be provided.</t>
  </si>
  <si>
    <t>A.1.2.2</t>
  </si>
  <si>
    <r>
      <t xml:space="preserve">Preferred healthcare professional (HP) </t>
    </r>
    <r>
      <rPr>
        <sz val="12"/>
        <color theme="1"/>
        <rFont val="Times New Roman"/>
        <family val="1"/>
        <charset val="238"/>
      </rPr>
      <t>- This section can be repeated and linked to any specific information in the document, for example a link between a rare disease problem and the rare disease specialist responsible for the care of the individual patient (this section).</t>
    </r>
  </si>
  <si>
    <t>A.1.2.2.1</t>
  </si>
  <si>
    <t>Identifier</t>
  </si>
  <si>
    <t>An identifier of the healthcare professional that is unique within a defined scope. Example: National healthcare professional ID. Multiple identifiers could be provided.</t>
  </si>
  <si>
    <t>A.1.2.2.2</t>
  </si>
  <si>
    <t>Name of the HP</t>
  </si>
  <si>
    <t>Name of the Health Professional that has been treating or taking responsibility for the patient.</t>
  </si>
  <si>
    <t>[the structure of the name will be the same as for the patient (given name, family name / surname)]</t>
  </si>
  <si>
    <t>This element can be repeated if several medical problems for the patient require multiple contact information, with references from individual entries.</t>
  </si>
  <si>
    <t>A.1.2.2.3</t>
  </si>
  <si>
    <t>Role of the HP</t>
  </si>
  <si>
    <t>Healthcare professional role</t>
  </si>
  <si>
    <t>ISCO or SNOMED CT specialty - to be discussed</t>
  </si>
  <si>
    <t>A.1.2.2.4</t>
  </si>
  <si>
    <t>HP Organisation</t>
  </si>
  <si>
    <t>Healthcare Professional Organisation</t>
  </si>
  <si>
    <t>A.1.2.2.5</t>
  </si>
  <si>
    <t>A.1.2.2.6</t>
  </si>
  <si>
    <t>A.1.2.3</t>
  </si>
  <si>
    <t>Contact person/ legal guardian</t>
  </si>
  <si>
    <t>A.1.2.3.1</t>
  </si>
  <si>
    <t>Role of that person</t>
  </si>
  <si>
    <t>Role of the contact person: legal guardian, next of kin, other person to contact.</t>
  </si>
  <si>
    <t>http://terminology.hl7.org/CodeSystem/v3-RoleClass</t>
  </si>
  <si>
    <t>A.1.2.3.2</t>
  </si>
  <si>
    <t>Relationship level </t>
  </si>
  <si>
    <t>Relationship type with the patient (e.g. father, wife, daughter)</t>
  </si>
  <si>
    <t>eHDSIPersonalRelationship</t>
  </si>
  <si>
    <t>A.1.2.3.3</t>
  </si>
  <si>
    <t>An identifier of the healthcare professional that is unique within a defined scope. Example: National personal ID, passport number etc. Multiple identifiers could be provided.  </t>
  </si>
  <si>
    <t>A.1.2.3.4</t>
  </si>
  <si>
    <t>Given name</t>
  </si>
  <si>
    <t>The first name of the contact person/guardian (example: Peter). This field can contain more than one element.</t>
  </si>
  <si>
    <t>A.1.2.3.5</t>
  </si>
  <si>
    <t>This field can contain more than one element. Example: Español Smith</t>
  </si>
  <si>
    <t>A.1.2.3.6</t>
  </si>
  <si>
    <t>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</si>
  <si>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A.1.2.3.7</t>
  </si>
  <si>
    <t>A.1.3 </t>
  </si>
  <si>
    <r>
      <t xml:space="preserve">Health insurance and payment information </t>
    </r>
    <r>
      <rPr>
        <sz val="12"/>
        <color theme="1"/>
        <rFont val="Times New Roman"/>
        <family val="1"/>
        <charset val="238"/>
      </rPr>
      <t>- Health insurance information is not always required, however, in some jurisdictions, the insurance number is also used as the patient identifier. It is necessary not just for identification but also forms access to funding for care. </t>
    </r>
  </si>
  <si>
    <t>A.1.3.1</t>
  </si>
  <si>
    <t>Health insurance code</t>
  </si>
  <si>
    <t>Unique health insurance company identification code.</t>
  </si>
  <si>
    <t>A.1.3.2</t>
  </si>
  <si>
    <t>Health insurance name</t>
  </si>
  <si>
    <t>Full, official name of the healthcare insurance provider.</t>
  </si>
  <si>
    <t>A.1.3.3</t>
  </si>
  <si>
    <t>Health insurance number</t>
  </si>
  <si>
    <t>Number or code under which the insured person is registered at the insurance provider.</t>
  </si>
  <si>
    <t>A.1.4 </t>
  </si>
  <si>
    <r>
      <t xml:space="preserve">Information recipient - </t>
    </r>
    <r>
      <rPr>
        <sz val="12"/>
        <color theme="1"/>
        <rFont val="Times New Roman"/>
        <family val="1"/>
        <charset val="238"/>
      </rPr>
      <t>(intended recipient or recipients of the report, additional recipients might be identified by the ordering party, e.g. GP, other specialist)</t>
    </r>
  </si>
  <si>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</si>
  <si>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</si>
  <si>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</si>
  <si>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</si>
  <si>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</si>
  <si>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</si>
  <si>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</si>
  <si>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ID</t>
  </si>
  <si>
    <t>The healthcare provider organization identifier if known. Identifier that is unique within a defined scope. Example: National healthcare provider ID. Multiple identifiers could be provided.  </t>
  </si>
  <si>
    <t>A.1.4.4</t>
  </si>
  <si>
    <t>Recipient organization </t>
  </si>
  <si>
    <t>The healthcare provider organization information.</t>
  </si>
  <si>
    <t>A.1.5 </t>
  </si>
  <si>
    <t>Author (by whom the Hospital discharge report was authored)</t>
  </si>
  <si>
    <t>A.1.5.1</t>
  </si>
  <si>
    <t>Author identifier</t>
  </si>
  <si>
    <t>The health professional identification number. Either an internal identifier assigned by a healthcare provider institution or (preferably) a national health professional ID such as the license or registration number. </t>
  </si>
  <si>
    <t>A.1.5.2</t>
  </si>
  <si>
    <t>Author name</t>
  </si>
  <si>
    <t>A.1.5.3</t>
  </si>
  <si>
    <t>Author organization ID</t>
  </si>
  <si>
    <t>A.1.5.4</t>
  </si>
  <si>
    <t>Author organization </t>
  </si>
  <si>
    <t>A.1.5.5</t>
  </si>
  <si>
    <t>DateTime</t>
  </si>
  <si>
    <t>Date and time of the last modification of the document by its Author.</t>
  </si>
  <si>
    <t>A.1.6 </t>
  </si>
  <si>
    <t>Attester </t>
  </si>
  <si>
    <t>A.1.6.1</t>
  </si>
  <si>
    <t>Attester identifier</t>
  </si>
  <si>
    <t>A.1.6.2</t>
  </si>
  <si>
    <t>Attester name</t>
  </si>
  <si>
    <t>A.1.6.3</t>
  </si>
  <si>
    <t>Attester organization ID</t>
  </si>
  <si>
    <t>A.1.6.4</t>
  </si>
  <si>
    <t>Attester organization </t>
  </si>
  <si>
    <t>A.1.6.5</t>
  </si>
  <si>
    <t>Approval date and time</t>
  </si>
  <si>
    <t>Date and time of the approval of the document by Attester.</t>
  </si>
  <si>
    <t>A.1.7 </t>
  </si>
  <si>
    <r>
      <t>Legal authenticator</t>
    </r>
    <r>
      <rPr>
        <sz val="12"/>
        <color theme="1"/>
        <rFont val="Times New Roman"/>
        <family val="1"/>
        <charset val="238"/>
      </rPr>
      <t xml:space="preserve"> (The person taking responsibility for the medical content of the document)</t>
    </r>
  </si>
  <si>
    <t>A.1.7.1</t>
  </si>
  <si>
    <t>Legal authenticator identifier</t>
  </si>
  <si>
    <t>A.1.7.2</t>
  </si>
  <si>
    <t>Legal authenticator name</t>
  </si>
  <si>
    <t>Legal authenticator organization ID</t>
  </si>
  <si>
    <t>A.1.7.3</t>
  </si>
  <si>
    <t>Legal authenticator organization </t>
  </si>
  <si>
    <t>A.1.7.4</t>
  </si>
  <si>
    <t>Authentication date and time</t>
  </si>
  <si>
    <t>Date and time when the document was authorized.</t>
  </si>
  <si>
    <t>A.1.8 </t>
  </si>
  <si>
    <t>Document metadata</t>
  </si>
  <si>
    <t>A.1.8.1</t>
  </si>
  <si>
    <t>Document ID</t>
  </si>
  <si>
    <t>Unique identifier of the document</t>
  </si>
  <si>
    <t>A.1.8.2</t>
  </si>
  <si>
    <t>Document type</t>
  </si>
  <si>
    <t>A coded type of the document. Fixed value "Hospital dicharge summary"</t>
  </si>
  <si>
    <t>LOINC</t>
  </si>
  <si>
    <t>A.1.8.3</t>
  </si>
  <si>
    <t>Document status</t>
  </si>
  <si>
    <t>The status of the Hospital discharge report. E.g., preliminary, final.</t>
  </si>
  <si>
    <t>hl7:CompositionStatus </t>
  </si>
  <si>
    <t>A.1.8.4</t>
  </si>
  <si>
    <t>Report date and time</t>
  </si>
  <si>
    <t>Date and time of the result report creation.</t>
  </si>
  <si>
    <t>A.1.8.5</t>
  </si>
  <si>
    <t>Document title</t>
  </si>
  <si>
    <t>Document title, e.g. "Hospital discharge report"</t>
  </si>
  <si>
    <t>A.1.8.6</t>
  </si>
  <si>
    <t>Report custodian</t>
  </si>
  <si>
    <t>Organisation that is in charge of maintaining the report</t>
  </si>
  <si>
    <t>A.1.8.7</t>
  </si>
  <si>
    <t>Confidentiality</t>
  </si>
  <si>
    <t>Level of confidentiality of the document. Implicit value is normal.</t>
  </si>
  <si>
    <t>hl7:confidentiality</t>
  </si>
  <si>
    <t>A.1.8.8</t>
  </si>
  <si>
    <t>Language</t>
  </si>
  <si>
    <t>Language in which the document is written. Language is expressed by the ISO language code.</t>
  </si>
  <si>
    <t>A.1.8.9</t>
  </si>
  <si>
    <t>Version of the document</t>
  </si>
  <si>
    <t>A.1.9</t>
  </si>
  <si>
    <t>Digital signatures</t>
  </si>
  <si>
    <t>A.1.9.1</t>
  </si>
  <si>
    <t>Digital signature</t>
  </si>
  <si>
    <t>Digital signature of the document</t>
  </si>
  <si>
    <t>A.1.9.2</t>
  </si>
  <si>
    <t>Time stamp</t>
  </si>
  <si>
    <t>An electronic time stamp</t>
  </si>
  <si>
    <t>A.2.1</t>
  </si>
  <si>
    <t>Advance directives</t>
  </si>
  <si>
    <t>A.2.1.1</t>
  </si>
  <si>
    <t>Living will</t>
  </si>
  <si>
    <t>Only directives being expressed only during current inpatient stay.</t>
  </si>
  <si>
    <t>A.2.1.1.1</t>
  </si>
  <si>
    <t>Date and time</t>
  </si>
  <si>
    <t>The date and time on which the living will was recorded.</t>
  </si>
  <si>
    <t>A.2.1.1.2</t>
  </si>
  <si>
    <t>Type of a living will, e.g. Do not resuscitate, donorship statement, power of attorney etc.</t>
  </si>
  <si>
    <t>SNOMED CT, value set</t>
  </si>
  <si>
    <t>A.2.1.1.3</t>
  </si>
  <si>
    <t>Comment on the living will.</t>
  </si>
  <si>
    <t>A.2.1.1.4</t>
  </si>
  <si>
    <t>Related conditions</t>
  </si>
  <si>
    <t>The problem or disorder to which the living will applies.</t>
  </si>
  <si>
    <t>ICD-10*</t>
  </si>
  <si>
    <t>SNOMED CT GPS</t>
  </si>
  <si>
    <t>Orphacode if rare disease is diagnosed</t>
  </si>
  <si>
    <t>A.2.1.1.5</t>
  </si>
  <si>
    <t>Living will document</t>
  </si>
  <si>
    <t>Scanned source document with the living will and the patient's signature, such as a PDF.</t>
  </si>
  <si>
    <t>A.2.2</t>
  </si>
  <si>
    <t>Emergency information</t>
  </si>
  <si>
    <t>A.2.2.1</t>
  </si>
  <si>
    <t>Allergy and Intolerance</t>
  </si>
  <si>
    <t>A record of allergies and intolerances is mandatory. For patients without allergies or intolerances, this fact must be explicitly expressed with the appropriate code.</t>
  </si>
  <si>
    <t>A.2.2.1.1</t>
  </si>
  <si>
    <t>Allergy description</t>
  </si>
  <si>
    <t>Textual description of the allergy or intolerance</t>
  </si>
  <si>
    <t>A.2.2.1.2</t>
  </si>
  <si>
    <t>Agent or Allergen</t>
  </si>
  <si>
    <t>A specific allergen or other agent/substance (drug, food, chemical agent, etc.) to which the patient has an adverse reaction propensity.</t>
  </si>
  <si>
    <t>SNOMED CT</t>
  </si>
  <si>
    <t>DLP</t>
  </si>
  <si>
    <t>A.2.2.1.3</t>
  </si>
  <si>
    <t>Type of propensity</t>
  </si>
  <si>
    <t>This element describes whether this condition refers to an allergy, non-allergy intolerance, or unknown class of intolerance (not known to be allergy or intolerance)</t>
  </si>
  <si>
    <t>SNOMED CT </t>
  </si>
  <si>
    <t>A.2.2.1.4</t>
  </si>
  <si>
    <t>Allergy manifestation</t>
  </si>
  <si>
    <t>Description of the clinical manifestation of the allergic reaction including date of manifestation and severity. Example: anaphylactic shock, angioedema (the clinical manifestation also gives information about the severity of the observed reaction)</t>
  </si>
  <si>
    <t>A.2.2.1.5</t>
  </si>
  <si>
    <t>Criticality</t>
  </si>
  <si>
    <t>Potential risk for future life-threatening adverse reactions when exposed to a substance known to cause an adverse reaction.</t>
  </si>
  <si>
    <t>A.2.2.1.6</t>
  </si>
  <si>
    <t>Onset date</t>
  </si>
  <si>
    <t>Date of onset of allergy, e.g., date of the first observation of the reaction. Could be also expressed using a life period (childhood, adolescency)</t>
  </si>
  <si>
    <t>SNOMED CT (Age group)</t>
  </si>
  <si>
    <t>A.2.2.1.7</t>
  </si>
  <si>
    <t>End date</t>
  </si>
  <si>
    <t>Date of resolution of the allergy (e.g. when the clinician deemed there is no longer any need to track the underlying condition)</t>
  </si>
  <si>
    <t>A.2.2.1.8</t>
  </si>
  <si>
    <t>Current status of the allergy or intolerance, for example, whether it is active, in remission, resolved, and so on …</t>
  </si>
  <si>
    <t>Active, resolved, …</t>
  </si>
  <si>
    <t>A.2.2.1.9</t>
  </si>
  <si>
    <t>Certainty</t>
  </si>
  <si>
    <t>Assertion about the certainty associated with a propensity, or potential risk, of a reaction to the identified substance. Diagnostic and/or clinical evidence of condition.</t>
  </si>
  <si>
    <t>A.2.2.1.10</t>
  </si>
  <si>
    <t>Last Manifestation</t>
  </si>
  <si>
    <t>Daten (and time) of last known manifestation.</t>
  </si>
  <si>
    <t>A.2.2.2</t>
  </si>
  <si>
    <t>Medical alerts</t>
  </si>
  <si>
    <t>A.2.2.2.1</t>
  </si>
  <si>
    <t>Alert name</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</si>
  <si>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</si>
  <si>
    <t>The warning can be entered in code (there are codes for frequently used alerts), but seeing the dynamic nature of the warnings cf. SARS and Ebola, these alerts will often be entered as free text.</t>
  </si>
  <si>
    <t>A.2.2.2.3</t>
  </si>
  <si>
    <t>Condition</t>
  </si>
  <si>
    <t>The patient’s health problem or condition that is the subject of the alert. This could involve a patient’s problem, condition or diagnosis that is seen as a contraindication in prescribing medication or which has to be taken into account when shaping diagnostic and therapeutic policy. This can be in the patient’s own interest, or it can involve a problem or disorder that can make the patient a risk to their surroundings, such as an infection hazard. These are references to conditions included on the patient’s problem list.</t>
  </si>
  <si>
    <t>MKN-10*</t>
  </si>
  <si>
    <t>Orphacode</t>
  </si>
  <si>
    <t>A.2.2.2.4</t>
  </si>
  <si>
    <t>Specialist contact</t>
  </si>
  <si>
    <t>A reference to the specialist treating the condition, esp. if it is a rare disease.</t>
  </si>
  <si>
    <t>A.2.2.2.5</t>
  </si>
  <si>
    <t>Explanatory comments to the alert that cannot be expressed in any of the other elements.</t>
  </si>
  <si>
    <t>A.2.2.2.6</t>
  </si>
  <si>
    <t>Level</t>
  </si>
  <si>
    <t>Level of the alert or risk.</t>
  </si>
  <si>
    <t>A.2.2.2.7</t>
  </si>
  <si>
    <t>Period</t>
  </si>
  <si>
    <t>Period of time when the alert was effective. Only start date will be recorded most of the time. </t>
  </si>
  <si>
    <t>A.2.3 </t>
  </si>
  <si>
    <t>Encounter</t>
  </si>
  <si>
    <t>A.2.3.1</t>
  </si>
  <si>
    <t>Encounter type</t>
  </si>
  <si>
    <t>The type of the encounter whether inpatient or short stay encounter.</t>
  </si>
  <si>
    <t>Selection from hl7v3:ActEncounterCode</t>
  </si>
  <si>
    <t>A.2.3.2</t>
  </si>
  <si>
    <t>Encounter note</t>
  </si>
  <si>
    <t>A narrative description of the encounter course.</t>
  </si>
  <si>
    <t>A.2.3.3</t>
  </si>
  <si>
    <t>Admission</t>
  </si>
  <si>
    <t>A.2.3.3.1</t>
  </si>
  <si>
    <t>Admission urgency</t>
  </si>
  <si>
    <t>Admission type, either emergency or planned</t>
  </si>
  <si>
    <t>http://terminology.hl7.org/ValueSet/v3-xEncounterAdmissionUrgency</t>
  </si>
  <si>
    <t>A.2.3.3.2</t>
  </si>
  <si>
    <t>Admission date</t>
  </si>
  <si>
    <t>Admission date and time.</t>
  </si>
  <si>
    <t>A.2.3.3.3</t>
  </si>
  <si>
    <t>Admitting professional Id</t>
  </si>
  <si>
    <t>A.2.3.3.4</t>
  </si>
  <si>
    <t>Admitting professional name</t>
  </si>
  <si>
    <t>A.2.3.3.5</t>
  </si>
  <si>
    <t>Admit Source</t>
  </si>
  <si>
    <t>From where patient was admitted (e.g. physician referral, transfer).</t>
  </si>
  <si>
    <t>http://terminology.hl7.org/CodeSystem/admit-source</t>
  </si>
  <si>
    <t>A.2.3.3.6</t>
  </si>
  <si>
    <t>Referring professional Id</t>
  </si>
  <si>
    <t>A.2.3.3.7</t>
  </si>
  <si>
    <t>Referring professional name</t>
  </si>
  <si>
    <t>A.2.3.3.8</t>
  </si>
  <si>
    <t>Referring organization</t>
  </si>
  <si>
    <t>A.2.3.4</t>
  </si>
  <si>
    <t>Admission reason</t>
  </si>
  <si>
    <t>A.2.3.4.1</t>
  </si>
  <si>
    <t>Reason for admission, e.g. Problem, procedure or finding.</t>
  </si>
  <si>
    <t>A.2.3.4.2</t>
  </si>
  <si>
    <t>Admission reason comment</t>
  </si>
  <si>
    <t>Explanation of the reason for the encounter.</t>
  </si>
  <si>
    <t>A.2.3.4.3</t>
  </si>
  <si>
    <t>Admission legal status</t>
  </si>
  <si>
    <t>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t>
  </si>
  <si>
    <t>A.2.3.5</t>
  </si>
  <si>
    <t>Discharge</t>
  </si>
  <si>
    <t>A.2.3.5.1</t>
  </si>
  <si>
    <t>Discharge date</t>
  </si>
  <si>
    <t>Discharge date and time</t>
  </si>
  <si>
    <t>A.2.3.5.2</t>
  </si>
  <si>
    <t>Discharge destination type</t>
  </si>
  <si>
    <t>Type of location to which the patient will go after the encounter. E.g. home, hospital, nursing home, left against medical advice etc.  </t>
  </si>
  <si>
    <t>http://terminology.hl7.org/CodeSystem/discharge-disposition</t>
  </si>
  <si>
    <t>A.2.3.5.3</t>
  </si>
  <si>
    <t>Destination location</t>
  </si>
  <si>
    <t>The location/organization to which the patient will go after the encounter. Name, address and telecommunication contact.</t>
  </si>
  <si>
    <t>A.2.3.6</t>
  </si>
  <si>
    <r>
      <t>Location -</t>
    </r>
    <r>
      <rPr>
        <sz val="12"/>
        <color theme="1"/>
        <rFont val="Times New Roman"/>
        <family val="1"/>
        <charset val="238"/>
      </rPr>
      <t xml:space="preserve"> All locations/departments where the patient stayed within the hospital.</t>
    </r>
  </si>
  <si>
    <t>A.2.3.6.1</t>
  </si>
  <si>
    <t>Time period during which the patient was present at the location</t>
  </si>
  <si>
    <t>A.2.3.6.2</t>
  </si>
  <si>
    <t>Organization Id</t>
  </si>
  <si>
    <t>The organization’s part identifier.</t>
  </si>
  <si>
    <t>A.2.3.6.3</t>
  </si>
  <si>
    <t>Organization Part Name</t>
  </si>
  <si>
    <t>Full name of the organization part, e.g. Name of the department</t>
  </si>
  <si>
    <t>A.2.3.6.4</t>
  </si>
  <si>
    <t>Organization Part Details</t>
  </si>
  <si>
    <t>Address, contact names and contact details, specialty of the organization part.</t>
  </si>
  <si>
    <t>A.2.4</t>
  </si>
  <si>
    <r>
      <t xml:space="preserve">Admission evaluation - </t>
    </r>
    <r>
      <rPr>
        <sz val="12"/>
        <color theme="1"/>
        <rFont val="Times New Roman"/>
        <family val="1"/>
        <charset val="238"/>
      </rPr>
      <t>Admission status should be reported exceptionally only if it is relevant to ensure continuity of care.</t>
    </r>
  </si>
  <si>
    <t>A.2.4.1</t>
  </si>
  <si>
    <t>Objective findings</t>
  </si>
  <si>
    <t>A.2.4.1.1</t>
  </si>
  <si>
    <t>Date and time of the examination</t>
  </si>
  <si>
    <t>A.2.4.1.2</t>
  </si>
  <si>
    <t>Performer</t>
  </si>
  <si>
    <t>Identifies the originator/author and provides provenance information about the source of the results data that may have not originated with the source of the whole document.</t>
  </si>
  <si>
    <t>A.2.4.1.3</t>
  </si>
  <si>
    <t>Anthropometric obsevations</t>
  </si>
  <si>
    <t>Observation of Body weight and height of the patient, BMI, circumference of head, waist, hip, limbs and skin fold thickness.</t>
  </si>
  <si>
    <t>Result of the observation includes text, numeric and coded results of the measurement including measurement units.</t>
  </si>
  <si>
    <t>A.2.4.1.3.1</t>
  </si>
  <si>
    <t>Observation category</t>
  </si>
  <si>
    <t>Fixed value "vital-signs"</t>
  </si>
  <si>
    <t>A.2.4.1.3.2</t>
  </si>
  <si>
    <t>Observation description</t>
  </si>
  <si>
    <t>Observation details including code that identifies observation, specification of the observed body structure or specimen, date and time of the specimen collection.</t>
  </si>
  <si>
    <t>&lt;&lt; 1153637007 | Body height (observable entity) | OR</t>
  </si>
  <si>
    <t>&lt;&lt; 27113001 | Body weight (observable entity) | OR 60621009 | Body mass index (observable entity) | OR 363812007 | Head circumference (observable entity) | OR 248366000 | Chest circumference (observable entity) | OR 276361009 | Waist circumference (observable entity) |</t>
  </si>
  <si>
    <t>A.2.4.1.3.3</t>
  </si>
  <si>
    <t>Observation result</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</si>
  <si>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</si>
  <si>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UCUM (for units of measurement)</t>
  </si>
  <si>
    <t>A.2.4.1.3.4</t>
  </si>
  <si>
    <t>Identifies the originator/author and provides provenance information about the source of the results data that may have not originated with the source of the whole document or section.</t>
  </si>
  <si>
    <t>A.2.4.1.4</t>
  </si>
  <si>
    <t>Vital signs</t>
  </si>
  <si>
    <t>Vital signs observation:</t>
  </si>
  <si>
    <t>• Required: Pulse rate, respiratory rate, systolic and diastolic blood pressure with site information</t>
  </si>
  <si>
    <t>• Optional: 02 saturation</t>
  </si>
  <si>
    <t>A.2.4.1.4.1</t>
  </si>
  <si>
    <t>http://hl7.org/fhir/ValueSet/observation-category</t>
  </si>
  <si>
    <t>fixed value "vital-signs"</t>
  </si>
  <si>
    <t>A.2.4.1.4.2</t>
  </si>
  <si>
    <t>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</si>
  <si>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A.2.4.1.4.3</t>
  </si>
  <si>
    <t>UCUM (measurement units)</t>
  </si>
  <si>
    <t>A.2.4.1.4.4</t>
  </si>
  <si>
    <t>A.2.4.1.5</t>
  </si>
  <si>
    <t>Physical examination</t>
  </si>
  <si>
    <t>Physical examination is the process of evaluating objective anatomical findings. It is typically the first diagnostic measure performed after taking the patient's history, which allows an initial assessment of symptoms and is useful for determining the differential diagnoses and further steps. Physical examination can be performed through observation, palpation, percussion, and auscultation.</t>
  </si>
  <si>
    <t>A.2.4.1.5.1</t>
  </si>
  <si>
    <t>Observation Note</t>
  </si>
  <si>
    <t>A narrative description of the observation.</t>
  </si>
  <si>
    <t>A.2.4.1.5.2</t>
  </si>
  <si>
    <t>A.2.4.2</t>
  </si>
  <si>
    <t>Functional status</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</si>
  <si>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t>
  </si>
  <si>
    <t>For details see: https://paciowg.github.io/functional-status-ig/</t>
  </si>
  <si>
    <t>A.2.4.2.1</t>
  </si>
  <si>
    <t>A.2.4.2.2</t>
  </si>
  <si>
    <t>A.2.4.2.3</t>
  </si>
  <si>
    <t>Need for the patient to be continuously assessed by third parties; functional status may influence decisions about how to plan and administer treatments</t>
  </si>
  <si>
    <t>A.2.4.2.4</t>
  </si>
  <si>
    <t>Functional status assessment</t>
  </si>
  <si>
    <t>Formalized assessment of the patient's functional status according to the individual assessment categories of the selected assessment system (e.g. WHO-ICF)</t>
  </si>
  <si>
    <t>Observation cathegory</t>
  </si>
  <si>
    <t>Fixed value "functioning"</t>
  </si>
  <si>
    <t>https://paciowg.github.io/functional-status-ig/CodeSystem-pacio-cat-cs.html</t>
  </si>
  <si>
    <t>Onset Date</t>
  </si>
  <si>
    <t>Onset date of a condition</t>
  </si>
  <si>
    <t>Result description</t>
  </si>
  <si>
    <t>Narrative representation of the observation result and findings.</t>
  </si>
  <si>
    <t>Observation details</t>
  </si>
  <si>
    <t>ICF WHO</t>
  </si>
  <si>
    <t>A.2.4.1.4.5</t>
  </si>
  <si>
    <t>A.2.6</t>
  </si>
  <si>
    <t>Patient history</t>
  </si>
  <si>
    <t>A.2.6.1</t>
  </si>
  <si>
    <t>Medical history</t>
  </si>
  <si>
    <t>A.2.6.1.1</t>
  </si>
  <si>
    <t>Past problems</t>
  </si>
  <si>
    <t>A list of conditions of a patient that patient suffered in the past or still suffers. Unlike diagnostic summary, medical history is not only a list but could contain broader description of the condition and its progress, details about treatment including medication and patient response to treatment. Past problem section (unlike the same section of the patient summary) should include only conditions that are important for continuity of care. This section, if provided, complements diagnostic summary section of the discharge report. </t>
  </si>
  <si>
    <t>A.2.6.1.1.1</t>
  </si>
  <si>
    <t>Problem description</t>
  </si>
  <si>
    <t>Problem specification</t>
  </si>
  <si>
    <t>A.2.6.1.1.2</t>
  </si>
  <si>
    <t>Problem code</t>
  </si>
  <si>
    <t>IPS Absent or Unknown Problems</t>
  </si>
  <si>
    <t>ICD-O-3</t>
  </si>
  <si>
    <t>A.2.6.1.1.3</t>
  </si>
  <si>
    <t>Onset date of the problem/condition</t>
  </si>
  <si>
    <t>A.2.6.1.1.4</t>
  </si>
  <si>
    <t>Abetement date</t>
  </si>
  <si>
    <t>The date or estimated date that the condition resolved or went into remission.</t>
  </si>
  <si>
    <t>A.2.6.1.1.5</t>
  </si>
  <si>
    <t>Clinical status</t>
  </si>
  <si>
    <t>Status of the problem (active, resolved, inactive, ...)</t>
  </si>
  <si>
    <t>hl7:condition-clinical</t>
  </si>
  <si>
    <t>A.2.6.1.1.6</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</si>
  <si>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</si>
  <si>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</si>
  <si>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A.2.6.1.1.7</t>
  </si>
  <si>
    <t>Severity</t>
  </si>
  <si>
    <t>A subjective assessment of the severity of the condition as evaluated by the clinician.</t>
  </si>
  <si>
    <t>A.2.6.1.1.8</t>
  </si>
  <si>
    <t>Stage</t>
  </si>
  <si>
    <t>Stage/grade, usually assessed formally using a specific staging/grading system</t>
  </si>
  <si>
    <t>A.2.6.1.2</t>
  </si>
  <si>
    <t>Devices and Implants</t>
  </si>
  <si>
    <t>A.2.6.1.2.1</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</si>
  <si>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</si>
  <si>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</si>
  <si>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&lt; 63653004 | Biomedical device (physical object) |</t>
  </si>
  <si>
    <t>OR eHDSIDevice OR</t>
  </si>
  <si>
    <t>IPS Absent or Unknown Devices</t>
  </si>
  <si>
    <t>A.2.6.1.2.2</t>
  </si>
  <si>
    <t>Device ID</t>
  </si>
  <si>
    <t>Normalised identifier of the device instance such as UDI according to REGULATION (EU) 2017/745</t>
  </si>
  <si>
    <t>A.2.6.1.2.3</t>
  </si>
  <si>
    <t>Implant date</t>
  </si>
  <si>
    <t>The date and time the device was implanted or when its use began.</t>
  </si>
  <si>
    <t>A.2.6.1.2.4</t>
  </si>
  <si>
    <t>Date and time when the device was explanted from the patient or the external device was no longer in use; likewise when the device is planned to be explanted</t>
  </si>
  <si>
    <t>A.2.6.1.2.5</t>
  </si>
  <si>
    <t>Reason</t>
  </si>
  <si>
    <t>The medical reason for use of the medical device.</t>
  </si>
  <si>
    <t>ICD-10</t>
  </si>
  <si>
    <t>A.2.6.1.3</t>
  </si>
  <si>
    <t>History of procedures</t>
  </si>
  <si>
    <t>Historical procedures performed on or for a patient, relevant for the current encounter. </t>
  </si>
  <si>
    <t>Examples include surgical procedures, diagnostic procedures, endoscopic procedures, biopsies, counseling, physiotherapy, personal support services, adult day care services, etc.</t>
  </si>
  <si>
    <t>A.2.6.1.3.1</t>
  </si>
  <si>
    <t>Procedure code</t>
  </si>
  <si>
    <t>&lt; 71388002 | Procedure (procedure) |</t>
  </si>
  <si>
    <t>A.2.6.1.3.2</t>
  </si>
  <si>
    <t>Procedure description</t>
  </si>
  <si>
    <t>Narrative description of the procedure</t>
  </si>
  <si>
    <t>A.2.6.1.3.3</t>
  </si>
  <si>
    <t>Body site</t>
  </si>
  <si>
    <t>Procedure target body site and laterality</t>
  </si>
  <si>
    <t>&lt; 442083009 | Anatomical or acquired body structure (body structure) |</t>
  </si>
  <si>
    <t>A.2.6.1.3.4</t>
  </si>
  <si>
    <t>Procedure date</t>
  </si>
  <si>
    <t>Date and time when procedure was performed</t>
  </si>
  <si>
    <t>A.2.6.1.3.5</t>
  </si>
  <si>
    <t>Procedure reason</t>
  </si>
  <si>
    <t>The coded reason why the procedure was performed. This may be a coded entity or may simply be present as text.</t>
  </si>
  <si>
    <t>A.2.6.1.3.6</t>
  </si>
  <si>
    <t>Outcome</t>
  </si>
  <si>
    <t>The outcome of the procedure - did it resolve the reasons for the procedure being performed? Applicable mainly on surgical procedures.</t>
  </si>
  <si>
    <t>385669000| Successful</t>
  </si>
  <si>
    <t>385671000| Unsuccessful</t>
  </si>
  <si>
    <t>385670004| Partially successful</t>
  </si>
  <si>
    <t>A.2.6.1.3.7</t>
  </si>
  <si>
    <t>Focal device</t>
  </si>
  <si>
    <t>A device that is implanted, removed or otherwise manipulated (calibration, battery replacement, fitting a prosthesis, attaching a wound-vac, etc.) as a focal portion of the Procedure.</t>
  </si>
  <si>
    <t>A.2.6.1.4</t>
  </si>
  <si>
    <t>Vaccination</t>
  </si>
  <si>
    <t>Vaccination history of the patient.</t>
  </si>
  <si>
    <t>A.2.6.1.4.1</t>
  </si>
  <si>
    <t>Disease or agent targeted</t>
  </si>
  <si>
    <t>Disease or agent that the vaccination provides protection against</t>
  </si>
  <si>
    <t>A.2.6.1.4.2</t>
  </si>
  <si>
    <t>Vaccine/prophylaxis</t>
  </si>
  <si>
    <t>Generic description of the vaccine/prophylaxis or its component(s)</t>
  </si>
  <si>
    <t>ATC (IDMP)</t>
  </si>
  <si>
    <t>A.2.6.1.4.4</t>
  </si>
  <si>
    <t>Vaccine medicinal product</t>
  </si>
  <si>
    <t>Medicinal product name </t>
  </si>
  <si>
    <t>A.2.6.1.4.5</t>
  </si>
  <si>
    <t>Marketing Autorisation Holder </t>
  </si>
  <si>
    <t>Marketing Authorisation Holder or manufacturer (Identifier and name)</t>
  </si>
  <si>
    <t>EMA's Organisations System data (SPOR)</t>
  </si>
  <si>
    <t>A.2.6.1.4.6</t>
  </si>
  <si>
    <t>Number in a series of vaccinations / doses</t>
  </si>
  <si>
    <t>Order in the vaccination course.</t>
  </si>
  <si>
    <t>A.2.6.1.4.7</t>
  </si>
  <si>
    <t>Date of vaccination</t>
  </si>
  <si>
    <t>The date and time when the vaccination was administered</t>
  </si>
  <si>
    <t>A.2.6.1.4.8</t>
  </si>
  <si>
    <t>Next vaccination date</t>
  </si>
  <si>
    <t>The date when the vaccination is planned to be given/repeated (e.g. next dose)</t>
  </si>
  <si>
    <t>A.2.6.1.5</t>
  </si>
  <si>
    <t>Epidemiological history</t>
  </si>
  <si>
    <t>Travel history and infectious contacts</t>
  </si>
  <si>
    <t>A.2.6.1.5.1</t>
  </si>
  <si>
    <t>Infectious contacts</t>
  </si>
  <si>
    <t>Infectious contacts of the patient</t>
  </si>
  <si>
    <t>A.2.6.1.5.1.1</t>
  </si>
  <si>
    <t>Time period</t>
  </si>
  <si>
    <t>A date and duration or date time interval of contact. Partial dates are allowed.</t>
  </si>
  <si>
    <t>A.2.6.1.5.1.2</t>
  </si>
  <si>
    <t>Infectious agent</t>
  </si>
  <si>
    <t>Information about suspected infectious agent the person was exposed to.</t>
  </si>
  <si>
    <t>ICD-10* chapter 1</t>
  </si>
  <si>
    <t>A.2.6.1.5.1.3</t>
  </si>
  <si>
    <t>Proximity</t>
  </si>
  <si>
    <t>Proximity to the source/carrier of the infectious agent during exposure. Proximity could be expressed by text, code or value specifying distance from the InfectiousAgentCarrier.</t>
  </si>
  <si>
    <t>255589003| Direct</t>
  </si>
  <si>
    <t>255541007| Indirect</t>
  </si>
  <si>
    <t>A.2.6.1.5.1.4</t>
  </si>
  <si>
    <t>Country</t>
  </si>
  <si>
    <t>Country in which the person was potentially exposed to infectious agent.</t>
  </si>
  <si>
    <t>ISO 3166</t>
  </si>
  <si>
    <t>A.2.6.1.5.1.5</t>
  </si>
  <si>
    <t>Additional information</t>
  </si>
  <si>
    <t>A textual note with additional information about infectious contact.</t>
  </si>
  <si>
    <t>A.2.6.1.5.2</t>
  </si>
  <si>
    <t>Travel history</t>
  </si>
  <si>
    <t>Travel history reported by the patient.</t>
  </si>
  <si>
    <t>A.2.6.1.5.2.1</t>
  </si>
  <si>
    <t>Start and end date or end date and duration of stay in a country. Partial dates are allowed.</t>
  </si>
  <si>
    <t>A.2.6.1.5.2.2</t>
  </si>
  <si>
    <t>Country visited</t>
  </si>
  <si>
    <t>A country visited by the patient.</t>
  </si>
  <si>
    <t>A.2.6.1.5.2.3</t>
  </si>
  <si>
    <t>Relevant notes on the travel stay.</t>
  </si>
  <si>
    <t>A.2.6.2</t>
  </si>
  <si>
    <t>Family history</t>
  </si>
  <si>
    <t>Information about serious illnesses in close blood relatives with known or suspected genetic potential or with possible impact on patient care.</t>
  </si>
  <si>
    <t>A.2.6.2.1</t>
  </si>
  <si>
    <t>Patient relationship</t>
  </si>
  <si>
    <t>The family relation between the related person and the patient.</t>
  </si>
  <si>
    <t>hl7:v3-RoleCode where concept is-a _PersonalRelationshipRoleType</t>
  </si>
  <si>
    <t>A.2.6.2.2</t>
  </si>
  <si>
    <t>Full or partial date of birth</t>
  </si>
  <si>
    <t>A.2.6.2.3</t>
  </si>
  <si>
    <t>Age or date of death</t>
  </si>
  <si>
    <t>Age or date of the death of the family member.</t>
  </si>
  <si>
    <t>A.2.6.2.4</t>
  </si>
  <si>
    <t>Education</t>
  </si>
  <si>
    <t>Level of education of the parents or guardians that treat the child patient.</t>
  </si>
  <si>
    <t>hl7: v3.EducationLevel</t>
  </si>
  <si>
    <t>0.1</t>
  </si>
  <si>
    <t>A.2.6.2.5</t>
  </si>
  <si>
    <t>Medical problems this person suffers or suffered.</t>
  </si>
  <si>
    <t>A.2.6.2.6</t>
  </si>
  <si>
    <t>Information about disease or condition that was the main cause of death.</t>
  </si>
  <si>
    <t>A.2.6.3</t>
  </si>
  <si>
    <t>Social history</t>
  </si>
  <si>
    <t>A.2.6.3.1</t>
  </si>
  <si>
    <t>Participation in society</t>
  </si>
  <si>
    <t>Participation in society details.</t>
  </si>
  <si>
    <t>A.2.6.3.1.1</t>
  </si>
  <si>
    <t>Work situation</t>
  </si>
  <si>
    <t>WorkSituation describes the extent to which and in what way the patient participates in the workforce. Work is meant in the broadest sense of the word: activities that contribute to the person themselves, their environment or society. This includes both paid and unpaid work.</t>
  </si>
  <si>
    <t>A.2.6.3.1.2</t>
  </si>
  <si>
    <t>Hobby</t>
  </si>
  <si>
    <t>An activity the patient enjoys doing in their free time.</t>
  </si>
  <si>
    <t>A.2.6.3.1.3</t>
  </si>
  <si>
    <t>Social network</t>
  </si>
  <si>
    <t>A description of the patient’s social network, such as family, neighbors and friends.</t>
  </si>
  <si>
    <t>A.2.6.3.2</t>
  </si>
  <si>
    <t>A.2.6.3.2.1</t>
  </si>
  <si>
    <t>Education level</t>
  </si>
  <si>
    <t>Indication of the highest level of education achieved.</t>
  </si>
  <si>
    <t>hl7:v3.EducationLevel</t>
  </si>
  <si>
    <t>A.2.6.3.2.2</t>
  </si>
  <si>
    <t>If deemed relevant, a specification of the degree program can be provided by means of an explanation (e.g.: patient is in medical school).</t>
  </si>
  <si>
    <t>A.2.6.3.3</t>
  </si>
  <si>
    <t>Living situation</t>
  </si>
  <si>
    <t>Household type and other related living situation information.</t>
  </si>
  <si>
    <t>A.2.6.3.3.1</t>
  </si>
  <si>
    <t>House type</t>
  </si>
  <si>
    <t>Type of home the patient lives in.</t>
  </si>
  <si>
    <t>&lt; 365508006 | Finding of residence and accommodation circumstances (finding) |</t>
  </si>
  <si>
    <t>A.2.6.3.3.2</t>
  </si>
  <si>
    <t>Home adaption</t>
  </si>
  <si>
    <t>Adaptions present in the home that have been made in the context of the illness or disability to make the functioning of the patient safer and more comfortable and to enable independent living.</t>
  </si>
  <si>
    <t>467158009| Bath/shower chair</t>
  </si>
  <si>
    <t>465153004| Stairlift, chair</t>
  </si>
  <si>
    <t>465302005| Assistive toilet</t>
  </si>
  <si>
    <t>705401004| Assistive bed</t>
  </si>
  <si>
    <t>705390009| Home and premises assistive furnishing/adaptation</t>
  </si>
  <si>
    <t>360303004| Hand rail</t>
  </si>
  <si>
    <t>A.2.6.3.3.3</t>
  </si>
  <si>
    <t>Living conditions</t>
  </si>
  <si>
    <t>Conditions that affect the accessibility of the home or the stay in the home.</t>
  </si>
  <si>
    <t>160708008| Stairs in house</t>
  </si>
  <si>
    <t>609241003| Lives in apartment with elevator access</t>
  </si>
  <si>
    <t>715758005| Access to residence by stairs</t>
  </si>
  <si>
    <t>424948003| Obstructed means of residential entrance</t>
  </si>
  <si>
    <t>423155007| Housing contains structural barriers to movement</t>
  </si>
  <si>
    <t>424661000| Cluttered living space</t>
  </si>
  <si>
    <t>424415008| Dirty living conditions</t>
  </si>
  <si>
    <t>224152001| Keeps pets</t>
  </si>
  <si>
    <t>423527000| Unsafe floor covering</t>
  </si>
  <si>
    <t>A.2.6.3.4</t>
  </si>
  <si>
    <t>Family situation</t>
  </si>
  <si>
    <t>Family situation details.</t>
  </si>
  <si>
    <t>A.2.6.3.4.1</t>
  </si>
  <si>
    <t>A comment on the family situation.</t>
  </si>
  <si>
    <t>A.2.6.3.4.2</t>
  </si>
  <si>
    <t>Family composition</t>
  </si>
  <si>
    <t>The family composition describes the patient’s home situation and the form of cohabitation. </t>
  </si>
  <si>
    <t>A family can consist of one or more people.</t>
  </si>
  <si>
    <t>&lt; 365481000 | Finding of household composition (finding) |</t>
  </si>
  <si>
    <t>A.2.6.3.4.3</t>
  </si>
  <si>
    <t>A person’s marital status according to the terms and definition in the national civil code.</t>
  </si>
  <si>
    <t>hl7: v3-MaritalStatus</t>
  </si>
  <si>
    <t>A.2.6.3.4.4</t>
  </si>
  <si>
    <t>Number of children</t>
  </si>
  <si>
    <t>The number of children the patient has. Children in the context of this information model include step children, foster children, biological and adopted children.</t>
  </si>
  <si>
    <t>A.2.6.3.4.5</t>
  </si>
  <si>
    <t>Number of children at home</t>
  </si>
  <si>
    <t>The number of children living at home with the patient.</t>
  </si>
  <si>
    <t>A.2.6.3.4.6</t>
  </si>
  <si>
    <t>Child details</t>
  </si>
  <si>
    <t>Child age, co-living status and comment.</t>
  </si>
  <si>
    <t>A.2.6.3.4.7</t>
  </si>
  <si>
    <t>Care responsibility</t>
  </si>
  <si>
    <t>The activities the patient carries out to care for a dependent family member.</t>
  </si>
  <si>
    <t>A.2.6.4</t>
  </si>
  <si>
    <t>Abuse</t>
  </si>
  <si>
    <t>A.2.6.4.1</t>
  </si>
  <si>
    <t>Alcohol use</t>
  </si>
  <si>
    <t>Alcohol consuption by the patient</t>
  </si>
  <si>
    <t>A.2.6.4.1.1</t>
  </si>
  <si>
    <t>The status of the patient’s alcohol use.</t>
  </si>
  <si>
    <t>219006| Current drinker of alcohol</t>
  </si>
  <si>
    <t>105542008| Current non-drinker of alcohol</t>
  </si>
  <si>
    <t>82581004| Ex-drinker</t>
  </si>
  <si>
    <t>783261004| Lifetime non-drinker of alcohol</t>
  </si>
  <si>
    <t>A.2.6.4.1.2</t>
  </si>
  <si>
    <t>Period and quantity</t>
  </si>
  <si>
    <t>Period of use and ammount (The extent of the patient’s alcohol use in units of alcohol per time period.)</t>
  </si>
  <si>
    <t>A.2.6.4.1.3</t>
  </si>
  <si>
    <t>Textual comment.</t>
  </si>
  <si>
    <t>A.2.6.4.2</t>
  </si>
  <si>
    <t>Tobacco use</t>
  </si>
  <si>
    <t>Represent smoking or tobacco habits.</t>
  </si>
  <si>
    <t>A.2.6.4.2.1</t>
  </si>
  <si>
    <t>The status of the patient’s tobacco use.</t>
  </si>
  <si>
    <t>449868002| Smokes every day</t>
  </si>
  <si>
    <t>230059006 | Occasional cigarette smoker (finding) |</t>
  </si>
  <si>
    <t>43381005 | Passive smoker (finding) |</t>
  </si>
  <si>
    <t>8517006 | Ex-smoker (finding) |</t>
  </si>
  <si>
    <t>405746006 | Current non smoker but past smoking history unknown (finding) |266919005 | Never smoked tobacco (finding) |</t>
  </si>
  <si>
    <t>A.2.6.4.2.2</t>
  </si>
  <si>
    <t>Period of use and amount (The extent of the patient’s tobacco use in units of alcohol per time period.)</t>
  </si>
  <si>
    <t>A.2.6.4.2.3</t>
  </si>
  <si>
    <t>A.2.6.4.3</t>
  </si>
  <si>
    <t>Drug abuse</t>
  </si>
  <si>
    <t>Abuse of drugs and other substances.</t>
  </si>
  <si>
    <t>A.2.6.4.3.1</t>
  </si>
  <si>
    <t>The status of the patient’s drug use.</t>
  </si>
  <si>
    <t>417284009 | Current drug user (finding) |</t>
  </si>
  <si>
    <t>228367002 | Does not misuse drugs (situation) |</t>
  </si>
  <si>
    <t>228368007 | Has never misused drugs (situation) |</t>
  </si>
  <si>
    <t>44870007 | Misused drugs in past (finding) |</t>
  </si>
  <si>
    <t>A.2.6.4.3.2</t>
  </si>
  <si>
    <t>Period of use and amount.</t>
  </si>
  <si>
    <t>A.2.6.4.3.3</t>
  </si>
  <si>
    <t>Drug or medication type</t>
  </si>
  <si>
    <t>Type of the drug abuse</t>
  </si>
  <si>
    <t>Heroin (substance)| 387341002</t>
  </si>
  <si>
    <t>Benzodiazepine (substance) |372664007</t>
  </si>
  <si>
    <t>Methadone (substance) |387286002</t>
  </si>
  <si>
    <t>Hydroxybutyric acid (substance) |62821004</t>
  </si>
  <si>
    <t>Cocaine (substance) |387085005</t>
  </si>
  <si>
    <t>Cocaine freebase (substance) |229003004</t>
  </si>
  <si>
    <t>Methylenedioxymethamphetamine (substance) |288459003</t>
  </si>
  <si>
    <t>Amphetamine (substance) |703842006</t>
  </si>
  <si>
    <t>Cannabis (substance) |398705004</t>
  </si>
  <si>
    <t>Hallucinogenic mushrooms (substance)| 229006007</t>
  </si>
  <si>
    <t>Lysergic acid diethylamide (substance)| 15698006</t>
  </si>
  <si>
    <t>Ketamine (substance)| 373464007</t>
  </si>
  <si>
    <t>Phencyclidine (substance) |9721008</t>
  </si>
  <si>
    <t>Methamphetamine (substance) |387499002</t>
  </si>
  <si>
    <t>Anabolic steroid (substance)|111151007</t>
  </si>
  <si>
    <t>Laxative (substance)|372800002</t>
  </si>
  <si>
    <t>Buprenorphine (substance)|387173000</t>
  </si>
  <si>
    <t>Fentanyl (substance)|373492002</t>
  </si>
  <si>
    <t>Barbiturate (substance)|372798009</t>
  </si>
  <si>
    <t>A.2.6.4.3.4</t>
  </si>
  <si>
    <t>Route of administration</t>
  </si>
  <si>
    <t>EDQM Standard Terms</t>
  </si>
  <si>
    <t>A.2.6.4.3.5</t>
  </si>
  <si>
    <t>Textual comment</t>
  </si>
  <si>
    <t>A.2.6.4.4</t>
  </si>
  <si>
    <t>Addiction</t>
  </si>
  <si>
    <t>Type of addiction.</t>
  </si>
  <si>
    <t>A.2.7</t>
  </si>
  <si>
    <t>Hospital stay</t>
  </si>
  <si>
    <t>A.2.7.1</t>
  </si>
  <si>
    <t>Diagnostic summary</t>
  </si>
  <si>
    <r>
      <t xml:space="preserve">All problems/diagnoses that affected care during the inpatient case or are important to be recorded to ensure continuity of care. The diagnostic summary differentiates, in accordance with the international recommendation, between </t>
    </r>
    <r>
      <rPr>
        <sz val="12"/>
        <color rgb="FF339966"/>
        <rFont val="Times New Roman"/>
        <family val="1"/>
        <charset val="238"/>
      </rPr>
      <t>problems treated during</t>
    </r>
    <r>
      <rPr>
        <sz val="12"/>
        <color theme="1"/>
        <rFont val="Times New Roman"/>
        <family val="1"/>
        <charset val="238"/>
      </rPr>
      <t xml:space="preserve"> </t>
    </r>
    <r>
      <rPr>
        <sz val="12"/>
        <color rgb="FF339966"/>
        <rFont val="Times New Roman"/>
        <family val="1"/>
        <charset val="238"/>
      </rPr>
      <t>hospital stay and other (untreated) problems. Treated problems are problems that were the subject of diagnostics, therapy, nursing, or (continuous) monitoring during the hospitalisation.</t>
    </r>
    <r>
      <rPr>
        <sz val="12"/>
        <color theme="1"/>
        <rFont val="Times New Roman"/>
        <family val="1"/>
        <charset val="238"/>
      </rPr>
      <t xml:space="preserve"> </t>
    </r>
    <r>
      <rPr>
        <sz val="12"/>
        <color rgb="FF339966"/>
        <rFont val="Times New Roman"/>
        <family val="1"/>
        <charset val="238"/>
      </rPr>
      <t>Furthermore problems could by divided into three categories: problems present on admission (POA), conditions acquired during hospital stay (HAC) and problems that cannot be classified as being of any of the two (N/A).</t>
    </r>
    <r>
      <rPr>
        <sz val="12"/>
        <color theme="1"/>
        <rFont val="Times New Roman"/>
        <family val="1"/>
        <charset val="238"/>
      </rPr>
      <t xml:space="preserve"> The diagnostic summary contains all conditions as they were recognised at the end of hospitalisation, after all examinations. </t>
    </r>
    <r>
      <rPr>
        <sz val="12"/>
        <color rgb="FF339966"/>
        <rFont val="Times New Roman"/>
        <family val="1"/>
        <charset val="238"/>
      </rPr>
      <t>This section contains concise, well specified, codeable, summary of problems. Problems are ordered by importance (main problems first) during hospital stay. Description of the problem might be completed with additional details in the medical history section and/or in the Synthesis section.</t>
    </r>
  </si>
  <si>
    <t>A.2.7.1.1</t>
  </si>
  <si>
    <t>Problem specification in narrative form</t>
  </si>
  <si>
    <t>A.2.7.1.2</t>
  </si>
  <si>
    <t>A.2.7.1.3</t>
  </si>
  <si>
    <t>Onset date of a problem/condition</t>
  </si>
  <si>
    <t>A.2.7.1.4</t>
  </si>
  <si>
    <t>Abatement date</t>
  </si>
  <si>
    <t>A.2.7.1.5</t>
  </si>
  <si>
    <t>Category</t>
  </si>
  <si>
    <t>Category of the problem allows to flag for conditions acquired during hospital stay.</t>
  </si>
  <si>
    <t>- Present on admission [POA])</t>
  </si>
  <si>
    <t>- Hospital acquired condition [HAC]</t>
  </si>
  <si>
    <t>- Not applicable or unknown [N/A] </t>
  </si>
  <si>
    <t>A.2.7.1.6</t>
  </si>
  <si>
    <t>Treatment class</t>
  </si>
  <si>
    <r>
      <t xml:space="preserve">Class of the problem (treated, other) </t>
    </r>
    <r>
      <rPr>
        <sz val="12"/>
        <color rgb="FF339966"/>
        <rFont val="Times New Roman"/>
        <family val="1"/>
        <charset val="238"/>
      </rPr>
      <t>in relation to the hospital encounter. Treated problems were treated or affected provisioning of care (diagnostics, therapy, nursing, monitoring) during hospital encounter. At least one problem should be marked as Treated. Other problems are recorded only if they are important for continuity of care (after discharge).</t>
    </r>
  </si>
  <si>
    <t>Treated, Other</t>
  </si>
  <si>
    <t>A.2.7.1.7</t>
  </si>
  <si>
    <t>A.2.7.1.8</t>
  </si>
  <si>
    <t>hl7:condition-severity</t>
  </si>
  <si>
    <t>A.2.7.1.9</t>
  </si>
  <si>
    <t>Stage/grade, usually assessed formally usign a specific stagin/grading system</t>
  </si>
  <si>
    <t>A.2.7.2</t>
  </si>
  <si>
    <t>Major procedures</t>
  </si>
  <si>
    <t>Surgeries and other "instrumental" interventions (endoscopic, intravascular) performed during hospitalisation and significant for continuity of care.</t>
  </si>
  <si>
    <t>This section does not include purely diagnostic procedures (MRI, CT, etc.). If no significant performance has been performed, this fact must be explicitly stated using the IPS code Absent and Unknown Data.</t>
  </si>
  <si>
    <t>A.2.7.2.1</t>
  </si>
  <si>
    <t>Procedure code from supported code system</t>
  </si>
  <si>
    <t>A.2.7.2.2</t>
  </si>
  <si>
    <t>A.2.7.2.3</t>
  </si>
  <si>
    <t>A.2.7.2.4</t>
  </si>
  <si>
    <t>A.2.7.2.5</t>
  </si>
  <si>
    <t>A.2.7.2.6</t>
  </si>
  <si>
    <t>The outcome of the procedure - did it resolve the reasons for the procedure being performed?</t>
  </si>
  <si>
    <t>A.2.7.2.7</t>
  </si>
  <si>
    <t>Complication</t>
  </si>
  <si>
    <t>Any complications that occurred during the procedure, or in the immediate post-performance period. These are generally tracked separately from the procedure description, which will typically describe the procedure itself rather than any 'post procedure' issues.</t>
  </si>
  <si>
    <t>A.2.7.2.8</t>
  </si>
  <si>
    <t>A reference to the device that is implanted, removed or otherwise manipulated (calibration, battery replacement, fitting a prosthesis, attaching a wound-vac, etc.) as a focal portion of the Procedure.</t>
  </si>
  <si>
    <t>A.2.7.3</t>
  </si>
  <si>
    <t>Medical devices and implants</t>
  </si>
  <si>
    <t>Implants and used medical devices that affect or may affect the provision of health services (diagnosis and treatment). Also medical devices explanted or its use was  stopped during hospitalization. If the section is blank, the reason must be explicitly stated using the IPS Absent and Unknown Data coding system</t>
  </si>
  <si>
    <t>A.2.7.3.1</t>
  </si>
  <si>
    <t>A.2.7.3.2</t>
  </si>
  <si>
    <t>A.2.7.3.3</t>
  </si>
  <si>
    <t>A.2.7.3.4</t>
  </si>
  <si>
    <t>A.2.7.3.5</t>
  </si>
  <si>
    <t>A.2.7.4</t>
  </si>
  <si>
    <t>Another significant treatment</t>
  </si>
  <si>
    <t>Treatment provided, which cannot be unequivocally characterized as the major procedure (in the sense of the previous definition), but is significant - typically chemotherapy, radiotherapy, purification methods (dialysis, hemoperfusion), circulation support methods (counterpulsation, etc.), administration of blood derivatives or others.</t>
  </si>
  <si>
    <t>A.2.7.4.1</t>
  </si>
  <si>
    <t>Pocedure code</t>
  </si>
  <si>
    <t>A.2.7.4.2</t>
  </si>
  <si>
    <t>A.2.7.4.3</t>
  </si>
  <si>
    <t>A.2.7.4.4</t>
  </si>
  <si>
    <t>A.2.7.4.5</t>
  </si>
  <si>
    <t>A.2.7.5</t>
  </si>
  <si>
    <t>Pharmacotherapy</t>
  </si>
  <si>
    <t>Selected drug treatment during hospitalization. Medicinal products that were administered during hospitalization and whose administration has already been discontinued before discharge or continues only for a short time after discharge, while knowledge of their administration is important for continuity of care (antibiotics other than completely routine, corticosteroids in high doses, etc.) will be listed.</t>
  </si>
  <si>
    <t>Medicinal products, the administration of which was started during hospitalization, but is also recommended after discharge, will be listed in the summary table in the recommendation section.</t>
  </si>
  <si>
    <t>A.2.7.5.1</t>
  </si>
  <si>
    <t>Medication reason</t>
  </si>
  <si>
    <t>The reason why the medication is or was prescribed, or used. It provides a link to the Past or current health conditions or problems that the patient has had or has.</t>
  </si>
  <si>
    <t>A.2.7.5.2</t>
  </si>
  <si>
    <t>Intended use</t>
  </si>
  <si>
    <t>Indication intended use as: prevention or treatment Example: prophylaxis, treatment, diagnostic, anaesthesia.</t>
  </si>
  <si>
    <t>A.2.7.5.3</t>
  </si>
  <si>
    <t>Brand name</t>
  </si>
  <si>
    <t>Brand name if biological medicinal product or when justified by the health professional (ref. Commission Directive 2012/52/EU)</t>
  </si>
  <si>
    <t>A.2.7.5.4</t>
  </si>
  <si>
    <t>Active ingredient list</t>
  </si>
  <si>
    <t>Substance that alone or in combination with one or more other ingredients produces the intended activity of a medicinal product. Example: "paracetamol"</t>
  </si>
  <si>
    <t>A.2.7.5.5</t>
  </si>
  <si>
    <t>Strength</t>
  </si>
  <si>
    <t>The content of the active ingredient expressed quantifiably per dosage unit, per unit of volume or per unit of weight, according to the pharmaceutical dose form. Example: 500 mg per tablet</t>
  </si>
  <si>
    <t>UCUM</t>
  </si>
  <si>
    <t>EDQM Standard terms</t>
  </si>
  <si>
    <t>A.2.7.5.6</t>
  </si>
  <si>
    <t>Pharmaceutical dose form</t>
  </si>
  <si>
    <t>The form in which a pharmaceutical product is presented in the medicinal product package (e.g. tablet, syrup)</t>
  </si>
  <si>
    <t>A.2.7.5.7</t>
  </si>
  <si>
    <t>Dosage Regimen</t>
  </si>
  <si>
    <t>Number of units per intake and frequency of intake over a specified duration of time. Example: 1 tablet every 24h, for 10 days</t>
  </si>
  <si>
    <t>A.2.7.5.8</t>
  </si>
  <si>
    <t>Path by which the pharmaceutical product is taken into or makes contact with the body. </t>
  </si>
  <si>
    <t>A.2.7.5.9</t>
  </si>
  <si>
    <t>Period of treatement</t>
  </si>
  <si>
    <t>The time interval when the patient was, or was not, given the medication.</t>
  </si>
  <si>
    <t>A.2.7.6</t>
  </si>
  <si>
    <t>Significant  Observation Results</t>
  </si>
  <si>
    <t>Results of significant functional, diagnostic and imaging examinations to ensure continuity of care, performed during hospitalization. Results of examinations ordered but not yet delivered (status = "registered") should be presented separately from results already delivered.</t>
  </si>
  <si>
    <t>A.2.7.6.1</t>
  </si>
  <si>
    <t>Date and time of the observation</t>
  </si>
  <si>
    <t>A.2.7.6.2</t>
  </si>
  <si>
    <t>Observation status</t>
  </si>
  <si>
    <t>Status of the observation (e.g. registered, preliminary, final)</t>
  </si>
  <si>
    <t>hl7:observation-status</t>
  </si>
  <si>
    <t>A.2.7.6.3</t>
  </si>
  <si>
    <t>A.2.7.6.4</t>
  </si>
  <si>
    <t>NPU</t>
  </si>
  <si>
    <t>RADLEX</t>
  </si>
  <si>
    <t>A.2.7.6.5</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</si>
  <si>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</si>
  <si>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A.2.7.6.6</t>
  </si>
  <si>
    <t>Identifies the originator/author and provides provenance information about the source of the results data that may have not originated with the source of the whole PS document. </t>
  </si>
  <si>
    <t>A.2.7.6.7</t>
  </si>
  <si>
    <t>Reporter</t>
  </si>
  <si>
    <t>With certain observation results, e.g. there may also be an interpreter or a person responsible for validation.</t>
  </si>
  <si>
    <t>A.2.7.7</t>
  </si>
  <si>
    <t>Synthesis</t>
  </si>
  <si>
    <t>This section provides clinical synthesis (e.g. description of reasons and course of hospital stay) clustered by managed conditions, Clinical synthesis may include clinical reasoning (differential diagnostics, explanaition of clinical context) in clinically complex conditions.</t>
  </si>
  <si>
    <t>A.2.7.7.1</t>
  </si>
  <si>
    <t>Problem synthesis</t>
  </si>
  <si>
    <t>Summary description of the reason and course of hospitalization for a specific problem.</t>
  </si>
  <si>
    <t>A.2.7.7.1.1</t>
  </si>
  <si>
    <t>Problem specification in narrative form and/or a link to the problem managed during hospital stay.</t>
  </si>
  <si>
    <t>A.2.7.7.1.2</t>
  </si>
  <si>
    <t>Reason and course of hospitalization</t>
  </si>
  <si>
    <t>Detailed description of the reason and course of hospitalization (for the entire hospitalization).</t>
  </si>
  <si>
    <t>A.2.7.7.2</t>
  </si>
  <si>
    <t>Clinical reasoning</t>
  </si>
  <si>
    <t>The clinical summary can be concluded with a clinical consideration (diff. diagnosis, explanation of context, etc.) for clinically complex conditions.</t>
  </si>
  <si>
    <t>A.2.8</t>
  </si>
  <si>
    <r>
      <t xml:space="preserve">Discharge details </t>
    </r>
    <r>
      <rPr>
        <sz val="12"/>
        <color theme="1"/>
        <rFont val="Times New Roman"/>
        <family val="1"/>
        <charset val="238"/>
      </rPr>
      <t>(structured information should be provided, however if not available, at least a summary note should be present).</t>
    </r>
  </si>
  <si>
    <t>A.2.8.1</t>
  </si>
  <si>
    <t>A.2.8.1.1</t>
  </si>
  <si>
    <t>Date and time of the examination at or before discharge</t>
  </si>
  <si>
    <t>A.2.8.1.2</t>
  </si>
  <si>
    <t>A.2.8.1.3</t>
  </si>
  <si>
    <t>Results of anthropometric observations:</t>
  </si>
  <si>
    <t>• Required: body weight and height, BMI</t>
  </si>
  <si>
    <t>• Optional: circumference of head, waist, hip, limbs and skin fold thickness... </t>
  </si>
  <si>
    <t>A.2.8.1.3.1</t>
  </si>
  <si>
    <t>A.2.8.1.3.2</t>
  </si>
  <si>
    <t>A.2.8.1.3.3</t>
  </si>
  <si>
    <t>A.2.8.1.3.4</t>
  </si>
  <si>
    <t>A.2.8.1.4</t>
  </si>
  <si>
    <t>Observation of Vital signs:</t>
  </si>
  <si>
    <t>• Required: systolic and diastolic blood pressure including site of measurement, pulse rate, respiratory rate</t>
  </si>
  <si>
    <t>• Optional: 02 saturation, temperature, , pain (scale), ...</t>
  </si>
  <si>
    <t>A.2.8.1.4.1</t>
  </si>
  <si>
    <t>A.2.8.1.4.2</t>
  </si>
  <si>
    <t>A.2.8.1.4.3</t>
  </si>
  <si>
    <t>A.2.8.1.4.4</t>
  </si>
  <si>
    <t>A.2.8.1.5</t>
  </si>
  <si>
    <t>A.2.8.1.5.1</t>
  </si>
  <si>
    <t>A narrative description of the observation. It should be structured by organ system (e.g. Head, neck, body, arms,...)</t>
  </si>
  <si>
    <t>A.2.8.1.5.2</t>
  </si>
  <si>
    <t>A.2.8.2</t>
  </si>
  <si>
    <t>Functional status at discharge</t>
  </si>
  <si>
    <t>A.2.8.2.1</t>
  </si>
  <si>
    <t>A.2.8.2.2</t>
  </si>
  <si>
    <t>A.2.8.2.3</t>
  </si>
  <si>
    <t>A.2.8.2.4</t>
  </si>
  <si>
    <t>Assessment of functional status of the patient</t>
  </si>
  <si>
    <t>A.2.8.2.4.1</t>
  </si>
  <si>
    <t>A.2.8.2.4.2</t>
  </si>
  <si>
    <t>A.2.8.2.4.3</t>
  </si>
  <si>
    <t>A.2.8.2.4.4</t>
  </si>
  <si>
    <t>A.2.8.3</t>
  </si>
  <si>
    <t>Discharge note</t>
  </si>
  <si>
    <t>Discharge summary note</t>
  </si>
  <si>
    <t>A.2.9</t>
  </si>
  <si>
    <t>Recommendations</t>
  </si>
  <si>
    <t>Care plan and other recommendations after discharge.</t>
  </si>
  <si>
    <t>A.2.9.1</t>
  </si>
  <si>
    <t>Care plan</t>
  </si>
  <si>
    <t>Care plan after discharge</t>
  </si>
  <si>
    <t>A.2.9.1.1</t>
  </si>
  <si>
    <t>Human-friendly name for the care plan (e.g. Hip replacement care plan)</t>
  </si>
  <si>
    <t>A.2.9.1.2</t>
  </si>
  <si>
    <t>Addresses</t>
  </si>
  <si>
    <t>Identifies the conditions/problems/concerns/diagnoses/etc. whose management and/or mitigation are handled by this plan.</t>
  </si>
  <si>
    <t>A.2.9.1.3</t>
  </si>
  <si>
    <t>A description of the scope and nature of the plan.</t>
  </si>
  <si>
    <t>A.2.9.1.4</t>
  </si>
  <si>
    <t>PlanPeriod</t>
  </si>
  <si>
    <t>Indicates when the plan did (or is intended to) come into effect and end.</t>
  </si>
  <si>
    <t>A.2.9.1.5</t>
  </si>
  <si>
    <t>Other details</t>
  </si>
  <si>
    <t>Other structured and coded details, care team, goals to be achieved.</t>
  </si>
  <si>
    <t>A.2.9.1.6</t>
  </si>
  <si>
    <t>Activity</t>
  </si>
  <si>
    <t>Action to occur as part of plan.</t>
  </si>
  <si>
    <t>A.2.9.1.6.1</t>
  </si>
  <si>
    <t>Kind</t>
  </si>
  <si>
    <t>A description of the kind of care plan activity. For example, a MedicationRequest, a ServiceRequest, or a CommunicationRequest.</t>
  </si>
  <si>
    <t>hl7:resource-types:</t>
  </si>
  <si>
    <t>Appointment</t>
  </si>
  <si>
    <t>CommunicationRequest</t>
  </si>
  <si>
    <t>DeviceRequest</t>
  </si>
  <si>
    <t>MedicationRequest</t>
  </si>
  <si>
    <t>NutritionOrder</t>
  </si>
  <si>
    <t>Task</t>
  </si>
  <si>
    <t>ServiceRequest</t>
  </si>
  <si>
    <t>VisionPrescription</t>
  </si>
  <si>
    <t>A.2.9.1.6.2</t>
  </si>
  <si>
    <t>Activity description</t>
  </si>
  <si>
    <t>Detail description of the activity.</t>
  </si>
  <si>
    <t>A.2.9.1.6.3</t>
  </si>
  <si>
    <t>Specific attributes</t>
  </si>
  <si>
    <t>Specific structured attributes per each activity type, e.g. prescription request, appointment</t>
  </si>
  <si>
    <t>A.2.9.2</t>
  </si>
  <si>
    <t>Medication summary</t>
  </si>
  <si>
    <t>Summary information on the medication recommended for the period after discharge, indicating whether the medication is changed or newly started. Compared to previous practices, the overview is supplemented with medication that has been discontinued.</t>
  </si>
  <si>
    <t>A.2.9.2.1</t>
  </si>
  <si>
    <t>A code representing judgment about the state of the medication.  </t>
  </si>
  <si>
    <t>hl7:medication-statement-status</t>
  </si>
  <si>
    <t>A.2.9.2.2</t>
  </si>
  <si>
    <t>The reason why the medication is or was prescribed, or used</t>
  </si>
  <si>
    <t>A.2.9.2.3</t>
  </si>
  <si>
    <t>Reason for change</t>
  </si>
  <si>
    <t>Reason for change of medication</t>
  </si>
  <si>
    <t>hl7:reason-medication-status-codes</t>
  </si>
  <si>
    <t>A.2.9.2.4</t>
  </si>
  <si>
    <t>National code of the medication.</t>
  </si>
  <si>
    <t>IDMP</t>
  </si>
  <si>
    <t>A.2.9.2.5</t>
  </si>
  <si>
    <t>A.2.9.2.6</t>
  </si>
  <si>
    <t>A.2.9.2.7</t>
  </si>
  <si>
    <t>A.2.9.2.8</t>
  </si>
  <si>
    <t>A.2.9.2.9</t>
  </si>
  <si>
    <t>Number of units per intake and frequency of intake over a specified duration of time.</t>
  </si>
  <si>
    <t>Example: 1 tablet every 24h, for 10 days</t>
  </si>
  <si>
    <t>A.2.9.2.10</t>
  </si>
  <si>
    <t>Path by which the pharmaceutical product is taken into or makes contact with the body.</t>
  </si>
  <si>
    <t>A.2.9.2.11</t>
  </si>
  <si>
    <t>Period of treatment</t>
  </si>
  <si>
    <t>The interval of time during which it is being asserted that the patient is/was/will be taking the medication (or was not taking).</t>
  </si>
  <si>
    <t>A.2.9.2.12</t>
  </si>
  <si>
    <t>Days supplied</t>
  </si>
  <si>
    <t>Number of days for which the patient was provided with the drug. By supply is meant either handing over the medicine or writing out a prescription. If the patient has not been provided with the drug (e.g. if the patient has a sufficient supply of the drug), O value is recorded.</t>
  </si>
  <si>
    <t>Preferred healthcare professional (HP)</t>
  </si>
  <si>
    <t>- This section can be repeated and linked to any specific information in the document, for example a link between a rare disease problem and the rare disease specialist responsible for the care of the individual patient (this section).</t>
  </si>
  <si>
    <t>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t>
  </si>
  <si>
    <t>Health insurance and payment information</t>
  </si>
  <si>
    <t>Health insurance information is not always required, however, in some jurisdictions, the insurance number is also used as the patient identifier. It is necessary not just for identification but also forms access to funding for care. </t>
  </si>
  <si>
    <t>Information recipient</t>
  </si>
  <si>
    <t>Legal authenticator</t>
  </si>
  <si>
    <t>The person taking responsibility for the medical content of the document</t>
  </si>
  <si>
    <t>ICD-10*
SNOMED CT GPS
Orphacode if rare disease is diagnosed</t>
  </si>
  <si>
    <t>SNOMED CT
ATC
DLP</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</si>
  <si>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r>
      <rPr>
        <sz val="12"/>
        <color theme="1"/>
        <rFont val="Times New Roman"/>
        <family val="1"/>
        <charset val="238"/>
      </rPr>
      <t xml:space="preserve">
The warning can be entered in code (there are codes for frequently used alerts), but seeing the dynamic nature of the warnings cf. SARS and Ebola, these alerts will often be entered as free text.</t>
    </r>
  </si>
  <si>
    <t>SNOMED CT
LOINC</t>
  </si>
  <si>
    <t>ICD-10*
SNOMED CT
OrphaCode</t>
  </si>
  <si>
    <t xml:space="preserve"> - All locations/departments where the patient stayed within the hospital.</t>
  </si>
  <si>
    <t>Observation of Body weight and height of the patient, BMI, circumference of head, waist, hip, limbs and skin fold thickness.
Result of the observation includes text, numeric and coded results of the measurement including measurement units.</t>
  </si>
  <si>
    <t>SNOMED CT
&lt;&lt; 1153637007 | Body height (observable entity) | OR
&lt;&lt; 27113001 | Body weight (observable entity) | OR 60621009 | Body mass index (observable entity) | OR 363812007 | Head circumference (observable entity) | OR 248366000 | Chest circumference (observable entity) | OR 276361009 | Waist circumference (observable entity) |</t>
  </si>
  <si>
    <t>Vital signs observation:
• Required: Pulse rate, respiratory rate, systolic and diastolic blood pressure with site information
• Optional: 02 saturation</t>
  </si>
  <si>
    <t>http://hl7.org/fhir/ValueSet/observation-category 
Fixed value "vital-signs"</t>
  </si>
  <si>
    <t>SNOMED CT
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</si>
  <si>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 (For details see: https://paciowg.github.io/functional-status-ig/)</t>
  </si>
  <si>
    <t>ICD-10*
IPS Absent or Unknown Problems
OrphaCode
ICD-O-3</t>
  </si>
  <si>
    <t>SNOMED CT &lt; 63653004 | Biomedical device (physical object) |
OR eHDSIDevice OR
IPS Absent or Unknown Devices</t>
  </si>
  <si>
    <t>Historical procedures performed on or for a patient, relevant for the current encounter. 
Examples include surgical procedures, diagnostic procedures, endoscopic procedures, biopsies, counseling, physiotherapy, personal support services, adult day care services, etc.</t>
  </si>
  <si>
    <t>SNOMED CT &lt; 71388002 | Procedure (procedure) |</t>
  </si>
  <si>
    <t>SNOMED CT &lt; 442083009 | Anatomical or acquired body structure (body structure) |</t>
  </si>
  <si>
    <t>SNOMED CT
385669000| Successful
385671000| Unsuccessful
385670004| Partially successful</t>
  </si>
  <si>
    <t>ICD-10*
SNOMED CT</t>
  </si>
  <si>
    <t>SNOMED CT
ATC (IDMP)</t>
  </si>
  <si>
    <t>SNOMED CT &lt; 365508006 | Finding of residence and accommodation circumstances (finding) |</t>
  </si>
  <si>
    <t>Discharge details</t>
  </si>
  <si>
    <t>(structured information should be provided, however if not available, at least a summary note should be present).</t>
  </si>
  <si>
    <t>A.1</t>
  </si>
  <si>
    <t>A.1.1</t>
  </si>
  <si>
    <t>A.1.2</t>
  </si>
  <si>
    <t>A.1.3</t>
  </si>
  <si>
    <t>A.1.4</t>
  </si>
  <si>
    <t>A.1.5</t>
  </si>
  <si>
    <t>A.1.6</t>
  </si>
  <si>
    <t>A.1.7</t>
  </si>
  <si>
    <t>A.1.8</t>
  </si>
  <si>
    <t>A.2.3</t>
  </si>
  <si>
    <t>Body (missing elementy ?)</t>
  </si>
  <si>
    <t>Missing element ?</t>
  </si>
  <si>
    <t>A.2</t>
  </si>
  <si>
    <t>A.1-Report header data element [Mandatory]</t>
  </si>
  <si>
    <t>A.1.1-Identification of the patient/subject [Mandatory]</t>
  </si>
  <si>
    <t>A.1.2-Patient/subject related contact information [Required]</t>
  </si>
  <si>
    <t>A.1.3-Health insurance and payment information [Required]</t>
  </si>
  <si>
    <t>A.1.4-Information recipient [Required]</t>
  </si>
  <si>
    <t>A.1.5-Author (by whom the Hospital discharge report was authored) [Mandatory]</t>
  </si>
  <si>
    <t>A.1.7-Legal authenticator [Required]</t>
  </si>
  <si>
    <t>A.1.8-Document metadata [Mandatory]</t>
  </si>
  <si>
    <t>A.1.9-Digital signatures [Required]</t>
  </si>
  <si>
    <t>A.2-Body (missing elementy ?) [Mandatory]</t>
  </si>
  <si>
    <t>A.2.1-Advance directives [Required]</t>
  </si>
  <si>
    <t>A.2.2-Emergency information [Mandatory]</t>
  </si>
  <si>
    <t>A.2.3-Encounter [Mandatory]</t>
  </si>
  <si>
    <t>A.2.4-Admission evaluation - Admission status should be reported exceptionally only if it is relevant to ensure continuity of care. [Optional]</t>
  </si>
  <si>
    <t>A.2.6-Patient history [Optional]</t>
  </si>
  <si>
    <t>A.2.7-Hospital stay [Mandatory]</t>
  </si>
  <si>
    <t>A.2.8-Discharge details [Mandatory]</t>
  </si>
  <si>
    <t>A.2.9-Recommendations [Required]</t>
  </si>
  <si>
    <t>header</t>
  </si>
  <si>
    <t>intended recipient or recipients of the report, additional recipients might be identified by the ordering party, e.g. GP, other specialist</t>
  </si>
  <si>
    <t>structured information should be provided, however if not available, at least a summary note should be present</t>
  </si>
  <si>
    <t>body</t>
  </si>
  <si>
    <t>header.payer</t>
  </si>
  <si>
    <t>header.informationRecipient</t>
  </si>
  <si>
    <t>header.author</t>
  </si>
  <si>
    <t>header.attester</t>
  </si>
  <si>
    <t>header.legalAuthenticator</t>
  </si>
  <si>
    <t>header.documentMetadata</t>
  </si>
  <si>
    <t>header.digitalSignature</t>
  </si>
  <si>
    <t>body.advanceDirectives</t>
  </si>
  <si>
    <t>body.emergencyInfos</t>
  </si>
  <si>
    <t>body.encounter</t>
  </si>
  <si>
    <t>body.admissionEvaluation</t>
  </si>
  <si>
    <t>body.patientHistory</t>
  </si>
  <si>
    <t>body.hospitalStay</t>
  </si>
  <si>
    <t>body.dischargeDetails</t>
  </si>
  <si>
    <t>body.recommendations</t>
  </si>
  <si>
    <t>xph-hdr.fsh</t>
  </si>
  <si>
    <t>HospitalDischargeReportSK</t>
  </si>
  <si>
    <t>Hospital Discharge Report (SK)</t>
  </si>
  <si>
    <t>Hospital Discharge Report SK
Maturity Level: 0 Draft</t>
  </si>
  <si>
    <t>xph-hdr-sk.fsh</t>
  </si>
  <si>
    <t>Hospital Discharge Report model to FHIR R4 Map</t>
  </si>
  <si>
    <t>A.1.1.2-Family name/surname [Mandatory]</t>
  </si>
  <si>
    <t>A.1.1.5-Nationality [Required]</t>
  </si>
  <si>
    <t>A.1.1.6-Gender [Mandatory]</t>
  </si>
  <si>
    <t>A.1.1.7-Language communication [Optional]</t>
  </si>
  <si>
    <t>dateTime</t>
  </si>
  <si>
    <t>A.1.2.1-Patient address []</t>
  </si>
  <si>
    <t>A.1.2.1.1-Address [Required]</t>
  </si>
  <si>
    <t>A.1.2.1.2-Telecom [Required]</t>
  </si>
  <si>
    <t>A.1.2.2-Preferred healthcare professional (HP) [Optional]</t>
  </si>
  <si>
    <t>A.1.2.2.1-Identifier [Required]</t>
  </si>
  <si>
    <t>A.1.2.2.2-Name of the HP [Required]</t>
  </si>
  <si>
    <t>A.1.2.2.3-Role of the HP [Required]</t>
  </si>
  <si>
    <t>A.1.2.2.4-HP Organisation [Required]</t>
  </si>
  <si>
    <t>A.1.2.2.5-Address [Optional]</t>
  </si>
  <si>
    <t>A.1.2.2.6-Telecom [Required]</t>
  </si>
  <si>
    <t>A.1.2.3-Contact person/ legal guardian [Required]</t>
  </si>
  <si>
    <t>A.1.2.3.1-Role of that person [Required]</t>
  </si>
  <si>
    <t>A.1.2.3.3-Identifier [Optional]</t>
  </si>
  <si>
    <t>A.1.2.3.4-Given name [Mandatory]</t>
  </si>
  <si>
    <t>A.1.2.3.5-Family name/surname [Mandatory]</t>
  </si>
  <si>
    <t>A.1.2.3.6-Address [Optional]</t>
  </si>
  <si>
    <t>A.1.2.3.7-Telecom [Required]</t>
  </si>
  <si>
    <t>A.1.3.1-Health insurance code [Mandatory]</t>
  </si>
  <si>
    <t>A.1.3.2-Health insurance name [Required]</t>
  </si>
  <si>
    <t>A.1.3.3-Health insurance number [Mandatory]</t>
  </si>
  <si>
    <t>A.1.4.1-Recipient identifier [Required]</t>
  </si>
  <si>
    <t>A.1.4.2-Recipient name [Required]</t>
  </si>
  <si>
    <t>header.payer.insuranceCode</t>
  </si>
  <si>
    <t>header.payer.insuranceNumber</t>
  </si>
  <si>
    <t>header.payer.insuranceName</t>
  </si>
  <si>
    <t>header.informationRecipient.name</t>
  </si>
  <si>
    <t>header.informationRecipient.identifier</t>
  </si>
  <si>
    <t>header.informationRecipient.organizationID</t>
  </si>
  <si>
    <t>header.informationRecipient.organization</t>
  </si>
  <si>
    <t>HumanName</t>
  </si>
  <si>
    <t>ContactPoint</t>
  </si>
  <si>
    <t>A.1.5.1-Author identifier [Mandatory]</t>
  </si>
  <si>
    <t>A.1.5.2-Author name [Mandatory]</t>
  </si>
  <si>
    <t>A.1.5.5-DateTime [Mandatory]</t>
  </si>
  <si>
    <t>A.1.6.1-Attester identifier [Mandatory]</t>
  </si>
  <si>
    <t>A.1.6.2-Attester name [Mandatory]</t>
  </si>
  <si>
    <t>A.1.6.5-Approval date and time [Mandatory]</t>
  </si>
  <si>
    <t>A.1.7.1-Legal authenticator identifier [Mandatory]</t>
  </si>
  <si>
    <t>A.1.7.2-Legal authenticator name [Mandatory]</t>
  </si>
  <si>
    <t>A.1.7.4-Authentication date and time [Mandatory]</t>
  </si>
  <si>
    <t>A.1.8.1-Document ID [Mandatory]</t>
  </si>
  <si>
    <t>A.1.8.2-Document type [Mandatory]</t>
  </si>
  <si>
    <t>A.1.8.3-Document status [Mandatory]</t>
  </si>
  <si>
    <t>A.1.8.4-Report date and time [Mandatory]</t>
  </si>
  <si>
    <t>A.1.8.5-Document title [Mandatory]</t>
  </si>
  <si>
    <t>A.1.8.6-Report custodian [Optional]</t>
  </si>
  <si>
    <t>A.1.8.7-Confidentiality [Mandatory]</t>
  </si>
  <si>
    <t>A.1.8.8-Language [Required]</t>
  </si>
  <si>
    <t>A.1.8.9-Version [Required]</t>
  </si>
  <si>
    <t>A.1.9.1-Digital signature [Required]</t>
  </si>
  <si>
    <t>A.1.9.2-Time stamp [Required]</t>
  </si>
  <si>
    <t>header.author.identifier</t>
  </si>
  <si>
    <t>header.author.name</t>
  </si>
  <si>
    <t>header.author.organizationID</t>
  </si>
  <si>
    <t>header.attester.organizationID</t>
  </si>
  <si>
    <t>header.author.organization</t>
  </si>
  <si>
    <t>header.author.dateTime</t>
  </si>
  <si>
    <t>header.attester.identifier</t>
  </si>
  <si>
    <t>header.attester.name</t>
  </si>
  <si>
    <t>header.attester.organization</t>
  </si>
  <si>
    <t>header.attester.dateTime</t>
  </si>
  <si>
    <t>header.documentMetadata.identifier</t>
  </si>
  <si>
    <t>header.documentMetadata.type</t>
  </si>
  <si>
    <t>header.documentMetadata.status</t>
  </si>
  <si>
    <t>header.documentMetadata.dateTime</t>
  </si>
  <si>
    <t>header.documentMetadata.title</t>
  </si>
  <si>
    <t>header.documentMetadata.custodian</t>
  </si>
  <si>
    <t>header.documentMetadata.confidentiality</t>
  </si>
  <si>
    <t>header.documentMetadata.language</t>
  </si>
  <si>
    <t>header.documentMetadata.version</t>
  </si>
  <si>
    <t>header.digitalSignature.signature</t>
  </si>
  <si>
    <t>header.digitalSignature.timeStamp</t>
  </si>
  <si>
    <t>A.1.1.1-Given name [Mandatory]</t>
  </si>
  <si>
    <t>A.1.1.3-Date of birth [Required]</t>
  </si>
  <si>
    <t>A.1.1.4-Personal identifier [Required]</t>
  </si>
  <si>
    <t>A.1.2.3.2-Relationship level [Required]</t>
  </si>
  <si>
    <t>A.1.4.4-Recipient organization [Required]</t>
  </si>
  <si>
    <t>A.1.5.4-Author organization [Mandatory]</t>
  </si>
  <si>
    <t>A.1.6-Attester [Required]</t>
  </si>
  <si>
    <t>A.1.6.4-Attester organization [Mandatory]</t>
  </si>
  <si>
    <t>A.1.7.3-Legal authenticator organization [Mandatory]</t>
  </si>
  <si>
    <t xml:space="preserve">The given name/first name of the patient (also known as forename or first name). This field can contain more than one element.  </t>
  </si>
  <si>
    <t xml:space="preserve">The family name/surname/last name of the patient. This field can contain more than one element or multiple fields could be present. </t>
  </si>
  <si>
    <t xml:space="preserve">An identifier of the patient that is unique within a defined scope. Example: National ID (birth number) for Czech patient. Multiple identifiers could be provided.  </t>
  </si>
  <si>
    <t xml:space="preserve">HL7 Administrative Gender </t>
  </si>
  <si>
    <t xml:space="preserve">Patient communication language. Multiple communication languages might be provided.  </t>
  </si>
  <si>
    <t>An identifier of the healthcare professional that is unique within a defined scope. Example: National healthcare professional ID. Multiple identifiers could be provided.</t>
  </si>
  <si>
    <t xml:space="preserve">An identifier of the healthcare professional that is unique within a defined scope. Example: National personal ID, passport number etc. Multiple identifiers could be provided.  </t>
  </si>
  <si>
    <t xml:space="preserve">Health insurance information is not always required, however, in some jurisdictions, the insurance number is also used as the patient identifier. It is necessary not just for identification but also forms access to funding for care. </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</si>
  <si>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</si>
  <si>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A.1.4.3-Recipient organization ID [Required]</t>
  </si>
  <si>
    <t xml:space="preserve">The healthcare provider organization identifier if known. Identifier that is unique within a defined scope. Example: National healthcare provider ID. Multiple identifiers could be provided.  </t>
  </si>
  <si>
    <t xml:space="preserve">The health professional identification number. Either an internal identifier assigned by a healthcare provider institution or (preferably) a national health professional ID such as the license or registration number. </t>
  </si>
  <si>
    <t>A.1.5.3-Author organization ID [Required]</t>
  </si>
  <si>
    <t>A.1.6.3-Attester organization ID [Required]</t>
  </si>
  <si>
    <t xml:space="preserve">hl7:CompositionStatus </t>
  </si>
  <si>
    <t>-Legal authenticator organization ID [Required]</t>
  </si>
  <si>
    <t>This field must contain a recognised valid value for 'administrative gender'. If different, 'physiological gender' should be communicated elsewhere.</t>
  </si>
  <si>
    <t>A coded type of the document. Fixed value 'Hospital dicharge summary'</t>
  </si>
  <si>
    <t>Document title, e.g. 'Hospital discharge report'</t>
  </si>
  <si>
    <t>header.legalAuthenticator.identifier</t>
  </si>
  <si>
    <t>header.legalAuthenticator.name</t>
  </si>
  <si>
    <t>header.legalAuthenticator.organizationID</t>
  </si>
  <si>
    <t>header.legalAuthenticator.organization</t>
  </si>
  <si>
    <t>header.legalAuthenticator.dateTime</t>
  </si>
  <si>
    <t>A.1 - Report header data element [Mandatory]</t>
  </si>
  <si>
    <t>A.1.1 - Identification of the patient/subject [Mandatory]</t>
  </si>
  <si>
    <t>A.1.1.2 - Family name/surname [Mandatory]</t>
  </si>
  <si>
    <t>A.1.1.5 - Nationality [Required]</t>
  </si>
  <si>
    <t>A.1.1.6 - Gender [Mandatory]</t>
  </si>
  <si>
    <t>A.1.1.7 - Language communication [Optional]</t>
  </si>
  <si>
    <t>A.1.2 - Patient/subject related contact information [Required]</t>
  </si>
  <si>
    <t>A.1.2.1 - Patient address []</t>
  </si>
  <si>
    <t>A.1.2.1.1 - Address [Required]</t>
  </si>
  <si>
    <t>A.1.2.1.2 - Telecom [Required]</t>
  </si>
  <si>
    <t>A.1.2.2 - Preferred healthcare professional (HP) [Optional]</t>
  </si>
  <si>
    <t>A.1.2.2.1 - Identifier [Required]</t>
  </si>
  <si>
    <t>A.1.2.2.2 - Name of the HP [Required]</t>
  </si>
  <si>
    <t>A.1.2.2.3 - Role of the HP [Required]</t>
  </si>
  <si>
    <t>A.1.2.2.4 - HP Organisation [Required]</t>
  </si>
  <si>
    <t>A.1.2.2.5 - Address [Optional]</t>
  </si>
  <si>
    <t>A.1.2.2.6 - Telecom [Required]</t>
  </si>
  <si>
    <t>A.1.2.3 - Contact person/ legal guardian [Required]</t>
  </si>
  <si>
    <t>A.1.2.3.1 - Role of that person [Required]</t>
  </si>
  <si>
    <t>A.1.2.3.3 - Identifier [Optional]</t>
  </si>
  <si>
    <t>A.1.2.3.4 - Given name [Mandatory]</t>
  </si>
  <si>
    <t>A.1.2.3.5 - Family name/surname [Mandatory]</t>
  </si>
  <si>
    <t>A.1.2.3.6 - Address [Optional]</t>
  </si>
  <si>
    <t>A.1.2.3.7 - Telecom [Required]</t>
  </si>
  <si>
    <t>A.1.3 - Health insurance and payment information [Required]</t>
  </si>
  <si>
    <t>A.1.3.1 - Health insurance code [Mandatory]</t>
  </si>
  <si>
    <t>A.1.3.2 - Health insurance name [Required]</t>
  </si>
  <si>
    <t>A.1.3.3 - Health insurance number [Mandatory]</t>
  </si>
  <si>
    <t>A.1.4 - Information recipient [Required]</t>
  </si>
  <si>
    <t>A.1.4.1 - Recipient identifier [Required]</t>
  </si>
  <si>
    <t>A.1.4.2 - Recipient name [Required]</t>
  </si>
  <si>
    <t>A.1.5 - Author (by whom the Hospital discharge report was authored) [Mandatory]</t>
  </si>
  <si>
    <t>A.1.5.1 - Author identifier [Mandatory]</t>
  </si>
  <si>
    <t>A.1.5.2 - Author name [Mandatory]</t>
  </si>
  <si>
    <t>A.1.5.5 - DateTime [Mandatory]</t>
  </si>
  <si>
    <t>A.1.6.1 - Attester identifier [Mandatory]</t>
  </si>
  <si>
    <t>A.1.6.2 - Attester name [Mandatory]</t>
  </si>
  <si>
    <t>A.1.6.5 - Approval date and time [Mandatory]</t>
  </si>
  <si>
    <t>A.1.7 - Legal authenticator [Required]</t>
  </si>
  <si>
    <t>A.1.7.1 - Legal authenticator identifier [Mandatory]</t>
  </si>
  <si>
    <t>A.1.7.2 - Legal authenticator name [Mandatory]</t>
  </si>
  <si>
    <t xml:space="preserve"> - Legal authenticator organization ID [Required]</t>
  </si>
  <si>
    <t>A.1.7.4 - Authentication date and time [Mandatory]</t>
  </si>
  <si>
    <t>A.1.8 - Document metadata [Mandatory]</t>
  </si>
  <si>
    <t>A.1.8.1 - Document ID [Mandatory]</t>
  </si>
  <si>
    <t>A.1.8.2 - Document type [Mandatory]</t>
  </si>
  <si>
    <t>A.1.8.3 - Document status [Mandatory]</t>
  </si>
  <si>
    <t>A.1.8.4 - Report date and time [Mandatory]</t>
  </si>
  <si>
    <t>A.1.8.5 - Document title [Mandatory]</t>
  </si>
  <si>
    <t>A.1.8.6 - Report custodian [Optional]</t>
  </si>
  <si>
    <t>A.1.8.7 - Confidentiality [Mandatory]</t>
  </si>
  <si>
    <t>A.1.8.8 - Language [Required]</t>
  </si>
  <si>
    <t>A.1.8.9 - Version [Required]</t>
  </si>
  <si>
    <t>A.1.9 - Digital signatures [Required]</t>
  </si>
  <si>
    <t>A.1.9.1 - Digital signature [Required]</t>
  </si>
  <si>
    <t>A.1.9.2 - Time stamp [Required]</t>
  </si>
  <si>
    <t>A.2 - Body (missing elementy ?) [Mandatory]</t>
  </si>
  <si>
    <t>A.2.1 - Advance directives [Required]</t>
  </si>
  <si>
    <t>A.2.2 - Emergency information [Mandatory]</t>
  </si>
  <si>
    <t>A.2.3 - Encounter [Mandatory]</t>
  </si>
  <si>
    <t>A.2.6 - Patient history [Optional]</t>
  </si>
  <si>
    <t>A.2.7 - Hospital stay [Mandatory]</t>
  </si>
  <si>
    <t>A.2.8 - Discharge details [Mandatory]</t>
  </si>
  <si>
    <t>A.2.9 - Recommendations [Required]</t>
  </si>
  <si>
    <t>A.1.1.1 - Given name [Mandatory]</t>
  </si>
  <si>
    <t>A.1.1.3 - Date of birth [Required]</t>
  </si>
  <si>
    <t>A.1.1.4 - Personal identifier [Required]</t>
  </si>
  <si>
    <t>A.1.2.3.2 - Relationship level [Required]</t>
  </si>
  <si>
    <t>A.1.4.3 - Recipient organization ID [Required]</t>
  </si>
  <si>
    <t>A.1.4.4 - Recipient organization [Required]</t>
  </si>
  <si>
    <t>A.1.5.3 - Author organization ID [Required]</t>
  </si>
  <si>
    <t>A.1.5.4 - Author organization [Mandatory]</t>
  </si>
  <si>
    <t>A.1.6 - Attester [Required]</t>
  </si>
  <si>
    <t>A.1.6.3 - Attester organization ID [Required]</t>
  </si>
  <si>
    <t>A.1.6.4 - Attester organization [Mandatory]</t>
  </si>
  <si>
    <t>A.1.7.3 - Legal authenticator organization [Mandatory]</t>
  </si>
  <si>
    <t>A.2.4 - Admission evaluation  -  Admission status should be reported exceptionally only if it is relevant to ensure continuity of care. [Optional]</t>
  </si>
  <si>
    <t>ICD-10*
SNOMED CT
Orphacode</t>
  </si>
  <si>
    <t>A.2.3.1 - Encounter type [Mandatory]</t>
  </si>
  <si>
    <t>A.2.3.2 - Encounter note [Optional]</t>
  </si>
  <si>
    <t>A.2.3.3 - Admission [Mandatory]</t>
  </si>
  <si>
    <t>A.2.3.3.1 - Admission urgency [Required]</t>
  </si>
  <si>
    <t>A.2.3.3.2 - Admission date [Mandatory]</t>
  </si>
  <si>
    <t>A.2.3.3.3 - Admitting professional Id [Required]</t>
  </si>
  <si>
    <t>A.2.3.3.4 - Admitting professional name [Required]</t>
  </si>
  <si>
    <t>A.2.3.3.5 - Admit Source [Required]</t>
  </si>
  <si>
    <t>A.2.3.3.6 - Referring professional Id [Required]</t>
  </si>
  <si>
    <t>A.2.3.3.7 - Referring professional name [Required]</t>
  </si>
  <si>
    <t>A.2.3.3.8 - Referring organization [Required]</t>
  </si>
  <si>
    <t>A.2.3.4 - Admission reason [Mandatory]</t>
  </si>
  <si>
    <t>A.2.3.4.1 - Admission reason [Required]</t>
  </si>
  <si>
    <t>A.2.3.4.2 - Admission reason comment [Optional]</t>
  </si>
  <si>
    <t>A.2.3.4.3 - Admission legal status [Required]</t>
  </si>
  <si>
    <t>A.2.3.5 - Discharge [Mandatory]</t>
  </si>
  <si>
    <t>A.2.3.5.1 - Discharge date [Mandatory]</t>
  </si>
  <si>
    <t>A.2.3.5.2 - Discharge destination type [Required]</t>
  </si>
  <si>
    <t>A.2.3.5.3 - Destination location [Required]</t>
  </si>
  <si>
    <t>A.2.3.6 - Location - All locations/departments where the patient stayed within the hospital. [Required]</t>
  </si>
  <si>
    <t>A.2.3.6.1 - Period [Mandatory]</t>
  </si>
  <si>
    <t>A.2.3.6.2 - Organization Id [Required]</t>
  </si>
  <si>
    <t>A.2.3.6.3 - Organization Part Name [Mandatory]</t>
  </si>
  <si>
    <t>A.2.3.6.4 - Organization Part Details [Required]</t>
  </si>
  <si>
    <t>HdrEHNEncounter</t>
  </si>
  <si>
    <t>HDREncounter</t>
  </si>
  <si>
    <t>A2.3 - Encounter</t>
  </si>
  <si>
    <t>Hospital Discharge Report - Encounter - A2.3 eHN
Maturity Level: 0 Draft</t>
  </si>
  <si>
    <t>note</t>
  </si>
  <si>
    <t>admission</t>
  </si>
  <si>
    <t>reason</t>
  </si>
  <si>
    <t>location</t>
  </si>
  <si>
    <t>discharge</t>
  </si>
  <si>
    <t>admission.urgency</t>
  </si>
  <si>
    <t>admission.date</t>
  </si>
  <si>
    <t>admission.source</t>
  </si>
  <si>
    <t>- Admitting professional Id []</t>
  </si>
  <si>
    <t>admission.admitter</t>
  </si>
  <si>
    <t>admission.admitter.identifier</t>
  </si>
  <si>
    <t>admission.admitter.name</t>
  </si>
  <si>
    <t>admission.referringHP</t>
  </si>
  <si>
    <t>Admitting Healthcare Professional</t>
  </si>
  <si>
    <t>Referring Healthcare Professional</t>
  </si>
  <si>
    <t xml:space="preserve"> - Referring professional Id []</t>
  </si>
  <si>
    <t>admission.referringHP.identifier</t>
  </si>
  <si>
    <t>admission.referringHP.name</t>
  </si>
  <si>
    <t>admission.referringHP.organization</t>
  </si>
  <si>
    <t>reason.code</t>
  </si>
  <si>
    <t>Reason for admission code</t>
  </si>
  <si>
    <t>reason.comment</t>
  </si>
  <si>
    <t>reason.legalStatus</t>
  </si>
  <si>
    <t>discharge.dateTime</t>
  </si>
  <si>
    <t>discharge.destinationType</t>
  </si>
  <si>
    <t>discharge.destinationLocation</t>
  </si>
  <si>
    <t>location.period</t>
  </si>
  <si>
    <t>location.organization</t>
  </si>
  <si>
    <t xml:space="preserve"> - Organization Id []</t>
  </si>
  <si>
    <t>location.organization.id</t>
  </si>
  <si>
    <t>location.organization.name</t>
  </si>
  <si>
    <t>location.organization.details</t>
  </si>
  <si>
    <t>xph-hdr-enc.fsh</t>
  </si>
  <si>
    <t>Source URI</t>
  </si>
  <si>
    <t>http://hl7.eu/fhir/laboratory/StructureDefinition/Recipient</t>
  </si>
  <si>
    <t>Target URI</t>
  </si>
  <si>
    <t>eHN Recipient to this guide Map</t>
  </si>
  <si>
    <t>Source Group</t>
  </si>
  <si>
    <t>http://hl7.eu/fhir/laboratory</t>
  </si>
  <si>
    <t>Target Group</t>
  </si>
  <si>
    <t>description</t>
  </si>
  <si>
    <t>purpose</t>
  </si>
  <si>
    <t>ofType(Organization)</t>
  </si>
  <si>
    <t>// * url = ##34#http://terminology.hl7.it/ConceptMap/ConceptMap-subject2osiris##34#</t>
  </si>
  <si>
    <t>HdrEncounter2FHIR</t>
  </si>
  <si>
    <t>http://hl7.eu/fhir/ig/xpandh/hdr/StructureDefinition/HDREncounter</t>
  </si>
  <si>
    <t>http://hl7.eu/fhir/ig/xpandh/hdr/StructureDefinition/Encounter-eu-xpandh</t>
  </si>
  <si>
    <t>ConceptMap-hdrEncounter2FHIR-eu-xpandh</t>
  </si>
  <si>
    <t>Encounter.conformsTo('http://hl7.eu/fhir/ig/xpandh/hdr/StructureDefinition/Encounter-eu-xpandh')</t>
  </si>
  <si>
    <t>class</t>
  </si>
  <si>
    <t>priority</t>
  </si>
  <si>
    <t>to be checked</t>
  </si>
  <si>
    <t>period.start</t>
  </si>
  <si>
    <t>reasonCode</t>
  </si>
  <si>
    <t>reasonCode.text</t>
  </si>
  <si>
    <t>period.end</t>
  </si>
  <si>
    <t>hospitalization.admitSource</t>
  </si>
  <si>
    <t>hospitalization.dischargeDisposition</t>
  </si>
  <si>
    <t>encounter-to-fhir-map.fsh</t>
  </si>
  <si>
    <t>participant.where(type='ADM').individual.resolve()</t>
  </si>
  <si>
    <t>participant.where(type='ADM').individual.resolve().identifier</t>
  </si>
  <si>
    <t>participant.where(type='ADM').individual.resolve().ofType(Practictioner).name</t>
  </si>
  <si>
    <t>participant.where(type='ADM').individual.resolve().ofType(PractictionerRole).practitioner.resolve().name</t>
  </si>
  <si>
    <t>participant.where(type='REF').individual.resolve()</t>
  </si>
  <si>
    <t>participant.where(type='REF').individual.resolve().identifier</t>
  </si>
  <si>
    <t>participant.where(type='REF').individual.resolve().ofType(Practictioner).name</t>
  </si>
  <si>
    <t>participant.where(type='REF').individual.resolve().ofType(PractictionerRole).practitioner.resolve().name</t>
  </si>
  <si>
    <t>to be completed</t>
  </si>
  <si>
    <t>TBC</t>
  </si>
  <si>
    <t>header.subjectIdentification</t>
  </si>
  <si>
    <t>header.subjectIdentification.given</t>
  </si>
  <si>
    <t>header.subjectIdentification.family</t>
  </si>
  <si>
    <t>header.subjectIdentification.birthDate</t>
  </si>
  <si>
    <t>header.subjectIdentification.identifier</t>
  </si>
  <si>
    <t>header.subjectIdentification.nationality</t>
  </si>
  <si>
    <t>header.subjectIdentification.gender</t>
  </si>
  <si>
    <t>header.subjectIdentification.language</t>
  </si>
  <si>
    <t>header.subjectContact</t>
  </si>
  <si>
    <t>header.subjectContact.contactPoint</t>
  </si>
  <si>
    <t>header.subjectContact.contactPoint.address</t>
  </si>
  <si>
    <t>header.subjectContact.contactPoint.telecom</t>
  </si>
  <si>
    <t>header.subjectContact.contactPoint.preferredHP</t>
  </si>
  <si>
    <t>header.subjectContact.contactPoint.preferredHP.identifier</t>
  </si>
  <si>
    <t>header.subjectContact.contactPoint.preferredHP.name</t>
  </si>
  <si>
    <t>header.subjectContact.contactPoint.preferredHP.role</t>
  </si>
  <si>
    <t>header.subjectContact.contactPoint.preferredHP.organization</t>
  </si>
  <si>
    <t>header.subjectContact.contactPoint.preferredHP.address</t>
  </si>
  <si>
    <t>header.subjectContact.contactPoint.preferredHP.telecom</t>
  </si>
  <si>
    <t>header.subjectContact.contactPoint.person</t>
  </si>
  <si>
    <t>header.subjectContact.contactPoint.person.role</t>
  </si>
  <si>
    <t>header.subjectContact.contactPoint.person.relationship</t>
  </si>
  <si>
    <t>header.subjectContact.contactPoint.person.identifier</t>
  </si>
  <si>
    <t>header.subjectContact.contactPoint.person.given</t>
  </si>
  <si>
    <t>header.subjectContact.contactPoint.person.name</t>
  </si>
  <si>
    <t>header.subjectContact.contactPoint.person.address</t>
  </si>
  <si>
    <t>header.subjectContact.contactPoint.person.telecom</t>
  </si>
  <si>
    <t>Proposed relationship between the HDR Encounter data set defined by the EU eHN guidelines and this guide</t>
  </si>
  <si>
    <t>eHN HDR Encounter Model to this guide mapping</t>
  </si>
  <si>
    <t>A - Hospital Discharge Report (eHN)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</si>
</sst>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0"/>
      <color rgb="FF000000"/>
      <name val="Calibri"/>
      <family val="2"/>
      <scheme val="minor"/>
    </font>
    <font>
      <sz val="11"/>
      <color theme="1"/>
      <name val="Calibri"/>
      <family val="2"/>
      <charset val="238"/>
      <scheme val="minor"/>
    </font>
    <font>
      <b/>
      <sz val="12"/>
      <color theme="1"/>
      <name val="Times New Roman"/>
      <family val="1"/>
      <charset val="238"/>
    </font>
    <font>
      <sz val="12"/>
      <color theme="1"/>
      <name val="Times New Roman"/>
      <family val="1"/>
      <charset val="238"/>
    </font>
    <font>
      <sz val="10"/>
      <color theme="1"/>
      <name val="Times New Roman"/>
      <family val="1"/>
      <charset val="238"/>
    </font>
    <font>
      <u/>
      <sz val="11"/>
      <color theme="10"/>
      <name val="Calibri"/>
      <family val="2"/>
      <charset val="238"/>
      <scheme val="minor"/>
    </font>
    <font>
      <u/>
      <sz val="12"/>
      <color theme="1"/>
      <name val="Times New Roman"/>
      <family val="1"/>
      <charset val="238"/>
    </font>
    <font>
      <sz val="12"/>
      <color rgb="FF172B4D"/>
      <name val="Times New Roman"/>
      <family val="1"/>
      <charset val="238"/>
    </font>
    <font>
      <b/>
      <i/>
      <sz val="12"/>
      <color theme="1"/>
      <name val="Times New Roman"/>
      <family val="1"/>
      <charset val="238"/>
    </font>
    <font>
      <sz val="12"/>
      <color rgb="FF339966"/>
      <name val="Times New Roman"/>
      <family val="1"/>
      <charset val="238"/>
    </font>
    <font>
      <i/>
      <sz val="12"/>
      <color theme="1"/>
      <name val="Times New Roman"/>
      <family val="1"/>
      <charset val="238"/>
    </font>
    <font>
      <sz val="12"/>
      <color theme="1"/>
      <name val="Times New Roman"/>
      <family val="1"/>
    </font>
    <font>
      <sz val="8"/>
      <name val="Calibri"/>
      <family val="2"/>
      <scheme val="minor"/>
    </font>
    <font>
      <b/>
      <u/>
      <sz val="11"/>
      <color theme="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rgb="FFFF0000"/>
        <bgColor indexed="64"/>
      </patternFill>
    </fill>
    <fill>
      <patternFill patternType="solid">
        <fgColor rgb="FFA9D08E"/>
        <bgColor indexed="64"/>
      </patternFill>
    </fill>
    <fill>
      <patternFill patternType="solid">
        <fgColor rgb="FFFFC000"/>
        <bgColor indexed="64"/>
      </patternFill>
    </fill>
    <fill>
      <patternFill patternType="solid">
        <fgColor rgb="FFC6E0B4"/>
        <bgColor indexed="64"/>
      </patternFill>
    </fill>
    <fill>
      <patternFill patternType="solid">
        <fgColor rgb="FF92D050"/>
        <bgColor indexed="64"/>
      </patternFill>
    </fill>
  </fills>
  <borders count="3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auto="1"/>
      </left>
      <right style="medium">
        <color indexed="64"/>
      </right>
      <top style="thin">
        <color auto="1"/>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top style="medium">
        <color indexed="64"/>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0" borderId="0"/>
    <xf numFmtId="0" fontId="12" fillId="0" borderId="0"/>
    <xf numFmtId="0" fontId="16" fillId="0" borderId="0" applyNumberFormat="0" applyFill="0" applyBorder="0" applyAlignment="0" applyProtection="0"/>
  </cellStyleXfs>
  <cellXfs count="218">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6" fillId="8" borderId="1" xfId="3" applyBorder="1" applyAlignment="1">
      <alignment wrapText="1"/>
    </xf>
    <xf numFmtId="0" fontId="0" fillId="0" borderId="21" xfId="0" applyBorder="1" applyAlignment="1">
      <alignment wrapText="1"/>
    </xf>
    <xf numFmtId="0" fontId="13" fillId="0" borderId="17" xfId="5" applyFont="1" applyBorder="1" applyAlignment="1">
      <alignment horizontal="center" vertical="center" wrapText="1"/>
    </xf>
    <xf numFmtId="0" fontId="13" fillId="0" borderId="22" xfId="5" applyFont="1" applyBorder="1" applyAlignment="1">
      <alignment horizontal="center" vertical="center" wrapText="1"/>
    </xf>
    <xf numFmtId="0" fontId="12" fillId="0" borderId="0" xfId="5" applyAlignment="1">
      <alignment horizontal="left" vertical="top" wrapText="1"/>
    </xf>
    <xf numFmtId="0" fontId="13" fillId="0" borderId="23" xfId="5" applyFont="1" applyBorder="1" applyAlignment="1">
      <alignment vertical="center" wrapText="1"/>
    </xf>
    <xf numFmtId="0" fontId="13" fillId="0" borderId="24" xfId="5" applyFont="1" applyBorder="1" applyAlignment="1">
      <alignment vertical="center" wrapText="1"/>
    </xf>
    <xf numFmtId="0" fontId="13" fillId="0" borderId="25" xfId="5" applyFont="1" applyBorder="1" applyAlignment="1">
      <alignment vertical="center" wrapText="1"/>
    </xf>
    <xf numFmtId="0" fontId="13" fillId="0" borderId="22" xfId="5" applyFont="1" applyBorder="1" applyAlignment="1">
      <alignment vertical="center" wrapText="1"/>
    </xf>
    <xf numFmtId="0" fontId="13" fillId="0" borderId="26" xfId="5" applyFont="1" applyBorder="1" applyAlignment="1">
      <alignment vertical="center" wrapText="1"/>
    </xf>
    <xf numFmtId="0" fontId="14" fillId="0" borderId="26" xfId="5" applyFont="1" applyBorder="1" applyAlignment="1">
      <alignment vertical="center" wrapText="1"/>
    </xf>
    <xf numFmtId="0" fontId="14" fillId="0" borderId="23" xfId="5" applyFont="1" applyBorder="1" applyAlignment="1">
      <alignment vertical="center" wrapText="1"/>
    </xf>
    <xf numFmtId="0" fontId="14" fillId="3" borderId="26" xfId="5" applyFont="1" applyFill="1" applyBorder="1" applyAlignment="1">
      <alignment vertical="center" wrapText="1"/>
    </xf>
    <xf numFmtId="0" fontId="15" fillId="0" borderId="26" xfId="5" applyFont="1" applyBorder="1" applyAlignment="1">
      <alignment vertical="center" wrapText="1"/>
    </xf>
    <xf numFmtId="0" fontId="16" fillId="0" borderId="26" xfId="6" applyBorder="1" applyAlignment="1">
      <alignment vertical="center" wrapText="1"/>
    </xf>
    <xf numFmtId="0" fontId="14" fillId="13" borderId="26" xfId="5" applyFont="1" applyFill="1" applyBorder="1" applyAlignment="1">
      <alignment vertical="center" wrapText="1"/>
    </xf>
    <xf numFmtId="0" fontId="14" fillId="14" borderId="26" xfId="5" applyFont="1" applyFill="1" applyBorder="1" applyAlignment="1">
      <alignment vertical="center" wrapText="1"/>
    </xf>
    <xf numFmtId="0" fontId="14" fillId="15" borderId="26" xfId="5" applyFont="1" applyFill="1" applyBorder="1" applyAlignment="1">
      <alignment vertical="center" wrapText="1"/>
    </xf>
    <xf numFmtId="0" fontId="14" fillId="0" borderId="27" xfId="5" applyFont="1" applyBorder="1" applyAlignment="1">
      <alignment vertical="center" wrapText="1"/>
    </xf>
    <xf numFmtId="0" fontId="14" fillId="15" borderId="27" xfId="5" applyFont="1" applyFill="1" applyBorder="1" applyAlignment="1">
      <alignment vertical="center" wrapText="1"/>
    </xf>
    <xf numFmtId="0" fontId="14" fillId="0" borderId="28" xfId="5" applyFont="1" applyBorder="1" applyAlignment="1">
      <alignment vertical="center" wrapText="1"/>
    </xf>
    <xf numFmtId="0" fontId="15" fillId="0" borderId="27" xfId="5" applyFont="1" applyBorder="1" applyAlignment="1">
      <alignment vertical="center" wrapText="1"/>
    </xf>
    <xf numFmtId="0" fontId="14" fillId="0" borderId="29" xfId="5" applyFont="1" applyBorder="1" applyAlignment="1">
      <alignment vertical="center" wrapText="1"/>
    </xf>
    <xf numFmtId="0" fontId="15" fillId="0" borderId="23" xfId="5" applyFont="1" applyBorder="1" applyAlignment="1">
      <alignment vertical="center" wrapText="1"/>
    </xf>
    <xf numFmtId="0" fontId="17" fillId="0" borderId="26" xfId="5" applyFont="1" applyBorder="1" applyAlignment="1">
      <alignment vertical="center" wrapText="1"/>
    </xf>
    <xf numFmtId="0" fontId="14" fillId="13" borderId="27" xfId="5" applyFont="1" applyFill="1" applyBorder="1" applyAlignment="1">
      <alignment vertical="center" wrapText="1"/>
    </xf>
    <xf numFmtId="0" fontId="12" fillId="0" borderId="28" xfId="5" applyBorder="1" applyAlignment="1">
      <alignment vertical="center" wrapText="1"/>
    </xf>
    <xf numFmtId="0" fontId="18" fillId="0" borderId="28" xfId="5" applyFont="1" applyBorder="1" applyAlignment="1">
      <alignment vertical="center" wrapText="1"/>
    </xf>
    <xf numFmtId="0" fontId="18" fillId="0" borderId="26" xfId="5" applyFont="1" applyBorder="1" applyAlignment="1">
      <alignment vertical="center" wrapText="1"/>
    </xf>
    <xf numFmtId="0" fontId="13" fillId="16" borderId="26" xfId="5" applyFont="1" applyFill="1" applyBorder="1" applyAlignment="1">
      <alignment vertical="center" wrapText="1"/>
    </xf>
    <xf numFmtId="0" fontId="14" fillId="16" borderId="26" xfId="5" applyFont="1" applyFill="1" applyBorder="1" applyAlignment="1">
      <alignment vertical="center" wrapText="1"/>
    </xf>
    <xf numFmtId="0" fontId="14" fillId="16" borderId="27" xfId="5" applyFont="1" applyFill="1" applyBorder="1" applyAlignment="1">
      <alignment vertical="center" wrapText="1"/>
    </xf>
    <xf numFmtId="0" fontId="14" fillId="17" borderId="28" xfId="5" applyFont="1" applyFill="1" applyBorder="1" applyAlignment="1">
      <alignment vertical="center" wrapText="1"/>
    </xf>
    <xf numFmtId="0" fontId="14" fillId="17" borderId="26" xfId="5" applyFont="1" applyFill="1" applyBorder="1" applyAlignment="1">
      <alignment vertical="center" wrapText="1"/>
    </xf>
    <xf numFmtId="0" fontId="19" fillId="0" borderId="23" xfId="5" applyFont="1" applyBorder="1" applyAlignment="1">
      <alignment vertical="center" wrapText="1"/>
    </xf>
    <xf numFmtId="0" fontId="19" fillId="0" borderId="24" xfId="5" applyFont="1" applyBorder="1" applyAlignment="1">
      <alignment vertical="center" wrapText="1"/>
    </xf>
    <xf numFmtId="0" fontId="19" fillId="0" borderId="25" xfId="5" applyFont="1" applyBorder="1" applyAlignment="1">
      <alignment vertical="center" wrapText="1"/>
    </xf>
    <xf numFmtId="0" fontId="19" fillId="0" borderId="22" xfId="5" applyFont="1" applyBorder="1" applyAlignment="1">
      <alignment vertical="center" wrapText="1"/>
    </xf>
    <xf numFmtId="0" fontId="13" fillId="0" borderId="27" xfId="5" applyFont="1" applyBorder="1" applyAlignment="1">
      <alignment vertical="center" wrapText="1"/>
    </xf>
    <xf numFmtId="0" fontId="13" fillId="17" borderId="27" xfId="5" applyFont="1" applyFill="1" applyBorder="1" applyAlignment="1">
      <alignment vertical="center" wrapText="1"/>
    </xf>
    <xf numFmtId="0" fontId="14" fillId="0" borderId="30" xfId="5" applyFont="1" applyBorder="1" applyAlignment="1">
      <alignment vertical="center" wrapText="1"/>
    </xf>
    <xf numFmtId="0" fontId="14" fillId="0" borderId="31" xfId="5" applyFont="1" applyBorder="1" applyAlignment="1">
      <alignment vertical="center" wrapText="1"/>
    </xf>
    <xf numFmtId="0" fontId="14" fillId="0" borderId="32" xfId="5" applyFont="1" applyBorder="1" applyAlignment="1">
      <alignment vertical="center" wrapText="1"/>
    </xf>
    <xf numFmtId="0" fontId="13" fillId="0" borderId="29" xfId="5" applyFont="1" applyBorder="1" applyAlignment="1">
      <alignment vertical="center" wrapText="1"/>
    </xf>
    <xf numFmtId="0" fontId="14" fillId="0" borderId="33" xfId="5" applyFont="1" applyBorder="1" applyAlignment="1">
      <alignment vertical="center" wrapText="1"/>
    </xf>
    <xf numFmtId="0" fontId="16" fillId="0" borderId="28" xfId="6" applyBorder="1" applyAlignment="1">
      <alignment vertical="center" wrapText="1"/>
    </xf>
    <xf numFmtId="0" fontId="13" fillId="0" borderId="30" xfId="5" applyFont="1" applyBorder="1" applyAlignment="1">
      <alignment vertical="center" wrapText="1"/>
    </xf>
    <xf numFmtId="0" fontId="13" fillId="0" borderId="34" xfId="5" applyFont="1" applyBorder="1" applyAlignment="1">
      <alignment vertical="center" wrapText="1"/>
    </xf>
    <xf numFmtId="0" fontId="13" fillId="0" borderId="31" xfId="5" applyFont="1" applyBorder="1" applyAlignment="1">
      <alignment vertical="center" wrapText="1"/>
    </xf>
    <xf numFmtId="0" fontId="12" fillId="0" borderId="33" xfId="5" applyBorder="1" applyAlignment="1">
      <alignment vertical="center" wrapText="1"/>
    </xf>
    <xf numFmtId="0" fontId="16" fillId="0" borderId="32" xfId="6" applyBorder="1" applyAlignment="1">
      <alignment vertical="center" wrapText="1"/>
    </xf>
    <xf numFmtId="0" fontId="19" fillId="15" borderId="26" xfId="5" applyFont="1" applyFill="1" applyBorder="1" applyAlignment="1">
      <alignment vertical="center" wrapText="1"/>
    </xf>
    <xf numFmtId="0" fontId="20" fillId="0" borderId="24" xfId="5" applyFont="1" applyBorder="1" applyAlignment="1">
      <alignment vertical="center" wrapText="1"/>
    </xf>
    <xf numFmtId="0" fontId="20" fillId="0" borderId="22" xfId="5" applyFont="1" applyBorder="1" applyAlignment="1">
      <alignment vertical="center" wrapText="1"/>
    </xf>
    <xf numFmtId="0" fontId="14" fillId="0" borderId="24" xfId="5" applyFont="1" applyBorder="1" applyAlignment="1">
      <alignment vertical="center" wrapText="1"/>
    </xf>
    <xf numFmtId="0" fontId="14" fillId="0" borderId="22" xfId="5" applyFont="1" applyBorder="1" applyAlignment="1">
      <alignment vertical="center" wrapText="1"/>
    </xf>
    <xf numFmtId="0" fontId="14" fillId="3" borderId="27" xfId="5" applyFont="1" applyFill="1" applyBorder="1" applyAlignment="1">
      <alignment vertical="center" wrapText="1"/>
    </xf>
    <xf numFmtId="0" fontId="19" fillId="0" borderId="26" xfId="5" applyFont="1" applyBorder="1" applyAlignment="1">
      <alignment vertical="center" wrapText="1"/>
    </xf>
    <xf numFmtId="0" fontId="14" fillId="17" borderId="27" xfId="5" applyFont="1" applyFill="1" applyBorder="1" applyAlignment="1">
      <alignment vertical="center" wrapText="1"/>
    </xf>
    <xf numFmtId="0" fontId="19" fillId="0" borderId="27" xfId="5" applyFont="1" applyBorder="1" applyAlignment="1">
      <alignment vertical="center" wrapText="1"/>
    </xf>
    <xf numFmtId="0" fontId="14" fillId="3" borderId="28" xfId="5" applyFont="1" applyFill="1" applyBorder="1" applyAlignment="1">
      <alignment vertical="center" wrapText="1"/>
    </xf>
    <xf numFmtId="0" fontId="21" fillId="0" borderId="23" xfId="5" applyFont="1" applyBorder="1" applyAlignment="1">
      <alignment vertical="center" wrapText="1"/>
    </xf>
    <xf numFmtId="0" fontId="21" fillId="13" borderId="26" xfId="5" applyFont="1" applyFill="1" applyBorder="1" applyAlignment="1">
      <alignment vertical="center" wrapText="1"/>
    </xf>
    <xf numFmtId="0" fontId="21" fillId="0" borderId="26" xfId="5" applyFont="1" applyBorder="1" applyAlignment="1">
      <alignment vertical="center" wrapText="1"/>
    </xf>
    <xf numFmtId="0" fontId="21" fillId="15" borderId="26" xfId="5" applyFont="1" applyFill="1" applyBorder="1" applyAlignment="1">
      <alignment vertical="center" wrapText="1"/>
    </xf>
    <xf numFmtId="0" fontId="21" fillId="0" borderId="27" xfId="5" applyFont="1" applyBorder="1" applyAlignment="1">
      <alignment vertical="center" wrapText="1"/>
    </xf>
    <xf numFmtId="0" fontId="13" fillId="17" borderId="26" xfId="5" applyFont="1" applyFill="1" applyBorder="1" applyAlignment="1">
      <alignment vertical="center" wrapText="1"/>
    </xf>
    <xf numFmtId="0" fontId="20" fillId="13" borderId="26" xfId="5" applyFont="1" applyFill="1" applyBorder="1" applyAlignment="1">
      <alignment vertical="center" wrapText="1"/>
    </xf>
    <xf numFmtId="0" fontId="13" fillId="0" borderId="32" xfId="5" applyFont="1" applyBorder="1" applyAlignment="1">
      <alignment vertical="center" wrapText="1"/>
    </xf>
    <xf numFmtId="0" fontId="13" fillId="0" borderId="7" xfId="5" applyFont="1" applyBorder="1" applyAlignment="1">
      <alignment vertical="center" wrapText="1"/>
    </xf>
    <xf numFmtId="0" fontId="13" fillId="13" borderId="26" xfId="5" applyFont="1" applyFill="1" applyBorder="1" applyAlignment="1">
      <alignment vertical="center" wrapText="1"/>
    </xf>
    <xf numFmtId="0" fontId="12" fillId="0" borderId="1" xfId="5" applyBorder="1" applyAlignment="1">
      <alignment horizontal="left" vertical="top" wrapText="1"/>
    </xf>
    <xf numFmtId="0" fontId="22" fillId="0" borderId="25" xfId="5" applyFont="1" applyBorder="1" applyAlignment="1">
      <alignment vertical="center" wrapText="1"/>
    </xf>
    <xf numFmtId="0" fontId="14" fillId="0" borderId="26" xfId="5" applyFont="1" applyBorder="1" applyAlignment="1">
      <alignment horizontal="left" vertical="center" wrapText="1"/>
    </xf>
    <xf numFmtId="0" fontId="2" fillId="0" borderId="28" xfId="1" applyBorder="1" applyAlignment="1">
      <alignment vertical="center" wrapText="1"/>
    </xf>
    <xf numFmtId="0" fontId="14" fillId="13" borderId="7" xfId="5" applyFont="1" applyFill="1" applyBorder="1" applyAlignment="1">
      <alignment vertical="center" wrapText="1"/>
    </xf>
    <xf numFmtId="0" fontId="14" fillId="0" borderId="7" xfId="5" applyFont="1" applyBorder="1" applyAlignment="1">
      <alignment vertical="center" wrapText="1"/>
    </xf>
    <xf numFmtId="0" fontId="13" fillId="3" borderId="25" xfId="5" applyFont="1" applyFill="1" applyBorder="1" applyAlignment="1">
      <alignment vertical="center" wrapText="1"/>
    </xf>
    <xf numFmtId="0" fontId="13" fillId="0" borderId="0" xfId="5" applyFont="1" applyAlignment="1">
      <alignment vertical="center" wrapText="1"/>
    </xf>
    <xf numFmtId="0" fontId="15" fillId="3" borderId="26" xfId="5" applyFont="1" applyFill="1" applyBorder="1" applyAlignment="1">
      <alignment vertical="center" wrapText="1"/>
    </xf>
    <xf numFmtId="0" fontId="0" fillId="12" borderId="1" xfId="0" applyFill="1" applyBorder="1"/>
    <xf numFmtId="0" fontId="3" fillId="3" borderId="1" xfId="0" applyFont="1" applyFill="1" applyBorder="1"/>
    <xf numFmtId="0" fontId="0" fillId="13" borderId="1" xfId="0" applyFill="1" applyBorder="1"/>
    <xf numFmtId="0" fontId="13" fillId="0" borderId="1" xfId="5" applyFont="1" applyBorder="1" applyAlignment="1">
      <alignment horizontal="center" vertical="center" wrapText="1"/>
    </xf>
    <xf numFmtId="0" fontId="13" fillId="0" borderId="1" xfId="0" applyFont="1" applyBorder="1" applyAlignment="1">
      <alignment vertical="center" wrapText="1"/>
    </xf>
    <xf numFmtId="0" fontId="14" fillId="0" borderId="1" xfId="0" applyFont="1" applyBorder="1" applyAlignment="1">
      <alignment vertical="center" wrapText="1"/>
    </xf>
    <xf numFmtId="0" fontId="14" fillId="13" borderId="1" xfId="0" applyFont="1" applyFill="1" applyBorder="1" applyAlignment="1">
      <alignment vertical="center" wrapText="1"/>
    </xf>
    <xf numFmtId="0" fontId="16" fillId="0" borderId="1" xfId="6" applyBorder="1" applyAlignment="1">
      <alignment vertical="center" wrapText="1"/>
    </xf>
    <xf numFmtId="0" fontId="15" fillId="0" borderId="1" xfId="0" applyFont="1" applyBorder="1" applyAlignment="1">
      <alignment vertical="center" wrapText="1"/>
    </xf>
    <xf numFmtId="0" fontId="14" fillId="17" borderId="1" xfId="0" applyFont="1" applyFill="1" applyBorder="1" applyAlignment="1">
      <alignment vertical="center" wrapText="1"/>
    </xf>
    <xf numFmtId="0" fontId="14" fillId="15" borderId="1" xfId="0" applyFont="1" applyFill="1" applyBorder="1" applyAlignment="1">
      <alignment vertical="center" wrapText="1"/>
    </xf>
    <xf numFmtId="0" fontId="0" fillId="0" borderId="1" xfId="0" quotePrefix="1" applyBorder="1" applyAlignment="1">
      <alignment wrapText="1"/>
    </xf>
    <xf numFmtId="0" fontId="0" fillId="3" borderId="1" xfId="0" quotePrefix="1" applyFill="1" applyBorder="1" applyAlignment="1">
      <alignment wrapText="1"/>
    </xf>
    <xf numFmtId="0" fontId="24" fillId="7" borderId="0" xfId="2" applyFont="1" applyBorder="1" applyAlignment="1">
      <alignment wrapText="1"/>
    </xf>
    <xf numFmtId="0" fontId="0" fillId="2" borderId="0" xfId="0" applyFill="1"/>
    <xf numFmtId="0" fontId="2" fillId="0" borderId="0" xfId="1" applyFill="1"/>
    <xf numFmtId="0" fontId="1" fillId="6" borderId="1" xfId="0" applyFont="1" applyFill="1" applyBorder="1" applyAlignment="1">
      <alignment wrapText="1"/>
    </xf>
    <xf numFmtId="0" fontId="0" fillId="9" borderId="1" xfId="0" applyFill="1" applyBorder="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49" fontId="3" fillId="0" borderId="1" xfId="0" applyNumberFormat="1" applyFont="1" applyBorder="1"/>
    <xf numFmtId="0" fontId="3" fillId="0" borderId="1" xfId="0" applyFont="1" applyBorder="1" applyAlignment="1">
      <alignment wrapText="1"/>
    </xf>
    <xf numFmtId="0" fontId="14" fillId="15" borderId="27" xfId="5" applyFont="1" applyFill="1" applyBorder="1" applyAlignment="1">
      <alignment vertical="center" wrapText="1"/>
    </xf>
    <xf numFmtId="0" fontId="14" fillId="15" borderId="23" xfId="5" applyFont="1" applyFill="1" applyBorder="1" applyAlignment="1">
      <alignment vertical="center" wrapText="1"/>
    </xf>
    <xf numFmtId="0" fontId="14" fillId="13" borderId="27" xfId="5" applyFont="1" applyFill="1" applyBorder="1" applyAlignment="1">
      <alignment vertical="center" wrapText="1"/>
    </xf>
    <xf numFmtId="0" fontId="14" fillId="13" borderId="29" xfId="5" applyFont="1" applyFill="1" applyBorder="1" applyAlignment="1">
      <alignment vertical="center" wrapText="1"/>
    </xf>
    <xf numFmtId="0" fontId="14" fillId="13" borderId="23" xfId="5" applyFont="1" applyFill="1" applyBorder="1" applyAlignment="1">
      <alignment vertical="center" wrapText="1"/>
    </xf>
    <xf numFmtId="0" fontId="13" fillId="0" borderId="27" xfId="5" applyFont="1" applyBorder="1" applyAlignment="1">
      <alignment vertical="center" wrapText="1"/>
    </xf>
    <xf numFmtId="0" fontId="13" fillId="0" borderId="29" xfId="5" applyFont="1" applyBorder="1" applyAlignment="1">
      <alignment vertical="center" wrapText="1"/>
    </xf>
    <xf numFmtId="0" fontId="13" fillId="0" borderId="23" xfId="5" applyFont="1" applyBorder="1" applyAlignment="1">
      <alignment vertical="center" wrapText="1"/>
    </xf>
    <xf numFmtId="0" fontId="14" fillId="3" borderId="27" xfId="5" applyFont="1" applyFill="1" applyBorder="1" applyAlignment="1">
      <alignment vertical="center" wrapText="1"/>
    </xf>
    <xf numFmtId="0" fontId="14" fillId="3" borderId="23" xfId="5" applyFont="1" applyFill="1" applyBorder="1" applyAlignment="1">
      <alignment vertical="center" wrapText="1"/>
    </xf>
    <xf numFmtId="0" fontId="14" fillId="17" borderId="27" xfId="5" applyFont="1" applyFill="1" applyBorder="1" applyAlignment="1">
      <alignment vertical="center" wrapText="1"/>
    </xf>
    <xf numFmtId="0" fontId="14" fillId="17" borderId="29" xfId="5" applyFont="1" applyFill="1" applyBorder="1" applyAlignment="1">
      <alignment vertical="center" wrapText="1"/>
    </xf>
    <xf numFmtId="0" fontId="14" fillId="17" borderId="23" xfId="5" applyFont="1" applyFill="1" applyBorder="1" applyAlignment="1">
      <alignment vertical="center" wrapText="1"/>
    </xf>
    <xf numFmtId="0" fontId="14" fillId="15" borderId="29" xfId="5" applyFont="1" applyFill="1" applyBorder="1" applyAlignment="1">
      <alignment vertical="center" wrapText="1"/>
    </xf>
    <xf numFmtId="0" fontId="21" fillId="15" borderId="27" xfId="5" applyFont="1" applyFill="1" applyBorder="1" applyAlignment="1">
      <alignment vertical="center" wrapText="1"/>
    </xf>
    <xf numFmtId="0" fontId="21" fillId="15" borderId="23" xfId="5" applyFont="1" applyFill="1" applyBorder="1" applyAlignment="1">
      <alignment vertical="center" wrapText="1"/>
    </xf>
    <xf numFmtId="0" fontId="14" fillId="0" borderId="27" xfId="5" applyFont="1" applyBorder="1" applyAlignment="1">
      <alignment vertical="center" wrapText="1"/>
    </xf>
    <xf numFmtId="0" fontId="14" fillId="0" borderId="23" xfId="5" applyFont="1" applyBorder="1" applyAlignment="1">
      <alignment vertical="center" wrapText="1"/>
    </xf>
    <xf numFmtId="0" fontId="15" fillId="0" borderId="27" xfId="5" applyFont="1" applyBorder="1" applyAlignment="1">
      <alignment vertical="center" wrapText="1"/>
    </xf>
    <xf numFmtId="0" fontId="15" fillId="0" borderId="23" xfId="5" applyFont="1" applyBorder="1" applyAlignment="1">
      <alignment vertical="center" wrapText="1"/>
    </xf>
    <xf numFmtId="0" fontId="14" fillId="0" borderId="29" xfId="5" applyFont="1" applyBorder="1" applyAlignment="1">
      <alignment vertical="center" wrapText="1"/>
    </xf>
    <xf numFmtId="0" fontId="13" fillId="0" borderId="32" xfId="5" applyFont="1" applyBorder="1" applyAlignment="1">
      <alignment vertical="center" wrapText="1"/>
    </xf>
    <xf numFmtId="0" fontId="13" fillId="0" borderId="7" xfId="5" applyFont="1" applyBorder="1" applyAlignment="1">
      <alignment vertical="center" wrapText="1"/>
    </xf>
    <xf numFmtId="0" fontId="13" fillId="0" borderId="26" xfId="5" applyFont="1" applyBorder="1" applyAlignment="1">
      <alignment vertical="center" wrapText="1"/>
    </xf>
    <xf numFmtId="0" fontId="14" fillId="0" borderId="24" xfId="5" applyFont="1" applyBorder="1" applyAlignment="1">
      <alignment vertical="center" wrapText="1"/>
    </xf>
    <xf numFmtId="0" fontId="14" fillId="0" borderId="22" xfId="5" applyFont="1" applyBorder="1" applyAlignment="1">
      <alignment vertical="center" wrapText="1"/>
    </xf>
    <xf numFmtId="0" fontId="14" fillId="0" borderId="30" xfId="5" applyFont="1" applyBorder="1" applyAlignment="1">
      <alignment vertical="center" wrapText="1"/>
    </xf>
    <xf numFmtId="0" fontId="14" fillId="0" borderId="31" xfId="5" applyFont="1" applyBorder="1" applyAlignment="1">
      <alignment vertical="center" wrapText="1"/>
    </xf>
    <xf numFmtId="0" fontId="12" fillId="0" borderId="33" xfId="5" applyBorder="1" applyAlignment="1">
      <alignment vertical="center" wrapText="1"/>
    </xf>
    <xf numFmtId="0" fontId="12" fillId="0" borderId="28" xfId="5" applyBorder="1" applyAlignment="1">
      <alignment vertical="center" wrapText="1"/>
    </xf>
    <xf numFmtId="0" fontId="16" fillId="0" borderId="32" xfId="6" applyBorder="1" applyAlignment="1">
      <alignment vertical="center" wrapText="1"/>
    </xf>
    <xf numFmtId="0" fontId="16" fillId="0" borderId="26" xfId="6" applyBorder="1" applyAlignment="1">
      <alignment vertical="center" wrapText="1"/>
    </xf>
    <xf numFmtId="0" fontId="13" fillId="0" borderId="30" xfId="5" applyFont="1" applyBorder="1" applyAlignment="1">
      <alignment vertical="center" wrapText="1"/>
    </xf>
    <xf numFmtId="0" fontId="13" fillId="0" borderId="34" xfId="5" applyFont="1" applyBorder="1" applyAlignment="1">
      <alignment vertical="center" wrapText="1"/>
    </xf>
    <xf numFmtId="0" fontId="13" fillId="0" borderId="31" xfId="5" applyFont="1" applyBorder="1" applyAlignment="1">
      <alignment vertical="center" wrapText="1"/>
    </xf>
    <xf numFmtId="0" fontId="14" fillId="0" borderId="33" xfId="5" applyFont="1" applyBorder="1" applyAlignment="1">
      <alignment vertical="center" wrapText="1"/>
    </xf>
    <xf numFmtId="0" fontId="14" fillId="0" borderId="28" xfId="5" applyFont="1" applyBorder="1" applyAlignment="1">
      <alignment vertical="center" wrapText="1"/>
    </xf>
    <xf numFmtId="0" fontId="14" fillId="0" borderId="32" xfId="5" applyFont="1" applyBorder="1" applyAlignment="1">
      <alignment vertical="center" wrapText="1"/>
    </xf>
    <xf numFmtId="0" fontId="14" fillId="0" borderId="26" xfId="5" applyFont="1" applyBorder="1" applyAlignment="1">
      <alignment vertical="center" wrapText="1"/>
    </xf>
    <xf numFmtId="0" fontId="13" fillId="0" borderId="24" xfId="5" applyFont="1" applyBorder="1" applyAlignment="1">
      <alignment vertical="center" wrapText="1"/>
    </xf>
    <xf numFmtId="0" fontId="13" fillId="0" borderId="25" xfId="5" applyFont="1" applyBorder="1" applyAlignment="1">
      <alignment vertical="center" wrapText="1"/>
    </xf>
    <xf numFmtId="0" fontId="13" fillId="0" borderId="22" xfId="5" applyFont="1" applyBorder="1" applyAlignment="1">
      <alignment vertical="center" wrapText="1"/>
    </xf>
    <xf numFmtId="0" fontId="21" fillId="0" borderId="27" xfId="5" applyFont="1" applyBorder="1" applyAlignment="1">
      <alignment vertical="center" wrapText="1"/>
    </xf>
    <xf numFmtId="0" fontId="21" fillId="0" borderId="23" xfId="5" applyFont="1" applyBorder="1" applyAlignment="1">
      <alignment vertical="center" wrapText="1"/>
    </xf>
    <xf numFmtId="0" fontId="14" fillId="16" borderId="27" xfId="5" applyFont="1" applyFill="1" applyBorder="1" applyAlignment="1">
      <alignment vertical="center" wrapText="1"/>
    </xf>
    <xf numFmtId="0" fontId="14" fillId="16" borderId="23" xfId="5" applyFont="1" applyFill="1" applyBorder="1" applyAlignment="1">
      <alignment vertical="center" wrapText="1"/>
    </xf>
    <xf numFmtId="0" fontId="19" fillId="0" borderId="27" xfId="5" applyFont="1" applyBorder="1" applyAlignment="1">
      <alignment vertical="center" wrapText="1"/>
    </xf>
    <xf numFmtId="0" fontId="19" fillId="0" borderId="23" xfId="5" applyFont="1" applyBorder="1" applyAlignment="1">
      <alignment vertical="center" wrapText="1"/>
    </xf>
    <xf numFmtId="0" fontId="20" fillId="0" borderId="24" xfId="5" applyFont="1" applyBorder="1" applyAlignment="1">
      <alignment vertical="center" wrapText="1"/>
    </xf>
    <xf numFmtId="0" fontId="20" fillId="0" borderId="22" xfId="5" applyFont="1" applyBorder="1" applyAlignment="1">
      <alignment vertical="center" wrapText="1"/>
    </xf>
    <xf numFmtId="0" fontId="14" fillId="3" borderId="29" xfId="5" applyFont="1" applyFill="1" applyBorder="1" applyAlignment="1">
      <alignment vertical="center" wrapText="1"/>
    </xf>
    <xf numFmtId="0" fontId="14" fillId="0" borderId="0" xfId="5" applyFont="1" applyAlignment="1">
      <alignment vertical="center" wrapText="1"/>
    </xf>
    <xf numFmtId="0" fontId="12" fillId="0" borderId="0" xfId="5" applyAlignment="1">
      <alignment vertical="center" wrapText="1"/>
    </xf>
    <xf numFmtId="0" fontId="16" fillId="0" borderId="7" xfId="6" applyBorder="1" applyAlignment="1">
      <alignment vertical="center" wrapText="1"/>
    </xf>
    <xf numFmtId="0" fontId="13" fillId="17" borderId="27" xfId="5" applyFont="1" applyFill="1" applyBorder="1" applyAlignment="1">
      <alignment vertical="center" wrapText="1"/>
    </xf>
    <xf numFmtId="0" fontId="13" fillId="17" borderId="23" xfId="5" applyFont="1" applyFill="1" applyBorder="1" applyAlignment="1">
      <alignment vertical="center" wrapText="1"/>
    </xf>
    <xf numFmtId="0" fontId="19" fillId="0" borderId="24" xfId="5" applyFont="1" applyBorder="1" applyAlignment="1">
      <alignment vertical="center" wrapText="1"/>
    </xf>
    <xf numFmtId="0" fontId="19" fillId="0" borderId="25" xfId="5" applyFont="1" applyBorder="1" applyAlignment="1">
      <alignment vertical="center" wrapText="1"/>
    </xf>
    <xf numFmtId="0" fontId="19" fillId="0" borderId="22" xfId="5" applyFont="1" applyBorder="1" applyAlignment="1">
      <alignment vertical="center" wrapText="1"/>
    </xf>
    <xf numFmtId="0" fontId="14" fillId="16" borderId="29" xfId="5" applyFont="1" applyFill="1" applyBorder="1" applyAlignment="1">
      <alignment vertical="center" wrapText="1"/>
    </xf>
    <xf numFmtId="0" fontId="15" fillId="0" borderId="29" xfId="5" applyFont="1" applyBorder="1" applyAlignment="1">
      <alignment vertical="center" wrapText="1"/>
    </xf>
    <xf numFmtId="0" fontId="2" fillId="0" borderId="0" xfId="1"/>
    <xf numFmtId="0" fontId="0" fillId="0" borderId="0" xfId="0"/>
  </cellXfs>
  <cellStyles count="7">
    <cellStyle name="Collegamento ipertestuale" xfId="1" builtinId="8"/>
    <cellStyle name="Collegamento ipertestuale 2" xfId="6" xr:uid="{47B8907F-B258-4E42-B51E-90C65AF6CDBF}"/>
    <cellStyle name="Colore 1" xfId="2" builtinId="29"/>
    <cellStyle name="Colore 2" xfId="3" builtinId="33"/>
    <cellStyle name="Normale" xfId="0" builtinId="0"/>
    <cellStyle name="Normale 2" xfId="4" xr:uid="{76715272-5E56-4A11-97CF-40F3D1F8E91D}"/>
    <cellStyle name="Normale 3" xfId="5" xr:uid="{74C9A75E-E64A-4505-8DCE-DD1FA30A65FB}"/>
  </cellStyles>
  <dxfs count="2">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189</xdr:row>
          <xdr:rowOff>171450</xdr:rowOff>
        </xdr:from>
        <xdr:to>
          <xdr:col>2</xdr:col>
          <xdr:colOff>1117600</xdr:colOff>
          <xdr:row>191</xdr:row>
          <xdr:rowOff>88900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300-000001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300-000002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243</xdr:row>
          <xdr:rowOff>171450</xdr:rowOff>
        </xdr:from>
        <xdr:to>
          <xdr:col>2</xdr:col>
          <xdr:colOff>1117600</xdr:colOff>
          <xdr:row>245</xdr:row>
          <xdr:rowOff>88900</xdr:rowOff>
        </xdr:to>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300-000003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500-000001D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187</xdr:row>
          <xdr:rowOff>171450</xdr:rowOff>
        </xdr:from>
        <xdr:to>
          <xdr:col>2</xdr:col>
          <xdr:colOff>1117600</xdr:colOff>
          <xdr:row>189</xdr:row>
          <xdr:rowOff>88900</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0900-000001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51554" name="Button 2" hidden="1">
              <a:extLst>
                <a:ext uri="{63B3BB69-23CF-44E3-9099-C40C66FF867C}">
                  <a14:compatExt spid="_x0000_s151554"/>
                </a:ext>
                <a:ext uri="{FF2B5EF4-FFF2-40B4-BE49-F238E27FC236}">
                  <a16:creationId xmlns:a16="http://schemas.microsoft.com/office/drawing/2014/main" id="{00000000-0008-0000-0900-000002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90</xdr:row>
          <xdr:rowOff>171450</xdr:rowOff>
        </xdr:from>
        <xdr:to>
          <xdr:col>2</xdr:col>
          <xdr:colOff>1117600</xdr:colOff>
          <xdr:row>92</xdr:row>
          <xdr:rowOff>88900</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0D00-000001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62818" name="Button 2" hidden="1">
              <a:extLst>
                <a:ext uri="{63B3BB69-23CF-44E3-9099-C40C66FF867C}">
                  <a14:compatExt spid="_x0000_s162818"/>
                </a:ext>
                <a:ext uri="{FF2B5EF4-FFF2-40B4-BE49-F238E27FC236}">
                  <a16:creationId xmlns:a16="http://schemas.microsoft.com/office/drawing/2014/main" id="{00000000-0008-0000-0D00-000002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121</xdr:row>
          <xdr:rowOff>0</xdr:rowOff>
        </xdr:from>
        <xdr:to>
          <xdr:col>2</xdr:col>
          <xdr:colOff>1117600</xdr:colOff>
          <xdr:row>122</xdr:row>
          <xdr:rowOff>104775</xdr:rowOff>
        </xdr:to>
        <xdr:sp macro="" textlink="">
          <xdr:nvSpPr>
            <xdr:cNvPr id="162819" name="Button 3" hidden="1">
              <a:extLst>
                <a:ext uri="{63B3BB69-23CF-44E3-9099-C40C66FF867C}">
                  <a14:compatExt spid="_x0000_s162819"/>
                </a:ext>
                <a:ext uri="{FF2B5EF4-FFF2-40B4-BE49-F238E27FC236}">
                  <a16:creationId xmlns:a16="http://schemas.microsoft.com/office/drawing/2014/main" id="{00000000-0008-0000-0D00-000003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7153" name="Button 1" hidden="1">
              <a:extLst>
                <a:ext uri="{63B3BB69-23CF-44E3-9099-C40C66FF867C}">
                  <a14:compatExt spid="_x0000_s177153"/>
                </a:ext>
                <a:ext uri="{FF2B5EF4-FFF2-40B4-BE49-F238E27FC236}">
                  <a16:creationId xmlns:a16="http://schemas.microsoft.com/office/drawing/2014/main" id="{00000000-0008-0000-0F00-000001B4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5E7E7EF-A9F9-41BA-A33F-27FF1F39EE9D}"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8" dT="2023-05-26T09:56:28.41" personId="{85E7E7EF-A9F9-41BA-A33F-27FF1F39EE9D}" id="{329D1F46-98FC-4CF3-B697-4575097C632E}">
    <text>Text updated ...</text>
  </threadedComment>
  <threadedComment ref="E69" dT="2023-05-26T09:53:16.81" personId="{85E7E7EF-A9F9-41BA-A33F-27FF1F39EE9D}" id="{23804839-EDB8-406C-9485-B73A69E8DA2F}">
    <text>Are they really needed these are CDA specific</text>
  </threadedComment>
  <threadedComment ref="E69" dT="2023-05-26T09:53:41.67" personId="{85E7E7EF-A9F9-41BA-A33F-27FF1F39EE9D}" id="{0B5AB5A2-6D2F-4222-862E-F300BE7B6B72}" parentId="{23804839-EDB8-406C-9485-B73A69E8DA2F}">
    <text>Confidentiality is manged extrbally to the document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D48" dT="2023-05-26T09:56:28.41" personId="{85E7E7EF-A9F9-41BA-A33F-27FF1F39EE9D}" id="{2C4B528D-A566-4F5F-B181-3FA39A9C91E7}">
    <text>Text updated ...</text>
  </threadedComment>
  <threadedComment ref="E69" dT="2023-05-26T09:53:16.81" personId="{85E7E7EF-A9F9-41BA-A33F-27FF1F39EE9D}" id="{578AEC0A-47D8-487C-8878-2651F711EF13}">
    <text>Are they really needed these are CDA specific</text>
  </threadedComment>
  <threadedComment ref="E69" dT="2023-05-26T09:53:41.67" personId="{85E7E7EF-A9F9-41BA-A33F-27FF1F39EE9D}" id="{C08FB6D3-DF5F-441A-90D2-60CBAB5042AA}" parentId="{578AEC0A-47D8-487C-8878-2651F711EF13}">
    <text>Confidentiality is manged extrbally to the document</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www.hl7.org/fhir/v3/EducationLevel/cs.html" TargetMode="External"/><Relationship Id="rId18" Type="http://schemas.openxmlformats.org/officeDocument/2006/relationships/hyperlink" Target="https://www.hl7.org/fhir/valueset-observation-status.html" TargetMode="External"/><Relationship Id="rId26" Type="http://schemas.openxmlformats.org/officeDocument/2006/relationships/hyperlink" Target="http://hl7.org/fhir/resource-types" TargetMode="External"/><Relationship Id="rId3" Type="http://schemas.openxmlformats.org/officeDocument/2006/relationships/hyperlink" Target="https://terminology.hl7.org/4.0.0/ValueSet-v3-Country2.html" TargetMode="External"/><Relationship Id="rId21" Type="http://schemas.openxmlformats.org/officeDocument/2006/relationships/hyperlink" Target="http://hl7.org/fhir/resource-types" TargetMode="External"/><Relationship Id="rId7" Type="http://schemas.openxmlformats.org/officeDocument/2006/relationships/hyperlink" Target="http://terminology.hl7.org/CodeSystem/discharge-disposition" TargetMode="External"/><Relationship Id="rId12" Type="http://schemas.openxmlformats.org/officeDocument/2006/relationships/hyperlink" Target="https://www.hl7.org/fhir/v3/EducationLevel/cs.html" TargetMode="External"/><Relationship Id="rId17" Type="http://schemas.openxmlformats.org/officeDocument/2006/relationships/hyperlink" Target="https://ciselniky.dasta.mzcr.cz/ZobrazCiselnik?Ciselnik=ENAHRADY&amp;IdSadyDs=202240" TargetMode="External"/><Relationship Id="rId25" Type="http://schemas.openxmlformats.org/officeDocument/2006/relationships/hyperlink" Target="http://hl7.org/fhir/resource-types" TargetMode="External"/><Relationship Id="rId33" Type="http://schemas.openxmlformats.org/officeDocument/2006/relationships/printerSettings" Target="../printerSettings/printerSettings1.bin"/><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ciselniky.dasta.mzcr.cz/ZobrazCiselnik?Ciselnik=ENAHRADY&amp;IdSadyDs=202240" TargetMode="External"/><Relationship Id="rId20" Type="http://schemas.openxmlformats.org/officeDocument/2006/relationships/hyperlink" Target="http://hl7.org/fhir/resource-types" TargetMode="External"/><Relationship Id="rId29" Type="http://schemas.openxmlformats.org/officeDocument/2006/relationships/hyperlink" Target="https://www.hl7.org/fhir/codesystem-medication-statement-status.html"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terminology.hl7.org/CodeSystem/admit-source" TargetMode="External"/><Relationship Id="rId11" Type="http://schemas.openxmlformats.org/officeDocument/2006/relationships/hyperlink" Target="http://terminology.hl7.org/CodeSystem/v3-RoleCode" TargetMode="External"/><Relationship Id="rId24" Type="http://schemas.openxmlformats.org/officeDocument/2006/relationships/hyperlink" Target="http://hl7.org/fhir/resource-types" TargetMode="External"/><Relationship Id="rId32" Type="http://schemas.openxmlformats.org/officeDocument/2006/relationships/hyperlink" Target="http://terminology.hl7.org/CodeSystem/v3-RoleClass" TargetMode="External"/><Relationship Id="rId5" Type="http://schemas.openxmlformats.org/officeDocument/2006/relationships/hyperlink" Target="http://terminology.hl7.org/ValueSet/v3-xEncounterAdmissionUrgency" TargetMode="External"/><Relationship Id="rId15" Type="http://schemas.openxmlformats.org/officeDocument/2006/relationships/hyperlink" Target="https://www.hl7.org/fhir/valueset-condition-severity.html" TargetMode="External"/><Relationship Id="rId23" Type="http://schemas.openxmlformats.org/officeDocument/2006/relationships/hyperlink" Target="http://hl7.org/fhir/resource-types" TargetMode="External"/><Relationship Id="rId28" Type="http://schemas.openxmlformats.org/officeDocument/2006/relationships/hyperlink" Target="http://hl7.org/fhir/resource-types" TargetMode="External"/><Relationship Id="rId10" Type="http://schemas.openxmlformats.org/officeDocument/2006/relationships/hyperlink" Target="https://www.hl7.org/fhir/codesystem-condition-clinical.html" TargetMode="External"/><Relationship Id="rId19" Type="http://schemas.openxmlformats.org/officeDocument/2006/relationships/hyperlink" Target="https://paciowg.github.io/functional-status-ig/" TargetMode="External"/><Relationship Id="rId31" Type="http://schemas.openxmlformats.org/officeDocument/2006/relationships/hyperlink" Target="https://ciselniky.dasta.mzcr.cz/ZobrazCiselnik?Ciselnik=EVZTAH&amp;IdSadyDs=202230" TargetMode="External"/><Relationship Id="rId4" Type="http://schemas.openxmlformats.org/officeDocument/2006/relationships/hyperlink" Target="https://terminology.hl7.org/3.1.0/ValueSet-v3-ActEncounterCode.html" TargetMode="External"/><Relationship Id="rId9" Type="http://schemas.openxmlformats.org/officeDocument/2006/relationships/hyperlink" Target="https://paciowg.github.io/functional-status-ig/CodeSystem-pacio-cat-cs.html" TargetMode="External"/><Relationship Id="rId14" Type="http://schemas.openxmlformats.org/officeDocument/2006/relationships/hyperlink" Target="https://www.hl7.org/fhir/valueset-marital-status.html" TargetMode="External"/><Relationship Id="rId22" Type="http://schemas.openxmlformats.org/officeDocument/2006/relationships/hyperlink" Target="http://hl7.org/fhir/resource-types" TargetMode="External"/><Relationship Id="rId27" Type="http://schemas.openxmlformats.org/officeDocument/2006/relationships/hyperlink" Target="http://hl7.org/fhir/resource-types" TargetMode="External"/><Relationship Id="rId30" Type="http://schemas.openxmlformats.org/officeDocument/2006/relationships/hyperlink" Target="https://www.hl7.org/fhir/valueset-reason-medication-status-codes.html" TargetMode="External"/><Relationship Id="rId8" Type="http://schemas.openxmlformats.org/officeDocument/2006/relationships/hyperlink" Target="http://hl7.org/fhir/ValueSet/observation-category%20Fixed%20value%20%22vital-signs%22"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13" Type="http://schemas.openxmlformats.org/officeDocument/2006/relationships/hyperlink" Target="https://paciowg.github.io/functional-status-ig/CodeSystem-pacio-cat-cs.html" TargetMode="External"/><Relationship Id="rId18" Type="http://schemas.openxmlformats.org/officeDocument/2006/relationships/hyperlink" Target="https://www.hl7.org/fhir/valueset-marital-status.html" TargetMode="External"/><Relationship Id="rId26" Type="http://schemas.openxmlformats.org/officeDocument/2006/relationships/hyperlink" Target="http://hl7.org/fhir/resource-types" TargetMode="External"/><Relationship Id="rId21" Type="http://schemas.openxmlformats.org/officeDocument/2006/relationships/hyperlink" Target="https://ciselniky.dasta.mzcr.cz/ZobrazCiselnik?Ciselnik=ENAHRADY&amp;IdSadyDs=202240" TargetMode="External"/><Relationship Id="rId34" Type="http://schemas.openxmlformats.org/officeDocument/2006/relationships/hyperlink" Target="https://www.hl7.org/fhir/valueset-reason-medication-status-codes.html" TargetMode="External"/><Relationship Id="rId7" Type="http://schemas.openxmlformats.org/officeDocument/2006/relationships/hyperlink" Target="http://terminology.hl7.org/ValueSet/v3-xEncounterAdmissionUrgency" TargetMode="External"/><Relationship Id="rId12" Type="http://schemas.openxmlformats.org/officeDocument/2006/relationships/hyperlink" Target="https://paciowg.github.io/functional-status-ig/" TargetMode="External"/><Relationship Id="rId17" Type="http://schemas.openxmlformats.org/officeDocument/2006/relationships/hyperlink" Target="https://www.hl7.org/fhir/v3/EducationLevel/cs.html" TargetMode="External"/><Relationship Id="rId25" Type="http://schemas.openxmlformats.org/officeDocument/2006/relationships/hyperlink" Target="http://hl7.org/fhir/resource-types" TargetMode="External"/><Relationship Id="rId33" Type="http://schemas.openxmlformats.org/officeDocument/2006/relationships/hyperlink" Target="https://www.hl7.org/fhir/codesystem-medication-statement-status.html" TargetMode="External"/><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www.hl7.org/fhir/v3/EducationLevel/cs.html" TargetMode="External"/><Relationship Id="rId20" Type="http://schemas.openxmlformats.org/officeDocument/2006/relationships/hyperlink" Target="https://ciselniky.dasta.mzcr.cz/ZobrazCiselnik?Ciselnik=ENAHRADY&amp;IdSadyDs=202240" TargetMode="External"/><Relationship Id="rId29" Type="http://schemas.openxmlformats.org/officeDocument/2006/relationships/hyperlink" Target="http://hl7.org/fhir/resource-types"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s://terminology.hl7.org/3.1.0/ValueSet-v3-ActEncounterCode.html" TargetMode="External"/><Relationship Id="rId11" Type="http://schemas.openxmlformats.org/officeDocument/2006/relationships/hyperlink" Target="http://hl7.org/fhir/ValueSet/observation-category%20fixed%20value%20%22vital-signs%22" TargetMode="External"/><Relationship Id="rId24" Type="http://schemas.openxmlformats.org/officeDocument/2006/relationships/hyperlink" Target="http://hl7.org/fhir/resource-types" TargetMode="External"/><Relationship Id="rId32" Type="http://schemas.openxmlformats.org/officeDocument/2006/relationships/hyperlink" Target="http://hl7.org/fhir/resource-types" TargetMode="External"/><Relationship Id="rId37" Type="http://schemas.openxmlformats.org/officeDocument/2006/relationships/printerSettings" Target="../printerSettings/printerSettings5.bin"/><Relationship Id="rId5" Type="http://schemas.openxmlformats.org/officeDocument/2006/relationships/hyperlink" Target="https://www.hl7.org/fhir/v3/x_BasicConfidentialityKind/vs.html" TargetMode="External"/><Relationship Id="rId15" Type="http://schemas.openxmlformats.org/officeDocument/2006/relationships/hyperlink" Target="http://terminology.hl7.org/CodeSystem/v3-RoleCode" TargetMode="External"/><Relationship Id="rId23" Type="http://schemas.openxmlformats.org/officeDocument/2006/relationships/hyperlink" Target="https://paciowg.github.io/functional-status-ig/" TargetMode="External"/><Relationship Id="rId28" Type="http://schemas.openxmlformats.org/officeDocument/2006/relationships/hyperlink" Target="http://hl7.org/fhir/resource-types" TargetMode="External"/><Relationship Id="rId36" Type="http://schemas.openxmlformats.org/officeDocument/2006/relationships/hyperlink" Target="http://terminology.hl7.org/CodeSystem/v3-RoleClass" TargetMode="External"/><Relationship Id="rId10" Type="http://schemas.openxmlformats.org/officeDocument/2006/relationships/hyperlink" Target="http://hl7.org/fhir/ValueSet/observation-category%20fixed%20value%20%22vital-signs%22" TargetMode="External"/><Relationship Id="rId19" Type="http://schemas.openxmlformats.org/officeDocument/2006/relationships/hyperlink" Target="https://www.hl7.org/fhir/valueset-condition-severity.html" TargetMode="External"/><Relationship Id="rId31" Type="http://schemas.openxmlformats.org/officeDocument/2006/relationships/hyperlink" Target="http://hl7.org/fhir/resource-types" TargetMode="External"/><Relationship Id="rId4" Type="http://schemas.openxmlformats.org/officeDocument/2006/relationships/hyperlink" Target="https://terminology.hl7.org/4.0.0/ValueSet-v3-LoincDocumentOntologyInternational.html" TargetMode="External"/><Relationship Id="rId9" Type="http://schemas.openxmlformats.org/officeDocument/2006/relationships/hyperlink" Target="http://terminology.hl7.org/CodeSystem/discharge-disposition" TargetMode="External"/><Relationship Id="rId14" Type="http://schemas.openxmlformats.org/officeDocument/2006/relationships/hyperlink" Target="https://www.hl7.org/fhir/codesystem-condition-clinical.html" TargetMode="External"/><Relationship Id="rId22" Type="http://schemas.openxmlformats.org/officeDocument/2006/relationships/hyperlink" Target="https://www.hl7.org/fhir/valueset-observation-status.html" TargetMode="External"/><Relationship Id="rId27" Type="http://schemas.openxmlformats.org/officeDocument/2006/relationships/hyperlink" Target="http://hl7.org/fhir/resource-types" TargetMode="External"/><Relationship Id="rId30" Type="http://schemas.openxmlformats.org/officeDocument/2006/relationships/hyperlink" Target="http://hl7.org/fhir/resource-types" TargetMode="External"/><Relationship Id="rId35" Type="http://schemas.openxmlformats.org/officeDocument/2006/relationships/hyperlink" Target="https://ciselniky.dasta.mzcr.cz/ZobrazCiselnik?Ciselnik=EVZTAH&amp;IdSadyDs=202230" TargetMode="External"/><Relationship Id="rId8" Type="http://schemas.openxmlformats.org/officeDocument/2006/relationships/hyperlink" Target="http://terminology.hl7.org/CodeSystem/admit-source" TargetMode="External"/><Relationship Id="rId3" Type="http://schemas.openxmlformats.org/officeDocument/2006/relationships/hyperlink" Target="https://terminology.hl7.org/4.0.0/ValueSet-v3-Country2.html" TargetMode="Externa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7.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hyperlink" Target="http://terminology.hl7.org/CodeSystem/admit-source" TargetMode="External"/><Relationship Id="rId2" Type="http://schemas.openxmlformats.org/officeDocument/2006/relationships/hyperlink" Target="http://terminology.hl7.org/ValueSet/v3-xEncounterAdmissionUrgency" TargetMode="External"/><Relationship Id="rId1" Type="http://schemas.openxmlformats.org/officeDocument/2006/relationships/hyperlink" Target="https://terminology.hl7.org/3.1.0/ValueSet-v3-ActEncounterCode.html" TargetMode="External"/><Relationship Id="rId4" Type="http://schemas.openxmlformats.org/officeDocument/2006/relationships/hyperlink" Target="http://terminology.hl7.org/CodeSystem/discharge-disposition"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hdr/StructureDefinition/HDREncounter"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ig/xpandh/hdr/StructureDefinition/Encounter-eu-xpandh" TargetMode="External"/><Relationship Id="rId4" Type="http://schemas.openxmlformats.org/officeDocument/2006/relationships/hyperlink" Target="http://hl7.eu/fhir/laboratory/StructureDefinition/Recipient" TargetMode="Externa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F8582-4531-4786-B183-1819B312782F}">
  <sheetPr codeName="Foglio3"/>
  <dimension ref="A1:J448"/>
  <sheetViews>
    <sheetView zoomScaleNormal="100" workbookViewId="0">
      <selection activeCell="C2" sqref="C2"/>
    </sheetView>
  </sheetViews>
  <sheetFormatPr defaultColWidth="9.1328125" defaultRowHeight="14.75" x14ac:dyDescent="0.75"/>
  <cols>
    <col min="1" max="1" width="14.54296875" style="123" customWidth="1"/>
    <col min="2" max="2" width="87.90625" style="123" hidden="1" customWidth="1"/>
    <col min="3" max="3" width="87.90625" style="123" customWidth="1"/>
    <col min="4" max="4" width="63" style="123" customWidth="1"/>
    <col min="5" max="5" width="13.54296875" style="123" customWidth="1"/>
    <col min="6" max="6" width="12.7265625" style="123" customWidth="1"/>
    <col min="7" max="7" width="23.26953125" style="123" customWidth="1"/>
    <col min="8" max="8" width="39.26953125" style="123" customWidth="1"/>
    <col min="9" max="10" width="39.26953125" style="56" customWidth="1"/>
    <col min="11" max="16384" width="9.1328125" style="56"/>
  </cols>
  <sheetData>
    <row r="1" spans="1:10" ht="16.25" thickBot="1" x14ac:dyDescent="0.9">
      <c r="A1" s="54" t="s">
        <v>103</v>
      </c>
      <c r="B1" s="55" t="s">
        <v>104</v>
      </c>
      <c r="C1" s="55"/>
      <c r="D1" s="55" t="s">
        <v>3</v>
      </c>
      <c r="E1" s="55" t="s">
        <v>6</v>
      </c>
      <c r="F1" s="55" t="s">
        <v>7</v>
      </c>
      <c r="G1" s="55"/>
      <c r="H1" s="55" t="s">
        <v>105</v>
      </c>
      <c r="I1" s="55" t="s">
        <v>106</v>
      </c>
      <c r="J1" s="55" t="s">
        <v>107</v>
      </c>
    </row>
    <row r="2" spans="1:10" ht="16.5" thickBot="1" x14ac:dyDescent="0.9">
      <c r="A2" s="57" t="s">
        <v>1086</v>
      </c>
      <c r="B2" s="58" t="s">
        <v>109</v>
      </c>
      <c r="C2" s="124" t="str">
        <f>CONCATENATE(A2," - ",B2," [",J2,"]")</f>
        <v>A.1 - Report header data element [Mandatory]</v>
      </c>
      <c r="D2" s="59"/>
      <c r="E2" s="59">
        <f>_xlfn.NUMBERVALUE(MID(I2,1,1))</f>
        <v>1</v>
      </c>
      <c r="F2" s="59" t="str">
        <f t="shared" ref="F2:F11" si="0">MID(I2,4,1)</f>
        <v>1</v>
      </c>
      <c r="G2" s="59"/>
      <c r="H2" s="60"/>
      <c r="I2" s="61" t="s">
        <v>110</v>
      </c>
      <c r="J2" s="61" t="s">
        <v>111</v>
      </c>
    </row>
    <row r="3" spans="1:10" ht="16.5" thickBot="1" x14ac:dyDescent="0.9">
      <c r="A3" s="57" t="s">
        <v>1087</v>
      </c>
      <c r="B3" s="58" t="s">
        <v>113</v>
      </c>
      <c r="C3" s="124" t="str">
        <f t="shared" ref="C3:C66" si="1">CONCATENATE(A3," - ",B3," [",J3,"]")</f>
        <v>A.1.1 - Identification of the patient/subject [Mandatory]</v>
      </c>
      <c r="D3" s="59"/>
      <c r="E3" s="59">
        <f t="shared" ref="E3:E66" si="2">_xlfn.NUMBERVALUE(MID(I3,1,1))</f>
        <v>1</v>
      </c>
      <c r="F3" s="59" t="str">
        <f t="shared" si="0"/>
        <v>1</v>
      </c>
      <c r="G3" s="59"/>
      <c r="H3" s="60"/>
      <c r="I3" s="62" t="s">
        <v>110</v>
      </c>
      <c r="J3" s="62" t="s">
        <v>111</v>
      </c>
    </row>
    <row r="4" spans="1:10" ht="32.25" thickBot="1" x14ac:dyDescent="0.9">
      <c r="A4" s="63" t="s">
        <v>114</v>
      </c>
      <c r="B4" s="64" t="s">
        <v>115</v>
      </c>
      <c r="C4" s="124" t="str">
        <f t="shared" si="1"/>
        <v>A.1.1.1 - Given name  [Mandatory]</v>
      </c>
      <c r="D4" s="62" t="s">
        <v>116</v>
      </c>
      <c r="E4" s="59">
        <f t="shared" si="2"/>
        <v>1</v>
      </c>
      <c r="F4" s="59" t="str">
        <f t="shared" si="0"/>
        <v>*</v>
      </c>
      <c r="G4" s="121"/>
      <c r="H4" s="65"/>
      <c r="I4" s="62" t="s">
        <v>117</v>
      </c>
      <c r="J4" s="62" t="s">
        <v>111</v>
      </c>
    </row>
    <row r="5" spans="1:10" ht="32.25" thickBot="1" x14ac:dyDescent="0.9">
      <c r="A5" s="63" t="s">
        <v>118</v>
      </c>
      <c r="B5" s="64" t="s">
        <v>119</v>
      </c>
      <c r="C5" s="124" t="str">
        <f t="shared" si="1"/>
        <v>A.1.1.2 - Family name/surname [Mandatory]</v>
      </c>
      <c r="D5" s="62" t="s">
        <v>120</v>
      </c>
      <c r="E5" s="59">
        <f t="shared" si="2"/>
        <v>1</v>
      </c>
      <c r="F5" s="59" t="str">
        <f t="shared" si="0"/>
        <v>*</v>
      </c>
      <c r="G5" s="121"/>
      <c r="H5" s="65"/>
      <c r="I5" s="62" t="s">
        <v>117</v>
      </c>
      <c r="J5" s="62" t="s">
        <v>111</v>
      </c>
    </row>
    <row r="6" spans="1:10" ht="48" thickBot="1" x14ac:dyDescent="0.9">
      <c r="A6" s="63" t="s">
        <v>121</v>
      </c>
      <c r="B6" s="64" t="s">
        <v>122</v>
      </c>
      <c r="C6" s="124" t="str">
        <f t="shared" si="1"/>
        <v>A.1.1.3 - Date of birth  [Required]</v>
      </c>
      <c r="D6" s="62" t="s">
        <v>123</v>
      </c>
      <c r="E6" s="59">
        <f t="shared" si="2"/>
        <v>1</v>
      </c>
      <c r="F6" s="59" t="str">
        <f t="shared" si="0"/>
        <v>1</v>
      </c>
      <c r="G6" s="121"/>
      <c r="H6" s="65"/>
      <c r="I6" s="62" t="s">
        <v>110</v>
      </c>
      <c r="J6" s="62" t="s">
        <v>23</v>
      </c>
    </row>
    <row r="7" spans="1:10" ht="48" thickBot="1" x14ac:dyDescent="0.9">
      <c r="A7" s="63" t="s">
        <v>124</v>
      </c>
      <c r="B7" s="64" t="s">
        <v>125</v>
      </c>
      <c r="C7" s="124" t="str">
        <f t="shared" si="1"/>
        <v>A.1.1.4 - Personal identifier  [Required]</v>
      </c>
      <c r="D7" s="62" t="s">
        <v>126</v>
      </c>
      <c r="E7" s="59">
        <f t="shared" si="2"/>
        <v>1</v>
      </c>
      <c r="F7" s="59" t="str">
        <f t="shared" si="0"/>
        <v>*</v>
      </c>
      <c r="G7" s="121"/>
      <c r="H7" s="65"/>
      <c r="I7" s="62" t="s">
        <v>117</v>
      </c>
      <c r="J7" s="62" t="s">
        <v>23</v>
      </c>
    </row>
    <row r="8" spans="1:10" ht="16.5" thickBot="1" x14ac:dyDescent="0.9">
      <c r="A8" s="63" t="s">
        <v>127</v>
      </c>
      <c r="B8" s="64" t="s">
        <v>128</v>
      </c>
      <c r="C8" s="124" t="str">
        <f t="shared" si="1"/>
        <v>A.1.1.5 - Nationality [Required]</v>
      </c>
      <c r="D8" s="62" t="s">
        <v>129</v>
      </c>
      <c r="E8" s="59">
        <f t="shared" si="2"/>
        <v>0</v>
      </c>
      <c r="F8" s="59" t="str">
        <f t="shared" si="0"/>
        <v>*</v>
      </c>
      <c r="G8" s="121"/>
      <c r="H8" s="66" t="s">
        <v>130</v>
      </c>
      <c r="I8" s="62" t="s">
        <v>131</v>
      </c>
      <c r="J8" s="62" t="s">
        <v>23</v>
      </c>
    </row>
    <row r="9" spans="1:10" ht="48" thickBot="1" x14ac:dyDescent="0.9">
      <c r="A9" s="63" t="s">
        <v>132</v>
      </c>
      <c r="B9" s="64" t="s">
        <v>24</v>
      </c>
      <c r="C9" s="124" t="str">
        <f t="shared" si="1"/>
        <v>A.1.1.6 - Gender [Mandatory]</v>
      </c>
      <c r="D9" s="62" t="s">
        <v>133</v>
      </c>
      <c r="E9" s="59">
        <f t="shared" si="2"/>
        <v>1</v>
      </c>
      <c r="F9" s="59" t="str">
        <f t="shared" si="0"/>
        <v>1</v>
      </c>
      <c r="G9" s="121"/>
      <c r="H9" s="66" t="s">
        <v>134</v>
      </c>
      <c r="I9" s="62" t="s">
        <v>110</v>
      </c>
      <c r="J9" s="62" t="s">
        <v>111</v>
      </c>
    </row>
    <row r="10" spans="1:10" ht="32.25" thickBot="1" x14ac:dyDescent="0.9">
      <c r="A10" s="63" t="s">
        <v>135</v>
      </c>
      <c r="B10" s="67" t="s">
        <v>136</v>
      </c>
      <c r="C10" s="124" t="str">
        <f t="shared" si="1"/>
        <v>A.1.1.7 - Language communication [Optional]</v>
      </c>
      <c r="D10" s="62" t="s">
        <v>137</v>
      </c>
      <c r="E10" s="59">
        <f t="shared" si="2"/>
        <v>0</v>
      </c>
      <c r="F10" s="59" t="str">
        <f t="shared" si="0"/>
        <v>*</v>
      </c>
      <c r="G10" s="121"/>
      <c r="H10" s="62" t="s">
        <v>138</v>
      </c>
      <c r="I10" s="62" t="s">
        <v>131</v>
      </c>
      <c r="J10" s="62" t="s">
        <v>139</v>
      </c>
    </row>
    <row r="11" spans="1:10" ht="16.5" thickBot="1" x14ac:dyDescent="0.9">
      <c r="A11" s="57" t="s">
        <v>1088</v>
      </c>
      <c r="B11" s="58" t="s">
        <v>141</v>
      </c>
      <c r="C11" s="124" t="str">
        <f t="shared" si="1"/>
        <v>A.1.2 - Patient/subject related contact information [Required]</v>
      </c>
      <c r="D11" s="59"/>
      <c r="E11" s="59">
        <f t="shared" si="2"/>
        <v>0</v>
      </c>
      <c r="F11" s="59" t="str">
        <f t="shared" si="0"/>
        <v>1</v>
      </c>
      <c r="G11" s="59"/>
      <c r="H11" s="60"/>
      <c r="I11" s="62" t="s">
        <v>142</v>
      </c>
      <c r="J11" s="62" t="s">
        <v>23</v>
      </c>
    </row>
    <row r="12" spans="1:10" ht="16.5" thickBot="1" x14ac:dyDescent="0.9">
      <c r="A12" s="57" t="s">
        <v>143</v>
      </c>
      <c r="B12" s="58" t="s">
        <v>144</v>
      </c>
      <c r="C12" s="124" t="str">
        <f t="shared" si="1"/>
        <v>A.1.2.1 - Patient address []</v>
      </c>
      <c r="D12" s="59"/>
      <c r="E12" s="129">
        <f t="shared" si="2"/>
        <v>0</v>
      </c>
      <c r="F12" s="129" t="s">
        <v>9</v>
      </c>
      <c r="G12" s="129"/>
      <c r="H12" s="60"/>
      <c r="I12" s="65"/>
      <c r="J12" s="65"/>
    </row>
    <row r="13" spans="1:10" ht="95.25" thickBot="1" x14ac:dyDescent="0.9">
      <c r="A13" s="63" t="s">
        <v>145</v>
      </c>
      <c r="B13" s="68" t="s">
        <v>146</v>
      </c>
      <c r="C13" s="124" t="str">
        <f t="shared" si="1"/>
        <v>A.1.2.1.1 - Address [Required]</v>
      </c>
      <c r="D13" s="62" t="s">
        <v>147</v>
      </c>
      <c r="E13" s="59">
        <f t="shared" si="2"/>
        <v>0</v>
      </c>
      <c r="F13" s="59" t="str">
        <f t="shared" ref="F13:F44" si="3">MID(I13,4,1)</f>
        <v>*</v>
      </c>
      <c r="G13" s="121"/>
      <c r="H13" s="66" t="s">
        <v>130</v>
      </c>
      <c r="I13" s="62" t="s">
        <v>131</v>
      </c>
      <c r="J13" s="62" t="s">
        <v>23</v>
      </c>
    </row>
    <row r="14" spans="1:10" ht="32.25" thickBot="1" x14ac:dyDescent="0.9">
      <c r="A14" s="63" t="s">
        <v>148</v>
      </c>
      <c r="B14" s="68" t="s">
        <v>149</v>
      </c>
      <c r="C14" s="124" t="str">
        <f t="shared" si="1"/>
        <v>A.1.2.1.2 - Telecom [Required]</v>
      </c>
      <c r="D14" s="62" t="s">
        <v>150</v>
      </c>
      <c r="E14" s="59">
        <f t="shared" si="2"/>
        <v>0</v>
      </c>
      <c r="F14" s="59" t="str">
        <f t="shared" si="3"/>
        <v>*</v>
      </c>
      <c r="G14" s="121"/>
      <c r="H14" s="65"/>
      <c r="I14" s="62" t="s">
        <v>131</v>
      </c>
      <c r="J14" s="62" t="s">
        <v>23</v>
      </c>
    </row>
    <row r="15" spans="1:10" ht="16.5" customHeight="1" thickBot="1" x14ac:dyDescent="0.9">
      <c r="A15" s="57" t="s">
        <v>151</v>
      </c>
      <c r="B15" s="58" t="s">
        <v>1055</v>
      </c>
      <c r="C15" s="124" t="str">
        <f t="shared" si="1"/>
        <v>A.1.2.2 - Preferred healthcare professional (HP) [Optional]</v>
      </c>
      <c r="D15" s="62" t="s">
        <v>1056</v>
      </c>
      <c r="E15" s="59">
        <f t="shared" si="2"/>
        <v>0</v>
      </c>
      <c r="F15" s="59" t="str">
        <f t="shared" si="3"/>
        <v>*</v>
      </c>
      <c r="G15" s="59"/>
      <c r="H15" s="60"/>
      <c r="I15" s="62" t="s">
        <v>131</v>
      </c>
      <c r="J15" s="62" t="s">
        <v>139</v>
      </c>
    </row>
    <row r="16" spans="1:10" ht="48" thickBot="1" x14ac:dyDescent="0.9">
      <c r="A16" s="63" t="s">
        <v>153</v>
      </c>
      <c r="B16" s="69" t="s">
        <v>154</v>
      </c>
      <c r="C16" s="124" t="str">
        <f t="shared" si="1"/>
        <v>A.1.2.2.1 - Identifier [Required]</v>
      </c>
      <c r="D16" s="62" t="s">
        <v>155</v>
      </c>
      <c r="E16" s="59">
        <f t="shared" si="2"/>
        <v>0</v>
      </c>
      <c r="F16" s="59" t="str">
        <f t="shared" si="3"/>
        <v>*</v>
      </c>
      <c r="G16" s="121"/>
      <c r="H16" s="65"/>
      <c r="I16" s="62" t="s">
        <v>131</v>
      </c>
      <c r="J16" s="62" t="s">
        <v>23</v>
      </c>
    </row>
    <row r="17" spans="1:10" ht="111" thickBot="1" x14ac:dyDescent="0.9">
      <c r="A17" s="70" t="s">
        <v>156</v>
      </c>
      <c r="B17" s="71" t="s">
        <v>157</v>
      </c>
      <c r="C17" s="124" t="str">
        <f t="shared" si="1"/>
        <v>A.1.2.2.2 - Name of the HP [Required]</v>
      </c>
      <c r="D17" s="72" t="s">
        <v>1057</v>
      </c>
      <c r="E17" s="59">
        <f t="shared" si="2"/>
        <v>1</v>
      </c>
      <c r="F17" s="59" t="str">
        <f t="shared" si="3"/>
        <v>1</v>
      </c>
      <c r="G17" s="99"/>
      <c r="H17" s="73"/>
      <c r="I17" s="70" t="s">
        <v>110</v>
      </c>
      <c r="J17" s="70" t="s">
        <v>23</v>
      </c>
    </row>
    <row r="18" spans="1:10" ht="32.25" thickBot="1" x14ac:dyDescent="0.9">
      <c r="A18" s="63" t="s">
        <v>161</v>
      </c>
      <c r="B18" s="69" t="s">
        <v>162</v>
      </c>
      <c r="C18" s="124" t="str">
        <f t="shared" si="1"/>
        <v>A.1.2.2.3 - Role of the HP [Required]</v>
      </c>
      <c r="D18" s="62" t="s">
        <v>163</v>
      </c>
      <c r="E18" s="59">
        <f t="shared" si="2"/>
        <v>0</v>
      </c>
      <c r="F18" s="59" t="str">
        <f t="shared" si="3"/>
        <v>*</v>
      </c>
      <c r="G18" s="121"/>
      <c r="H18" s="62" t="s">
        <v>164</v>
      </c>
      <c r="I18" s="62" t="s">
        <v>131</v>
      </c>
      <c r="J18" s="62" t="s">
        <v>23</v>
      </c>
    </row>
    <row r="19" spans="1:10" ht="16.5" thickBot="1" x14ac:dyDescent="0.9">
      <c r="A19" s="63" t="s">
        <v>165</v>
      </c>
      <c r="B19" s="69" t="s">
        <v>166</v>
      </c>
      <c r="C19" s="124" t="str">
        <f t="shared" si="1"/>
        <v>A.1.2.2.4 - HP Organisation [Required]</v>
      </c>
      <c r="D19" s="62" t="s">
        <v>167</v>
      </c>
      <c r="E19" s="59">
        <f t="shared" si="2"/>
        <v>0</v>
      </c>
      <c r="F19" s="59" t="str">
        <f t="shared" si="3"/>
        <v>1</v>
      </c>
      <c r="G19" s="121"/>
      <c r="H19" s="65"/>
      <c r="I19" s="62" t="s">
        <v>142</v>
      </c>
      <c r="J19" s="62" t="s">
        <v>23</v>
      </c>
    </row>
    <row r="20" spans="1:10" ht="95.25" thickBot="1" x14ac:dyDescent="0.9">
      <c r="A20" s="63" t="s">
        <v>168</v>
      </c>
      <c r="B20" s="69" t="s">
        <v>146</v>
      </c>
      <c r="C20" s="124" t="str">
        <f t="shared" si="1"/>
        <v>A.1.2.2.5 - Address [Optional]</v>
      </c>
      <c r="D20" s="62" t="s">
        <v>147</v>
      </c>
      <c r="E20" s="59">
        <f t="shared" si="2"/>
        <v>0</v>
      </c>
      <c r="F20" s="59" t="str">
        <f t="shared" si="3"/>
        <v>1</v>
      </c>
      <c r="G20" s="121"/>
      <c r="H20" s="65"/>
      <c r="I20" s="62" t="s">
        <v>142</v>
      </c>
      <c r="J20" s="62" t="s">
        <v>139</v>
      </c>
    </row>
    <row r="21" spans="1:10" ht="32.25" thickBot="1" x14ac:dyDescent="0.9">
      <c r="A21" s="63" t="s">
        <v>169</v>
      </c>
      <c r="B21" s="69" t="s">
        <v>149</v>
      </c>
      <c r="C21" s="124" t="str">
        <f t="shared" si="1"/>
        <v>A.1.2.2.6 - Telecom [Required]</v>
      </c>
      <c r="D21" s="62" t="s">
        <v>150</v>
      </c>
      <c r="E21" s="59">
        <f t="shared" si="2"/>
        <v>0</v>
      </c>
      <c r="F21" s="59" t="str">
        <f t="shared" si="3"/>
        <v>*</v>
      </c>
      <c r="G21" s="121"/>
      <c r="H21" s="65"/>
      <c r="I21" s="62" t="s">
        <v>131</v>
      </c>
      <c r="J21" s="62" t="s">
        <v>23</v>
      </c>
    </row>
    <row r="22" spans="1:10" ht="16.5" thickBot="1" x14ac:dyDescent="0.9">
      <c r="A22" s="57" t="s">
        <v>170</v>
      </c>
      <c r="B22" s="58" t="s">
        <v>171</v>
      </c>
      <c r="C22" s="124" t="str">
        <f t="shared" si="1"/>
        <v>A.1.2.3 - Contact person/ legal guardian [Required]</v>
      </c>
      <c r="D22" s="59"/>
      <c r="E22" s="59">
        <f t="shared" si="2"/>
        <v>0</v>
      </c>
      <c r="F22" s="59" t="str">
        <f t="shared" si="3"/>
        <v>*</v>
      </c>
      <c r="G22" s="59"/>
      <c r="H22" s="60"/>
      <c r="I22" s="62" t="s">
        <v>131</v>
      </c>
      <c r="J22" s="62" t="s">
        <v>23</v>
      </c>
    </row>
    <row r="23" spans="1:10" ht="32.25" thickBot="1" x14ac:dyDescent="0.9">
      <c r="A23" s="63" t="s">
        <v>172</v>
      </c>
      <c r="B23" s="67" t="s">
        <v>173</v>
      </c>
      <c r="C23" s="124" t="str">
        <f t="shared" si="1"/>
        <v>A.1.2.3.1 - Role of that person [Required]</v>
      </c>
      <c r="D23" s="62" t="s">
        <v>174</v>
      </c>
      <c r="E23" s="129">
        <f t="shared" si="2"/>
        <v>0</v>
      </c>
      <c r="F23" s="129" t="s">
        <v>9</v>
      </c>
      <c r="G23" s="121"/>
      <c r="H23" s="66" t="s">
        <v>175</v>
      </c>
      <c r="I23" s="131"/>
      <c r="J23" s="62" t="s">
        <v>23</v>
      </c>
    </row>
    <row r="24" spans="1:10" ht="16.5" thickBot="1" x14ac:dyDescent="0.9">
      <c r="A24" s="63" t="s">
        <v>176</v>
      </c>
      <c r="B24" s="67" t="s">
        <v>177</v>
      </c>
      <c r="C24" s="124" t="str">
        <f t="shared" si="1"/>
        <v>A.1.2.3.2 - Relationship level  [Required]</v>
      </c>
      <c r="D24" s="62" t="s">
        <v>178</v>
      </c>
      <c r="E24" s="59">
        <f t="shared" si="2"/>
        <v>0</v>
      </c>
      <c r="F24" s="59" t="str">
        <f t="shared" si="3"/>
        <v>1</v>
      </c>
      <c r="G24" s="121"/>
      <c r="H24" s="66" t="s">
        <v>179</v>
      </c>
      <c r="I24" s="62" t="s">
        <v>142</v>
      </c>
      <c r="J24" s="62" t="s">
        <v>23</v>
      </c>
    </row>
    <row r="25" spans="1:10" ht="48" thickBot="1" x14ac:dyDescent="0.9">
      <c r="A25" s="63" t="s">
        <v>180</v>
      </c>
      <c r="B25" s="67" t="s">
        <v>154</v>
      </c>
      <c r="C25" s="124" t="str">
        <f t="shared" si="1"/>
        <v>A.1.2.3.3 - Identifier [Optional]</v>
      </c>
      <c r="D25" s="62" t="s">
        <v>181</v>
      </c>
      <c r="E25" s="59">
        <f t="shared" si="2"/>
        <v>0</v>
      </c>
      <c r="F25" s="59" t="str">
        <f t="shared" si="3"/>
        <v>*</v>
      </c>
      <c r="G25" s="121"/>
      <c r="H25" s="76"/>
      <c r="I25" s="62" t="s">
        <v>131</v>
      </c>
      <c r="J25" s="62" t="s">
        <v>139</v>
      </c>
    </row>
    <row r="26" spans="1:10" ht="32.25" thickBot="1" x14ac:dyDescent="0.9">
      <c r="A26" s="63" t="s">
        <v>182</v>
      </c>
      <c r="B26" s="64" t="s">
        <v>183</v>
      </c>
      <c r="C26" s="124" t="str">
        <f t="shared" si="1"/>
        <v>A.1.2.3.4 - Given name [Mandatory]</v>
      </c>
      <c r="D26" s="62" t="s">
        <v>184</v>
      </c>
      <c r="E26" s="59">
        <f t="shared" si="2"/>
        <v>1</v>
      </c>
      <c r="F26" s="59" t="str">
        <f t="shared" si="3"/>
        <v>*</v>
      </c>
      <c r="G26" s="121"/>
      <c r="H26" s="65"/>
      <c r="I26" s="62" t="s">
        <v>117</v>
      </c>
      <c r="J26" s="62" t="s">
        <v>111</v>
      </c>
    </row>
    <row r="27" spans="1:10" ht="32.25" thickBot="1" x14ac:dyDescent="0.9">
      <c r="A27" s="63" t="s">
        <v>185</v>
      </c>
      <c r="B27" s="64" t="s">
        <v>119</v>
      </c>
      <c r="C27" s="124" t="str">
        <f t="shared" si="1"/>
        <v>A.1.2.3.5 - Family name/surname [Mandatory]</v>
      </c>
      <c r="D27" s="62" t="s">
        <v>186</v>
      </c>
      <c r="E27" s="59">
        <f t="shared" si="2"/>
        <v>1</v>
      </c>
      <c r="F27" s="59" t="str">
        <f t="shared" si="3"/>
        <v>*</v>
      </c>
      <c r="G27" s="121"/>
      <c r="H27" s="65"/>
      <c r="I27" s="62" t="s">
        <v>117</v>
      </c>
      <c r="J27" s="62" t="s">
        <v>111</v>
      </c>
    </row>
    <row r="28" spans="1:10" ht="95.25" thickBot="1" x14ac:dyDescent="0.9">
      <c r="A28" s="63" t="s">
        <v>187</v>
      </c>
      <c r="B28" s="67" t="s">
        <v>146</v>
      </c>
      <c r="C28" s="124" t="str">
        <f t="shared" si="1"/>
        <v>A.1.2.3.6 - Address [Optional]</v>
      </c>
      <c r="D28" s="62" t="s">
        <v>188</v>
      </c>
      <c r="E28" s="59">
        <f t="shared" si="2"/>
        <v>0</v>
      </c>
      <c r="F28" s="59" t="str">
        <f t="shared" si="3"/>
        <v>1</v>
      </c>
      <c r="G28" s="121"/>
      <c r="H28" s="76"/>
      <c r="I28" s="62" t="s">
        <v>142</v>
      </c>
      <c r="J28" s="62" t="s">
        <v>139</v>
      </c>
    </row>
    <row r="29" spans="1:10" ht="32.25" thickBot="1" x14ac:dyDescent="0.9">
      <c r="A29" s="63" t="s">
        <v>189</v>
      </c>
      <c r="B29" s="67" t="s">
        <v>149</v>
      </c>
      <c r="C29" s="124" t="str">
        <f t="shared" si="1"/>
        <v>A.1.2.3.7 - Telecom [Required]</v>
      </c>
      <c r="D29" s="62" t="s">
        <v>150</v>
      </c>
      <c r="E29" s="59">
        <f t="shared" si="2"/>
        <v>0</v>
      </c>
      <c r="F29" s="59" t="str">
        <f t="shared" si="3"/>
        <v>*</v>
      </c>
      <c r="G29" s="121"/>
      <c r="H29" s="65"/>
      <c r="I29" s="62" t="s">
        <v>131</v>
      </c>
      <c r="J29" s="62" t="s">
        <v>23</v>
      </c>
    </row>
    <row r="30" spans="1:10" ht="63.75" thickBot="1" x14ac:dyDescent="0.9">
      <c r="A30" s="57" t="s">
        <v>1089</v>
      </c>
      <c r="B30" s="58" t="s">
        <v>1058</v>
      </c>
      <c r="C30" s="124" t="str">
        <f t="shared" si="1"/>
        <v>A.1.3 - Health insurance and payment information [Required]</v>
      </c>
      <c r="D30" s="62" t="s">
        <v>1059</v>
      </c>
      <c r="E30" s="59">
        <f t="shared" si="2"/>
        <v>0</v>
      </c>
      <c r="F30" s="59" t="str">
        <f t="shared" si="3"/>
        <v>1</v>
      </c>
      <c r="G30" s="59"/>
      <c r="H30" s="60"/>
      <c r="I30" s="62" t="s">
        <v>142</v>
      </c>
      <c r="J30" s="62" t="s">
        <v>23</v>
      </c>
    </row>
    <row r="31" spans="1:10" ht="16.5" thickBot="1" x14ac:dyDescent="0.9">
      <c r="A31" s="63" t="s">
        <v>192</v>
      </c>
      <c r="B31" s="64" t="s">
        <v>193</v>
      </c>
      <c r="C31" s="124" t="str">
        <f t="shared" si="1"/>
        <v>A.1.3.1 - Health insurance code [Mandatory]</v>
      </c>
      <c r="D31" s="62" t="s">
        <v>194</v>
      </c>
      <c r="E31" s="59">
        <f t="shared" si="2"/>
        <v>0</v>
      </c>
      <c r="F31" s="59" t="str">
        <f t="shared" si="3"/>
        <v>1</v>
      </c>
      <c r="G31" s="121"/>
      <c r="H31" s="65"/>
      <c r="I31" s="62" t="s">
        <v>142</v>
      </c>
      <c r="J31" s="62" t="s">
        <v>111</v>
      </c>
    </row>
    <row r="32" spans="1:10" ht="16.5" thickBot="1" x14ac:dyDescent="0.9">
      <c r="A32" s="63" t="s">
        <v>195</v>
      </c>
      <c r="B32" s="64" t="s">
        <v>196</v>
      </c>
      <c r="C32" s="124" t="str">
        <f t="shared" si="1"/>
        <v>A.1.3.2 - Health insurance name [Required]</v>
      </c>
      <c r="D32" s="62" t="s">
        <v>197</v>
      </c>
      <c r="E32" s="59">
        <f t="shared" si="2"/>
        <v>0</v>
      </c>
      <c r="F32" s="59" t="str">
        <f t="shared" si="3"/>
        <v>1</v>
      </c>
      <c r="G32" s="121"/>
      <c r="H32" s="65"/>
      <c r="I32" s="62" t="s">
        <v>142</v>
      </c>
      <c r="J32" s="62" t="s">
        <v>23</v>
      </c>
    </row>
    <row r="33" spans="1:10" ht="32.25" thickBot="1" x14ac:dyDescent="0.9">
      <c r="A33" s="63" t="s">
        <v>198</v>
      </c>
      <c r="B33" s="64" t="s">
        <v>199</v>
      </c>
      <c r="C33" s="124" t="str">
        <f t="shared" si="1"/>
        <v>A.1.3.3 - Health insurance number [Mandatory]</v>
      </c>
      <c r="D33" s="62" t="s">
        <v>200</v>
      </c>
      <c r="E33" s="59">
        <f t="shared" si="2"/>
        <v>0</v>
      </c>
      <c r="F33" s="59" t="str">
        <f t="shared" si="3"/>
        <v>1</v>
      </c>
      <c r="G33" s="121"/>
      <c r="H33" s="65"/>
      <c r="I33" s="62" t="s">
        <v>142</v>
      </c>
      <c r="J33" s="62" t="s">
        <v>111</v>
      </c>
    </row>
    <row r="34" spans="1:10" ht="32.25" thickBot="1" x14ac:dyDescent="0.9">
      <c r="A34" s="57" t="s">
        <v>1090</v>
      </c>
      <c r="B34" s="58" t="s">
        <v>1060</v>
      </c>
      <c r="C34" s="124" t="str">
        <f t="shared" si="1"/>
        <v>A.1.4 - Information recipient [Required]</v>
      </c>
      <c r="D34" s="62" t="s">
        <v>1118</v>
      </c>
      <c r="E34" s="59">
        <f t="shared" si="2"/>
        <v>0</v>
      </c>
      <c r="F34" s="59" t="str">
        <f t="shared" si="3"/>
        <v>*</v>
      </c>
      <c r="G34" s="59"/>
      <c r="H34" s="60"/>
      <c r="I34" s="62" t="s">
        <v>131</v>
      </c>
      <c r="J34" s="62" t="s">
        <v>23</v>
      </c>
    </row>
    <row r="35" spans="1:10" ht="95.25" thickBot="1" x14ac:dyDescent="0.9">
      <c r="A35" s="63" t="s">
        <v>203</v>
      </c>
      <c r="B35" s="67" t="s">
        <v>204</v>
      </c>
      <c r="C35" s="124" t="str">
        <f t="shared" si="1"/>
        <v>A.1.4.1 - Recipient identifier [Required]</v>
      </c>
      <c r="D35" s="62" t="s">
        <v>205</v>
      </c>
      <c r="E35" s="59">
        <f t="shared" si="2"/>
        <v>0</v>
      </c>
      <c r="F35" s="59" t="str">
        <f t="shared" si="3"/>
        <v>1</v>
      </c>
      <c r="G35" s="121"/>
      <c r="H35" s="65"/>
      <c r="I35" s="62" t="s">
        <v>142</v>
      </c>
      <c r="J35" s="62" t="s">
        <v>23</v>
      </c>
    </row>
    <row r="36" spans="1:10" ht="16.5" thickBot="1" x14ac:dyDescent="0.9">
      <c r="A36" s="63" t="s">
        <v>206</v>
      </c>
      <c r="B36" s="67" t="s">
        <v>207</v>
      </c>
      <c r="C36" s="124" t="str">
        <f t="shared" si="1"/>
        <v>A.1.4.2 - Recipient name [Required]</v>
      </c>
      <c r="D36" s="62" t="s">
        <v>208</v>
      </c>
      <c r="E36" s="59">
        <f t="shared" si="2"/>
        <v>0</v>
      </c>
      <c r="F36" s="59" t="str">
        <f t="shared" si="3"/>
        <v>1</v>
      </c>
      <c r="G36" s="121"/>
      <c r="H36" s="65"/>
      <c r="I36" s="62" t="s">
        <v>142</v>
      </c>
      <c r="J36" s="62" t="s">
        <v>23</v>
      </c>
    </row>
    <row r="37" spans="1:10" ht="48" thickBot="1" x14ac:dyDescent="0.9">
      <c r="A37" s="63" t="s">
        <v>209</v>
      </c>
      <c r="B37" s="67" t="s">
        <v>210</v>
      </c>
      <c r="C37" s="124" t="str">
        <f t="shared" si="1"/>
        <v>A.1.4.3 - Recipient organization ID [Required]</v>
      </c>
      <c r="D37" s="62" t="s">
        <v>211</v>
      </c>
      <c r="E37" s="59">
        <f t="shared" si="2"/>
        <v>0</v>
      </c>
      <c r="F37" s="59" t="str">
        <f t="shared" si="3"/>
        <v>*</v>
      </c>
      <c r="G37" s="121"/>
      <c r="H37" s="65"/>
      <c r="I37" s="62" t="s">
        <v>131</v>
      </c>
      <c r="J37" s="62" t="s">
        <v>23</v>
      </c>
    </row>
    <row r="38" spans="1:10" ht="16.5" thickBot="1" x14ac:dyDescent="0.9">
      <c r="A38" s="63" t="s">
        <v>212</v>
      </c>
      <c r="B38" s="67" t="s">
        <v>213</v>
      </c>
      <c r="C38" s="124" t="str">
        <f t="shared" si="1"/>
        <v>A.1.4.4 - Recipient organization  [Required]</v>
      </c>
      <c r="D38" s="62" t="s">
        <v>214</v>
      </c>
      <c r="E38" s="59">
        <f t="shared" si="2"/>
        <v>0</v>
      </c>
      <c r="F38" s="59" t="str">
        <f t="shared" si="3"/>
        <v>1</v>
      </c>
      <c r="G38" s="121"/>
      <c r="H38" s="65"/>
      <c r="I38" s="62" t="s">
        <v>142</v>
      </c>
      <c r="J38" s="62" t="s">
        <v>23</v>
      </c>
    </row>
    <row r="39" spans="1:10" ht="16.5" thickBot="1" x14ac:dyDescent="0.9">
      <c r="A39" s="57" t="s">
        <v>1091</v>
      </c>
      <c r="B39" s="58" t="s">
        <v>216</v>
      </c>
      <c r="C39" s="124" t="str">
        <f t="shared" si="1"/>
        <v>A.1.5 - Author (by whom the Hospital discharge report was authored) [Mandatory]</v>
      </c>
      <c r="D39" s="58" t="s">
        <v>216</v>
      </c>
      <c r="E39" s="59">
        <f t="shared" si="2"/>
        <v>1</v>
      </c>
      <c r="F39" s="59" t="str">
        <f t="shared" si="3"/>
        <v>*</v>
      </c>
      <c r="G39" s="59"/>
      <c r="H39" s="60"/>
      <c r="I39" s="62" t="s">
        <v>117</v>
      </c>
      <c r="J39" s="62" t="s">
        <v>111</v>
      </c>
    </row>
    <row r="40" spans="1:10" ht="63.75" thickBot="1" x14ac:dyDescent="0.9">
      <c r="A40" s="63" t="s">
        <v>217</v>
      </c>
      <c r="B40" s="69" t="s">
        <v>218</v>
      </c>
      <c r="C40" s="124" t="str">
        <f t="shared" si="1"/>
        <v>A.1.5.1 - Author identifier [Mandatory]</v>
      </c>
      <c r="D40" s="62" t="s">
        <v>219</v>
      </c>
      <c r="E40" s="59">
        <f t="shared" si="2"/>
        <v>1</v>
      </c>
      <c r="F40" s="59" t="str">
        <f t="shared" si="3"/>
        <v>*</v>
      </c>
      <c r="G40" s="121"/>
      <c r="H40" s="65"/>
      <c r="I40" s="62" t="s">
        <v>117</v>
      </c>
      <c r="J40" s="62" t="s">
        <v>111</v>
      </c>
    </row>
    <row r="41" spans="1:10" ht="16.5" thickBot="1" x14ac:dyDescent="0.9">
      <c r="A41" s="63" t="s">
        <v>220</v>
      </c>
      <c r="B41" s="69" t="s">
        <v>221</v>
      </c>
      <c r="C41" s="124" t="str">
        <f t="shared" si="1"/>
        <v>A.1.5.2 - Author name [Mandatory]</v>
      </c>
      <c r="D41" s="62" t="s">
        <v>208</v>
      </c>
      <c r="E41" s="59">
        <f t="shared" si="2"/>
        <v>1</v>
      </c>
      <c r="F41" s="59" t="str">
        <f t="shared" si="3"/>
        <v>1</v>
      </c>
      <c r="G41" s="121"/>
      <c r="H41" s="65"/>
      <c r="I41" s="62" t="s">
        <v>110</v>
      </c>
      <c r="J41" s="62" t="s">
        <v>111</v>
      </c>
    </row>
    <row r="42" spans="1:10" ht="48" thickBot="1" x14ac:dyDescent="0.9">
      <c r="A42" s="63" t="s">
        <v>222</v>
      </c>
      <c r="B42" s="69" t="s">
        <v>223</v>
      </c>
      <c r="C42" s="124" t="str">
        <f t="shared" si="1"/>
        <v>A.1.5.3 - Author organization ID [Required]</v>
      </c>
      <c r="D42" s="62" t="s">
        <v>211</v>
      </c>
      <c r="E42" s="59">
        <f t="shared" si="2"/>
        <v>0</v>
      </c>
      <c r="F42" s="59" t="str">
        <f t="shared" si="3"/>
        <v>*</v>
      </c>
      <c r="G42" s="121"/>
      <c r="H42" s="65"/>
      <c r="I42" s="62" t="s">
        <v>131</v>
      </c>
      <c r="J42" s="62" t="s">
        <v>23</v>
      </c>
    </row>
    <row r="43" spans="1:10" ht="48" thickBot="1" x14ac:dyDescent="0.9">
      <c r="A43" s="63" t="s">
        <v>224</v>
      </c>
      <c r="B43" s="69" t="s">
        <v>225</v>
      </c>
      <c r="C43" s="124" t="str">
        <f t="shared" si="1"/>
        <v>A.1.5.4 - Author organization  [Mandatory]</v>
      </c>
      <c r="D43" s="62" t="s">
        <v>211</v>
      </c>
      <c r="E43" s="59">
        <f t="shared" si="2"/>
        <v>1</v>
      </c>
      <c r="F43" s="59" t="str">
        <f t="shared" si="3"/>
        <v>1</v>
      </c>
      <c r="G43" s="121"/>
      <c r="H43" s="65"/>
      <c r="I43" s="62" t="s">
        <v>110</v>
      </c>
      <c r="J43" s="62" t="s">
        <v>111</v>
      </c>
    </row>
    <row r="44" spans="1:10" ht="32.25" thickBot="1" x14ac:dyDescent="0.9">
      <c r="A44" s="63" t="s">
        <v>226</v>
      </c>
      <c r="B44" s="69" t="s">
        <v>227</v>
      </c>
      <c r="C44" s="124" t="str">
        <f t="shared" si="1"/>
        <v>A.1.5.5 - DateTime [Mandatory]</v>
      </c>
      <c r="D44" s="62" t="s">
        <v>228</v>
      </c>
      <c r="E44" s="59">
        <f t="shared" si="2"/>
        <v>1</v>
      </c>
      <c r="F44" s="59" t="str">
        <f t="shared" si="3"/>
        <v>1</v>
      </c>
      <c r="G44" s="121"/>
      <c r="H44" s="65"/>
      <c r="I44" s="62" t="s">
        <v>110</v>
      </c>
      <c r="J44" s="62" t="s">
        <v>111</v>
      </c>
    </row>
    <row r="45" spans="1:10" ht="16.5" thickBot="1" x14ac:dyDescent="0.9">
      <c r="A45" s="57" t="s">
        <v>1092</v>
      </c>
      <c r="B45" s="58" t="s">
        <v>230</v>
      </c>
      <c r="C45" s="124" t="str">
        <f t="shared" si="1"/>
        <v>A.1.6 - Attester  [Required]</v>
      </c>
      <c r="D45" s="59"/>
      <c r="E45" s="59">
        <f t="shared" si="2"/>
        <v>0</v>
      </c>
      <c r="F45" s="59" t="str">
        <f t="shared" ref="F45:F66" si="4">MID(I45,4,1)</f>
        <v>*</v>
      </c>
      <c r="G45" s="59"/>
      <c r="H45" s="60"/>
      <c r="I45" s="62" t="s">
        <v>131</v>
      </c>
      <c r="J45" s="62" t="s">
        <v>23</v>
      </c>
    </row>
    <row r="46" spans="1:10" ht="63.75" thickBot="1" x14ac:dyDescent="0.9">
      <c r="A46" s="63" t="s">
        <v>231</v>
      </c>
      <c r="B46" s="67" t="s">
        <v>232</v>
      </c>
      <c r="C46" s="124" t="str">
        <f t="shared" si="1"/>
        <v>A.1.6.1 - Attester identifier [Mandatory]</v>
      </c>
      <c r="D46" s="62" t="s">
        <v>219</v>
      </c>
      <c r="E46" s="59">
        <f t="shared" si="2"/>
        <v>1</v>
      </c>
      <c r="F46" s="59" t="str">
        <f t="shared" si="4"/>
        <v>*</v>
      </c>
      <c r="G46" s="121"/>
      <c r="H46" s="65"/>
      <c r="I46" s="62" t="s">
        <v>117</v>
      </c>
      <c r="J46" s="62" t="s">
        <v>111</v>
      </c>
    </row>
    <row r="47" spans="1:10" ht="16.5" thickBot="1" x14ac:dyDescent="0.9">
      <c r="A47" s="63" t="s">
        <v>233</v>
      </c>
      <c r="B47" s="62" t="s">
        <v>234</v>
      </c>
      <c r="C47" s="124" t="str">
        <f t="shared" si="1"/>
        <v>A.1.6.2 - Attester name [Mandatory]</v>
      </c>
      <c r="D47" s="62" t="s">
        <v>208</v>
      </c>
      <c r="E47" s="59">
        <f t="shared" si="2"/>
        <v>1</v>
      </c>
      <c r="F47" s="59" t="str">
        <f t="shared" si="4"/>
        <v>1</v>
      </c>
      <c r="G47" s="121"/>
      <c r="H47" s="65"/>
      <c r="I47" s="62" t="s">
        <v>110</v>
      </c>
      <c r="J47" s="62" t="s">
        <v>111</v>
      </c>
    </row>
    <row r="48" spans="1:10" ht="48" thickBot="1" x14ac:dyDescent="0.9">
      <c r="A48" s="63" t="s">
        <v>235</v>
      </c>
      <c r="B48" s="67" t="s">
        <v>236</v>
      </c>
      <c r="C48" s="124" t="str">
        <f t="shared" si="1"/>
        <v>A.1.6.3 - Attester organization ID [Required]</v>
      </c>
      <c r="D48" s="62" t="s">
        <v>211</v>
      </c>
      <c r="E48" s="59">
        <f t="shared" si="2"/>
        <v>0</v>
      </c>
      <c r="F48" s="59" t="str">
        <f t="shared" si="4"/>
        <v>*</v>
      </c>
      <c r="G48" s="121"/>
      <c r="H48" s="65"/>
      <c r="I48" s="62" t="s">
        <v>131</v>
      </c>
      <c r="J48" s="62" t="s">
        <v>23</v>
      </c>
    </row>
    <row r="49" spans="1:10" ht="16.5" thickBot="1" x14ac:dyDescent="0.9">
      <c r="A49" s="63" t="s">
        <v>237</v>
      </c>
      <c r="B49" s="67" t="s">
        <v>238</v>
      </c>
      <c r="C49" s="124" t="str">
        <f t="shared" si="1"/>
        <v>A.1.6.4 - Attester organization  [Mandatory]</v>
      </c>
      <c r="D49" s="62" t="s">
        <v>214</v>
      </c>
      <c r="E49" s="59">
        <f t="shared" si="2"/>
        <v>1</v>
      </c>
      <c r="F49" s="59" t="str">
        <f t="shared" si="4"/>
        <v>1</v>
      </c>
      <c r="G49" s="121"/>
      <c r="H49" s="65"/>
      <c r="I49" s="62" t="s">
        <v>110</v>
      </c>
      <c r="J49" s="62" t="s">
        <v>111</v>
      </c>
    </row>
    <row r="50" spans="1:10" ht="16.5" thickBot="1" x14ac:dyDescent="0.9">
      <c r="A50" s="63" t="s">
        <v>239</v>
      </c>
      <c r="B50" s="67" t="s">
        <v>240</v>
      </c>
      <c r="C50" s="124" t="str">
        <f t="shared" si="1"/>
        <v>A.1.6.5 - Approval date and time [Mandatory]</v>
      </c>
      <c r="D50" s="62" t="s">
        <v>241</v>
      </c>
      <c r="E50" s="59">
        <f t="shared" si="2"/>
        <v>1</v>
      </c>
      <c r="F50" s="59" t="str">
        <f t="shared" si="4"/>
        <v>1</v>
      </c>
      <c r="G50" s="121"/>
      <c r="H50" s="65"/>
      <c r="I50" s="62" t="s">
        <v>110</v>
      </c>
      <c r="J50" s="62" t="s">
        <v>111</v>
      </c>
    </row>
    <row r="51" spans="1:10" ht="31.75" thickBot="1" x14ac:dyDescent="0.9">
      <c r="A51" s="57" t="s">
        <v>1093</v>
      </c>
      <c r="B51" s="58" t="s">
        <v>1061</v>
      </c>
      <c r="C51" s="124" t="str">
        <f t="shared" si="1"/>
        <v>A.1.7 - Legal authenticator [Required]</v>
      </c>
      <c r="D51" s="59" t="s">
        <v>1062</v>
      </c>
      <c r="E51" s="59">
        <f t="shared" si="2"/>
        <v>0</v>
      </c>
      <c r="F51" s="59" t="str">
        <f t="shared" si="4"/>
        <v>1</v>
      </c>
      <c r="G51" s="59"/>
      <c r="H51" s="60"/>
      <c r="I51" s="62" t="s">
        <v>142</v>
      </c>
      <c r="J51" s="62" t="s">
        <v>23</v>
      </c>
    </row>
    <row r="52" spans="1:10" ht="63.75" thickBot="1" x14ac:dyDescent="0.9">
      <c r="A52" s="63" t="s">
        <v>244</v>
      </c>
      <c r="B52" s="67" t="s">
        <v>245</v>
      </c>
      <c r="C52" s="124" t="str">
        <f t="shared" si="1"/>
        <v>A.1.7.1 - Legal authenticator identifier [Mandatory]</v>
      </c>
      <c r="D52" s="62" t="s">
        <v>219</v>
      </c>
      <c r="E52" s="59">
        <f t="shared" si="2"/>
        <v>1</v>
      </c>
      <c r="F52" s="59" t="str">
        <f t="shared" si="4"/>
        <v>*</v>
      </c>
      <c r="G52" s="121"/>
      <c r="H52" s="65"/>
      <c r="I52" s="62" t="s">
        <v>117</v>
      </c>
      <c r="J52" s="62" t="s">
        <v>111</v>
      </c>
    </row>
    <row r="53" spans="1:10" ht="16.5" thickBot="1" x14ac:dyDescent="0.9">
      <c r="A53" s="63" t="s">
        <v>246</v>
      </c>
      <c r="B53" s="62" t="s">
        <v>247</v>
      </c>
      <c r="C53" s="124" t="str">
        <f t="shared" si="1"/>
        <v>A.1.7.2 - Legal authenticator name [Mandatory]</v>
      </c>
      <c r="D53" s="62" t="s">
        <v>208</v>
      </c>
      <c r="E53" s="59">
        <f t="shared" si="2"/>
        <v>1</v>
      </c>
      <c r="F53" s="59" t="str">
        <f t="shared" si="4"/>
        <v>1</v>
      </c>
      <c r="G53" s="121"/>
      <c r="H53" s="65"/>
      <c r="I53" s="62" t="s">
        <v>110</v>
      </c>
      <c r="J53" s="62" t="s">
        <v>111</v>
      </c>
    </row>
    <row r="54" spans="1:10" ht="48" thickBot="1" x14ac:dyDescent="0.9">
      <c r="A54" s="75"/>
      <c r="B54" s="67" t="s">
        <v>248</v>
      </c>
      <c r="C54" s="124" t="str">
        <f t="shared" si="1"/>
        <v xml:space="preserve"> - Legal authenticator organization ID [Required]</v>
      </c>
      <c r="D54" s="62" t="s">
        <v>211</v>
      </c>
      <c r="E54" s="59">
        <f t="shared" si="2"/>
        <v>0</v>
      </c>
      <c r="F54" s="59" t="str">
        <f t="shared" si="4"/>
        <v>*</v>
      </c>
      <c r="G54" s="121"/>
      <c r="H54" s="65"/>
      <c r="I54" s="62" t="s">
        <v>131</v>
      </c>
      <c r="J54" s="62" t="s">
        <v>23</v>
      </c>
    </row>
    <row r="55" spans="1:10" ht="16.5" thickBot="1" x14ac:dyDescent="0.9">
      <c r="A55" s="63" t="s">
        <v>249</v>
      </c>
      <c r="B55" s="67" t="s">
        <v>250</v>
      </c>
      <c r="C55" s="124" t="str">
        <f t="shared" si="1"/>
        <v>A.1.7.3 - Legal authenticator organization  [Mandatory]</v>
      </c>
      <c r="D55" s="62" t="s">
        <v>214</v>
      </c>
      <c r="E55" s="59">
        <f t="shared" si="2"/>
        <v>1</v>
      </c>
      <c r="F55" s="59" t="str">
        <f t="shared" si="4"/>
        <v>1</v>
      </c>
      <c r="G55" s="121"/>
      <c r="H55" s="65"/>
      <c r="I55" s="62" t="s">
        <v>110</v>
      </c>
      <c r="J55" s="62" t="s">
        <v>111</v>
      </c>
    </row>
    <row r="56" spans="1:10" ht="16.5" thickBot="1" x14ac:dyDescent="0.9">
      <c r="A56" s="63" t="s">
        <v>251</v>
      </c>
      <c r="B56" s="67" t="s">
        <v>252</v>
      </c>
      <c r="C56" s="124" t="str">
        <f t="shared" si="1"/>
        <v>A.1.7.4 - Authentication date and time [Mandatory]</v>
      </c>
      <c r="D56" s="62" t="s">
        <v>253</v>
      </c>
      <c r="E56" s="59">
        <f t="shared" si="2"/>
        <v>1</v>
      </c>
      <c r="F56" s="59" t="str">
        <f t="shared" si="4"/>
        <v>1</v>
      </c>
      <c r="G56" s="121"/>
      <c r="H56" s="65"/>
      <c r="I56" s="62" t="s">
        <v>110</v>
      </c>
      <c r="J56" s="62" t="s">
        <v>111</v>
      </c>
    </row>
    <row r="57" spans="1:10" ht="16.5" thickBot="1" x14ac:dyDescent="0.9">
      <c r="A57" s="57" t="s">
        <v>1094</v>
      </c>
      <c r="B57" s="58" t="s">
        <v>255</v>
      </c>
      <c r="C57" s="124" t="str">
        <f t="shared" si="1"/>
        <v>A.1.8 - Document metadata [Mandatory]</v>
      </c>
      <c r="D57" s="59"/>
      <c r="E57" s="59">
        <f t="shared" si="2"/>
        <v>1</v>
      </c>
      <c r="F57" s="59" t="str">
        <f t="shared" si="4"/>
        <v>1</v>
      </c>
      <c r="G57" s="59"/>
      <c r="H57" s="60"/>
      <c r="I57" s="62" t="s">
        <v>110</v>
      </c>
      <c r="J57" s="62" t="s">
        <v>111</v>
      </c>
    </row>
    <row r="58" spans="1:10" ht="16.5" thickBot="1" x14ac:dyDescent="0.9">
      <c r="A58" s="63" t="s">
        <v>256</v>
      </c>
      <c r="B58" s="67" t="s">
        <v>257</v>
      </c>
      <c r="C58" s="124" t="str">
        <f t="shared" si="1"/>
        <v>A.1.8.1 - Document ID [Mandatory]</v>
      </c>
      <c r="D58" s="62" t="s">
        <v>258</v>
      </c>
      <c r="E58" s="59">
        <f t="shared" si="2"/>
        <v>1</v>
      </c>
      <c r="F58" s="59" t="str">
        <f t="shared" si="4"/>
        <v>1</v>
      </c>
      <c r="G58" s="121"/>
      <c r="H58" s="65"/>
      <c r="I58" s="62" t="s">
        <v>110</v>
      </c>
      <c r="J58" s="62" t="s">
        <v>111</v>
      </c>
    </row>
    <row r="59" spans="1:10" ht="32.25" thickBot="1" x14ac:dyDescent="0.9">
      <c r="A59" s="63" t="s">
        <v>259</v>
      </c>
      <c r="B59" s="67" t="s">
        <v>260</v>
      </c>
      <c r="C59" s="124" t="str">
        <f t="shared" si="1"/>
        <v>A.1.8.2 - Document type [Mandatory]</v>
      </c>
      <c r="D59" s="62" t="s">
        <v>261</v>
      </c>
      <c r="E59" s="59">
        <f t="shared" si="2"/>
        <v>1</v>
      </c>
      <c r="F59" s="59" t="str">
        <f t="shared" si="4"/>
        <v>1</v>
      </c>
      <c r="G59" s="121"/>
      <c r="H59" t="s">
        <v>262</v>
      </c>
      <c r="I59" s="62" t="s">
        <v>110</v>
      </c>
      <c r="J59" s="62" t="s">
        <v>111</v>
      </c>
    </row>
    <row r="60" spans="1:10" ht="16.5" thickBot="1" x14ac:dyDescent="0.9">
      <c r="A60" s="63" t="s">
        <v>263</v>
      </c>
      <c r="B60" s="67" t="s">
        <v>264</v>
      </c>
      <c r="C60" s="124" t="str">
        <f t="shared" si="1"/>
        <v>A.1.8.3 - Document status [Mandatory]</v>
      </c>
      <c r="D60" s="62" t="s">
        <v>265</v>
      </c>
      <c r="E60" s="59">
        <f t="shared" si="2"/>
        <v>1</v>
      </c>
      <c r="F60" s="59" t="str">
        <f t="shared" si="4"/>
        <v>1</v>
      </c>
      <c r="G60" s="121"/>
      <c r="H60" s="62" t="s">
        <v>266</v>
      </c>
      <c r="I60" s="62" t="s">
        <v>110</v>
      </c>
      <c r="J60" s="62" t="s">
        <v>111</v>
      </c>
    </row>
    <row r="61" spans="1:10" ht="16.5" thickBot="1" x14ac:dyDescent="0.9">
      <c r="A61" s="63" t="s">
        <v>267</v>
      </c>
      <c r="B61" s="67" t="s">
        <v>268</v>
      </c>
      <c r="C61" s="124" t="str">
        <f t="shared" si="1"/>
        <v>A.1.8.4 - Report date and time [Mandatory]</v>
      </c>
      <c r="D61" s="62" t="s">
        <v>269</v>
      </c>
      <c r="E61" s="59">
        <f t="shared" si="2"/>
        <v>1</v>
      </c>
      <c r="F61" s="59" t="str">
        <f t="shared" si="4"/>
        <v>1</v>
      </c>
      <c r="G61" s="121"/>
      <c r="H61" s="65"/>
      <c r="I61" s="62" t="s">
        <v>110</v>
      </c>
      <c r="J61" s="62" t="s">
        <v>111</v>
      </c>
    </row>
    <row r="62" spans="1:10" ht="16.5" thickBot="1" x14ac:dyDescent="0.9">
      <c r="A62" s="63" t="s">
        <v>270</v>
      </c>
      <c r="B62" s="67" t="s">
        <v>271</v>
      </c>
      <c r="C62" s="124" t="str">
        <f t="shared" si="1"/>
        <v>A.1.8.5 - Document title [Mandatory]</v>
      </c>
      <c r="D62" s="62" t="s">
        <v>272</v>
      </c>
      <c r="E62" s="59">
        <f t="shared" si="2"/>
        <v>1</v>
      </c>
      <c r="F62" s="59" t="str">
        <f t="shared" si="4"/>
        <v>1</v>
      </c>
      <c r="G62" s="121"/>
      <c r="H62" s="65"/>
      <c r="I62" s="62" t="s">
        <v>110</v>
      </c>
      <c r="J62" s="62" t="s">
        <v>111</v>
      </c>
    </row>
    <row r="63" spans="1:10" ht="16.5" thickBot="1" x14ac:dyDescent="0.9">
      <c r="A63" s="63" t="s">
        <v>273</v>
      </c>
      <c r="B63" s="67" t="s">
        <v>274</v>
      </c>
      <c r="C63" s="124" t="str">
        <f t="shared" si="1"/>
        <v>A.1.8.6 - Report custodian [Optional]</v>
      </c>
      <c r="D63" s="62" t="s">
        <v>275</v>
      </c>
      <c r="E63" s="59">
        <f t="shared" si="2"/>
        <v>1</v>
      </c>
      <c r="F63" s="59" t="str">
        <f t="shared" si="4"/>
        <v>1</v>
      </c>
      <c r="G63" s="121"/>
      <c r="H63" s="65"/>
      <c r="I63" s="62" t="s">
        <v>110</v>
      </c>
      <c r="J63" s="62" t="s">
        <v>139</v>
      </c>
    </row>
    <row r="64" spans="1:10" ht="16.5" thickBot="1" x14ac:dyDescent="0.9">
      <c r="A64" s="63" t="s">
        <v>276</v>
      </c>
      <c r="B64" s="67" t="s">
        <v>277</v>
      </c>
      <c r="C64" s="124" t="str">
        <f t="shared" si="1"/>
        <v>A.1.8.7 - Confidentiality [Mandatory]</v>
      </c>
      <c r="D64" s="62" t="s">
        <v>278</v>
      </c>
      <c r="E64" s="59">
        <f t="shared" si="2"/>
        <v>1</v>
      </c>
      <c r="F64" s="59" t="str">
        <f t="shared" si="4"/>
        <v>1</v>
      </c>
      <c r="G64" s="121"/>
      <c r="H64" t="s">
        <v>279</v>
      </c>
      <c r="I64" s="62" t="s">
        <v>110</v>
      </c>
      <c r="J64" s="62" t="s">
        <v>111</v>
      </c>
    </row>
    <row r="65" spans="1:10" ht="32.25" thickBot="1" x14ac:dyDescent="0.9">
      <c r="A65" s="63" t="s">
        <v>280</v>
      </c>
      <c r="B65" s="67" t="s">
        <v>281</v>
      </c>
      <c r="C65" s="124" t="str">
        <f t="shared" si="1"/>
        <v>A.1.8.8 - Language [Required]</v>
      </c>
      <c r="D65" s="62" t="s">
        <v>282</v>
      </c>
      <c r="E65" s="59">
        <f t="shared" si="2"/>
        <v>1</v>
      </c>
      <c r="F65" s="59" t="str">
        <f t="shared" si="4"/>
        <v>1</v>
      </c>
      <c r="G65" s="121"/>
      <c r="H65" s="62" t="s">
        <v>138</v>
      </c>
      <c r="I65" s="62" t="s">
        <v>110</v>
      </c>
      <c r="J65" s="62" t="s">
        <v>23</v>
      </c>
    </row>
    <row r="66" spans="1:10" ht="16.5" thickBot="1" x14ac:dyDescent="0.9">
      <c r="A66" s="63" t="s">
        <v>283</v>
      </c>
      <c r="B66" s="67" t="s">
        <v>30</v>
      </c>
      <c r="C66" s="124" t="str">
        <f t="shared" si="1"/>
        <v>A.1.8.9 - Version [Required]</v>
      </c>
      <c r="D66" s="62" t="s">
        <v>284</v>
      </c>
      <c r="E66" s="59">
        <f t="shared" si="2"/>
        <v>0</v>
      </c>
      <c r="F66" s="59" t="str">
        <f t="shared" si="4"/>
        <v>1</v>
      </c>
      <c r="G66" s="121"/>
      <c r="H66" s="65"/>
      <c r="I66" s="62" t="s">
        <v>142</v>
      </c>
      <c r="J66" s="62" t="s">
        <v>23</v>
      </c>
    </row>
    <row r="67" spans="1:10" ht="16.5" thickBot="1" x14ac:dyDescent="0.9">
      <c r="A67" s="57" t="s">
        <v>285</v>
      </c>
      <c r="B67" s="58" t="s">
        <v>286</v>
      </c>
      <c r="C67" s="124" t="str">
        <f t="shared" ref="C67:C130" si="5">CONCATENATE(A67," - ",B67," [",J67,"]")</f>
        <v>A.1.9 - Digital signatures [Required]</v>
      </c>
      <c r="D67" s="59"/>
      <c r="E67" s="59">
        <f t="shared" ref="E67:E130" si="6">_xlfn.NUMBERVALUE(MID(I67,1,1))</f>
        <v>0</v>
      </c>
      <c r="F67" s="59" t="str">
        <f t="shared" ref="F67:F130" si="7">MID(I67,4,1)</f>
        <v>1</v>
      </c>
      <c r="G67" s="59"/>
      <c r="H67" s="60"/>
      <c r="I67" s="62" t="s">
        <v>142</v>
      </c>
      <c r="J67" s="62" t="s">
        <v>23</v>
      </c>
    </row>
    <row r="68" spans="1:10" ht="16.5" thickBot="1" x14ac:dyDescent="0.9">
      <c r="A68" s="63" t="s">
        <v>287</v>
      </c>
      <c r="B68" s="67" t="s">
        <v>288</v>
      </c>
      <c r="C68" s="124" t="str">
        <f t="shared" si="5"/>
        <v>A.1.9.1 - Digital signature [Required]</v>
      </c>
      <c r="D68" s="62" t="s">
        <v>289</v>
      </c>
      <c r="E68" s="59">
        <f t="shared" si="6"/>
        <v>0</v>
      </c>
      <c r="F68" s="59" t="str">
        <f t="shared" si="7"/>
        <v>*</v>
      </c>
      <c r="G68" s="121"/>
      <c r="H68" s="65"/>
      <c r="I68" s="62" t="s">
        <v>131</v>
      </c>
      <c r="J68" s="62" t="s">
        <v>23</v>
      </c>
    </row>
    <row r="69" spans="1:10" ht="16.5" thickBot="1" x14ac:dyDescent="0.9">
      <c r="A69" s="63" t="s">
        <v>290</v>
      </c>
      <c r="B69" s="67" t="s">
        <v>291</v>
      </c>
      <c r="C69" s="124" t="str">
        <f t="shared" si="5"/>
        <v>A.1.9.2 - Time stamp [Required]</v>
      </c>
      <c r="D69" s="62" t="s">
        <v>292</v>
      </c>
      <c r="E69" s="59">
        <f t="shared" si="6"/>
        <v>0</v>
      </c>
      <c r="F69" s="59" t="str">
        <f t="shared" si="7"/>
        <v>1</v>
      </c>
      <c r="G69" s="121"/>
      <c r="H69" s="65"/>
      <c r="I69" s="62" t="s">
        <v>142</v>
      </c>
      <c r="J69" s="62" t="s">
        <v>23</v>
      </c>
    </row>
    <row r="70" spans="1:10" ht="16.5" thickBot="1" x14ac:dyDescent="0.9">
      <c r="A70" s="63" t="s">
        <v>1098</v>
      </c>
      <c r="B70" s="127" t="s">
        <v>1096</v>
      </c>
      <c r="C70" s="124" t="str">
        <f t="shared" si="5"/>
        <v>A.2 - Body (missing elementy ?) [Mandatory]</v>
      </c>
      <c r="D70" s="128" t="s">
        <v>1097</v>
      </c>
      <c r="E70" s="59">
        <f t="shared" si="6"/>
        <v>1</v>
      </c>
      <c r="F70" s="59" t="str">
        <f t="shared" si="7"/>
        <v>1</v>
      </c>
      <c r="G70" s="121"/>
      <c r="H70" s="65"/>
      <c r="I70" s="62" t="s">
        <v>110</v>
      </c>
      <c r="J70" s="62" t="s">
        <v>111</v>
      </c>
    </row>
    <row r="71" spans="1:10" ht="16.5" thickBot="1" x14ac:dyDescent="0.9">
      <c r="A71" s="57" t="s">
        <v>293</v>
      </c>
      <c r="B71" s="58" t="s">
        <v>294</v>
      </c>
      <c r="C71" s="124" t="str">
        <f t="shared" si="5"/>
        <v>A.2.1 - Advance directives [Required]</v>
      </c>
      <c r="D71" s="59"/>
      <c r="E71" s="59">
        <f t="shared" si="6"/>
        <v>0</v>
      </c>
      <c r="F71" s="59" t="str">
        <f t="shared" si="7"/>
        <v>1</v>
      </c>
      <c r="G71" s="59"/>
      <c r="H71" s="60"/>
      <c r="I71" s="62" t="s">
        <v>142</v>
      </c>
      <c r="J71" s="62" t="s">
        <v>23</v>
      </c>
    </row>
    <row r="72" spans="1:10" ht="16.5" thickBot="1" x14ac:dyDescent="0.9">
      <c r="A72" s="57" t="s">
        <v>295</v>
      </c>
      <c r="B72" s="61" t="s">
        <v>296</v>
      </c>
      <c r="C72" s="124" t="str">
        <f t="shared" si="5"/>
        <v>A.2.1.1 - Living will [Mandatory]</v>
      </c>
      <c r="D72" s="62" t="s">
        <v>297</v>
      </c>
      <c r="E72" s="59">
        <f t="shared" si="6"/>
        <v>1</v>
      </c>
      <c r="F72" s="59" t="str">
        <f t="shared" si="7"/>
        <v>*</v>
      </c>
      <c r="G72" s="121"/>
      <c r="H72" s="65"/>
      <c r="I72" s="62" t="s">
        <v>117</v>
      </c>
      <c r="J72" s="62" t="s">
        <v>111</v>
      </c>
    </row>
    <row r="73" spans="1:10" ht="16.5" thickBot="1" x14ac:dyDescent="0.9">
      <c r="A73" s="63" t="s">
        <v>298</v>
      </c>
      <c r="B73" s="67" t="s">
        <v>299</v>
      </c>
      <c r="C73" s="124" t="str">
        <f t="shared" si="5"/>
        <v>A.2.1.1.1 - Date and time [Mandatory]</v>
      </c>
      <c r="D73" s="62" t="s">
        <v>300</v>
      </c>
      <c r="E73" s="59">
        <f t="shared" si="6"/>
        <v>1</v>
      </c>
      <c r="F73" s="59" t="str">
        <f t="shared" si="7"/>
        <v>1</v>
      </c>
      <c r="G73" s="121"/>
      <c r="H73" s="65"/>
      <c r="I73" s="62" t="s">
        <v>110</v>
      </c>
      <c r="J73" s="62" t="s">
        <v>111</v>
      </c>
    </row>
    <row r="74" spans="1:10" ht="32.25" thickBot="1" x14ac:dyDescent="0.9">
      <c r="A74" s="63" t="s">
        <v>301</v>
      </c>
      <c r="B74" s="67" t="s">
        <v>28</v>
      </c>
      <c r="C74" s="124" t="str">
        <f t="shared" si="5"/>
        <v>A.2.1.1.2 - Type [Mandatory]</v>
      </c>
      <c r="D74" s="62" t="s">
        <v>302</v>
      </c>
      <c r="E74" s="59">
        <f t="shared" si="6"/>
        <v>1</v>
      </c>
      <c r="F74" s="59" t="str">
        <f t="shared" si="7"/>
        <v>1</v>
      </c>
      <c r="G74" s="121"/>
      <c r="H74" s="66" t="s">
        <v>303</v>
      </c>
      <c r="I74" s="62" t="s">
        <v>110</v>
      </c>
      <c r="J74" s="62" t="s">
        <v>111</v>
      </c>
    </row>
    <row r="75" spans="1:10" ht="16.5" thickBot="1" x14ac:dyDescent="0.9">
      <c r="A75" s="63" t="s">
        <v>304</v>
      </c>
      <c r="B75" s="62" t="s">
        <v>95</v>
      </c>
      <c r="C75" s="124" t="str">
        <f t="shared" si="5"/>
        <v>A.2.1.1.3 - Comment [Optional]</v>
      </c>
      <c r="D75" s="62" t="s">
        <v>305</v>
      </c>
      <c r="E75" s="59">
        <f t="shared" si="6"/>
        <v>0</v>
      </c>
      <c r="F75" s="59" t="str">
        <f t="shared" si="7"/>
        <v>1</v>
      </c>
      <c r="G75" s="121"/>
      <c r="H75" s="65"/>
      <c r="I75" s="62" t="s">
        <v>142</v>
      </c>
      <c r="J75" s="62" t="s">
        <v>139</v>
      </c>
    </row>
    <row r="76" spans="1:10" ht="48" thickBot="1" x14ac:dyDescent="0.9">
      <c r="A76" s="70" t="s">
        <v>306</v>
      </c>
      <c r="B76" s="77" t="s">
        <v>307</v>
      </c>
      <c r="C76" s="124" t="str">
        <f t="shared" si="5"/>
        <v>A.2.1.1.4 - Related conditions [Required]</v>
      </c>
      <c r="D76" s="70" t="s">
        <v>308</v>
      </c>
      <c r="E76" s="59">
        <f t="shared" si="6"/>
        <v>0</v>
      </c>
      <c r="F76" s="59" t="str">
        <f t="shared" si="7"/>
        <v>*</v>
      </c>
      <c r="G76" s="130"/>
      <c r="H76" s="72" t="s">
        <v>1063</v>
      </c>
      <c r="I76" s="70" t="s">
        <v>131</v>
      </c>
      <c r="J76" s="70" t="s">
        <v>23</v>
      </c>
    </row>
    <row r="77" spans="1:10" ht="32.25" thickBot="1" x14ac:dyDescent="0.9">
      <c r="A77" s="63" t="s">
        <v>312</v>
      </c>
      <c r="B77" s="67" t="s">
        <v>313</v>
      </c>
      <c r="C77" s="124" t="str">
        <f t="shared" si="5"/>
        <v>A.2.1.1.5 - Living will document [Required]</v>
      </c>
      <c r="D77" s="62" t="s">
        <v>314</v>
      </c>
      <c r="E77" s="59">
        <f t="shared" si="6"/>
        <v>1</v>
      </c>
      <c r="F77" s="59" t="str">
        <f t="shared" si="7"/>
        <v>1</v>
      </c>
      <c r="G77" s="121"/>
      <c r="H77" s="65"/>
      <c r="I77" s="62" t="s">
        <v>110</v>
      </c>
      <c r="J77" s="62" t="s">
        <v>23</v>
      </c>
    </row>
    <row r="78" spans="1:10" ht="16.5" thickBot="1" x14ac:dyDescent="0.9">
      <c r="A78" s="57" t="s">
        <v>315</v>
      </c>
      <c r="B78" s="58" t="s">
        <v>316</v>
      </c>
      <c r="C78" s="124" t="str">
        <f t="shared" si="5"/>
        <v>A.2.2 - Emergency information [Mandatory]</v>
      </c>
      <c r="D78" s="59"/>
      <c r="E78" s="59">
        <f t="shared" si="6"/>
        <v>1</v>
      </c>
      <c r="F78" s="59" t="str">
        <f t="shared" si="7"/>
        <v>1</v>
      </c>
      <c r="G78" s="59"/>
      <c r="H78" s="60"/>
      <c r="I78" s="62" t="s">
        <v>110</v>
      </c>
      <c r="J78" s="62" t="s">
        <v>111</v>
      </c>
    </row>
    <row r="79" spans="1:10" ht="48" thickBot="1" x14ac:dyDescent="0.9">
      <c r="A79" s="63" t="s">
        <v>317</v>
      </c>
      <c r="B79" s="81" t="s">
        <v>318</v>
      </c>
      <c r="C79" s="124" t="str">
        <f t="shared" si="5"/>
        <v>A.2.2.1 - Allergy and Intolerance [Mandatory]</v>
      </c>
      <c r="D79" s="62" t="s">
        <v>319</v>
      </c>
      <c r="E79" s="59">
        <f t="shared" si="6"/>
        <v>1</v>
      </c>
      <c r="F79" s="59" t="str">
        <f t="shared" si="7"/>
        <v>*</v>
      </c>
      <c r="G79" s="121"/>
      <c r="H79" s="65"/>
      <c r="I79" s="62" t="s">
        <v>117</v>
      </c>
      <c r="J79" s="62" t="s">
        <v>111</v>
      </c>
    </row>
    <row r="80" spans="1:10" ht="16.5" thickBot="1" x14ac:dyDescent="0.9">
      <c r="A80" s="63" t="s">
        <v>320</v>
      </c>
      <c r="B80" s="82" t="s">
        <v>321</v>
      </c>
      <c r="C80" s="124" t="str">
        <f t="shared" si="5"/>
        <v>A.2.2.1.1 - Allergy description [Optional]</v>
      </c>
      <c r="D80" s="62" t="s">
        <v>322</v>
      </c>
      <c r="E80" s="59">
        <f t="shared" si="6"/>
        <v>0</v>
      </c>
      <c r="F80" s="59" t="str">
        <f t="shared" si="7"/>
        <v>1</v>
      </c>
      <c r="G80" s="121"/>
      <c r="H80" s="65"/>
      <c r="I80" s="62" t="s">
        <v>142</v>
      </c>
      <c r="J80" s="62" t="s">
        <v>139</v>
      </c>
    </row>
    <row r="81" spans="1:10" ht="16.5" customHeight="1" thickBot="1" x14ac:dyDescent="0.9">
      <c r="A81" s="70" t="s">
        <v>323</v>
      </c>
      <c r="B81" s="83" t="s">
        <v>324</v>
      </c>
      <c r="C81" s="124" t="str">
        <f t="shared" si="5"/>
        <v>A.2.2.1.2 - Agent or Allergen [Mandatory]</v>
      </c>
      <c r="D81" s="70" t="s">
        <v>325</v>
      </c>
      <c r="E81" s="59">
        <f t="shared" si="6"/>
        <v>1</v>
      </c>
      <c r="F81" s="59" t="str">
        <f t="shared" si="7"/>
        <v>1</v>
      </c>
      <c r="G81" s="130"/>
      <c r="H81" s="72" t="s">
        <v>1064</v>
      </c>
      <c r="I81" s="70" t="s">
        <v>110</v>
      </c>
      <c r="J81" s="70" t="s">
        <v>111</v>
      </c>
    </row>
    <row r="82" spans="1:10" ht="48" thickBot="1" x14ac:dyDescent="0.9">
      <c r="A82" s="63" t="s">
        <v>328</v>
      </c>
      <c r="B82" s="82" t="s">
        <v>329</v>
      </c>
      <c r="C82" s="124" t="str">
        <f t="shared" si="5"/>
        <v>A.2.2.1.3 - Type of propensity [Required]</v>
      </c>
      <c r="D82" s="62" t="s">
        <v>330</v>
      </c>
      <c r="E82" s="59">
        <f t="shared" si="6"/>
        <v>0</v>
      </c>
      <c r="F82" s="59" t="str">
        <f t="shared" si="7"/>
        <v>1</v>
      </c>
      <c r="G82" s="121"/>
      <c r="H82" s="62" t="s">
        <v>331</v>
      </c>
      <c r="I82" s="62" t="s">
        <v>142</v>
      </c>
      <c r="J82" s="62" t="s">
        <v>23</v>
      </c>
    </row>
    <row r="83" spans="1:10" ht="63.75" thickBot="1" x14ac:dyDescent="0.9">
      <c r="A83" s="63" t="s">
        <v>332</v>
      </c>
      <c r="B83" s="82" t="s">
        <v>333</v>
      </c>
      <c r="C83" s="124" t="str">
        <f t="shared" si="5"/>
        <v>A.2.2.1.4 - Allergy manifestation [Required]</v>
      </c>
      <c r="D83" s="62" t="s">
        <v>334</v>
      </c>
      <c r="E83" s="59">
        <f t="shared" si="6"/>
        <v>0</v>
      </c>
      <c r="F83" s="59" t="str">
        <f t="shared" si="7"/>
        <v>*</v>
      </c>
      <c r="G83" s="121"/>
      <c r="H83" s="62" t="s">
        <v>326</v>
      </c>
      <c r="I83" s="62" t="s">
        <v>131</v>
      </c>
      <c r="J83" s="62" t="s">
        <v>23</v>
      </c>
    </row>
    <row r="84" spans="1:10" ht="32.25" thickBot="1" x14ac:dyDescent="0.9">
      <c r="A84" s="63" t="s">
        <v>335</v>
      </c>
      <c r="B84" s="67" t="s">
        <v>336</v>
      </c>
      <c r="C84" s="124" t="str">
        <f t="shared" si="5"/>
        <v>A.2.2.1.5 - Criticality [Required]</v>
      </c>
      <c r="D84" s="62" t="s">
        <v>337</v>
      </c>
      <c r="E84" s="59">
        <f t="shared" si="6"/>
        <v>0</v>
      </c>
      <c r="F84" s="59" t="str">
        <f t="shared" si="7"/>
        <v>1</v>
      </c>
      <c r="G84" s="121"/>
      <c r="H84" s="62" t="s">
        <v>326</v>
      </c>
      <c r="I84" s="62" t="s">
        <v>142</v>
      </c>
      <c r="J84" s="62" t="s">
        <v>23</v>
      </c>
    </row>
    <row r="85" spans="1:10" ht="48" thickBot="1" x14ac:dyDescent="0.9">
      <c r="A85" s="63" t="s">
        <v>338</v>
      </c>
      <c r="B85" s="68" t="s">
        <v>339</v>
      </c>
      <c r="C85" s="124" t="str">
        <f t="shared" si="5"/>
        <v>A.2.2.1.6 - Onset date [Required]</v>
      </c>
      <c r="D85" s="62" t="s">
        <v>340</v>
      </c>
      <c r="E85" s="59">
        <f t="shared" si="6"/>
        <v>0</v>
      </c>
      <c r="F85" s="59" t="str">
        <f t="shared" si="7"/>
        <v>1</v>
      </c>
      <c r="G85" s="121"/>
      <c r="H85" s="66" t="s">
        <v>341</v>
      </c>
      <c r="I85" s="62" t="s">
        <v>142</v>
      </c>
      <c r="J85" s="62" t="s">
        <v>23</v>
      </c>
    </row>
    <row r="86" spans="1:10" ht="32.25" thickBot="1" x14ac:dyDescent="0.9">
      <c r="A86" s="63" t="s">
        <v>342</v>
      </c>
      <c r="B86" s="67" t="s">
        <v>343</v>
      </c>
      <c r="C86" s="124" t="str">
        <f t="shared" si="5"/>
        <v>A.2.2.1.7 - End date [Required]</v>
      </c>
      <c r="D86" s="62" t="s">
        <v>344</v>
      </c>
      <c r="E86" s="59">
        <f t="shared" si="6"/>
        <v>0</v>
      </c>
      <c r="F86" s="59" t="str">
        <f t="shared" si="7"/>
        <v>1</v>
      </c>
      <c r="G86" s="121"/>
      <c r="H86" s="65"/>
      <c r="I86" s="62" t="s">
        <v>142</v>
      </c>
      <c r="J86" s="62" t="s">
        <v>23</v>
      </c>
    </row>
    <row r="87" spans="1:10" ht="32.25" thickBot="1" x14ac:dyDescent="0.9">
      <c r="A87" s="63" t="s">
        <v>345</v>
      </c>
      <c r="B87" s="67" t="s">
        <v>31</v>
      </c>
      <c r="C87" s="124" t="str">
        <f t="shared" si="5"/>
        <v>A.2.2.1.8 - Status [Required]</v>
      </c>
      <c r="D87" s="62" t="s">
        <v>346</v>
      </c>
      <c r="E87" s="59">
        <f t="shared" si="6"/>
        <v>0</v>
      </c>
      <c r="F87" s="59" t="str">
        <f t="shared" si="7"/>
        <v>1</v>
      </c>
      <c r="G87" s="121"/>
      <c r="H87" s="62" t="s">
        <v>347</v>
      </c>
      <c r="I87" s="62" t="s">
        <v>142</v>
      </c>
      <c r="J87" s="62" t="s">
        <v>23</v>
      </c>
    </row>
    <row r="88" spans="1:10" ht="48" thickBot="1" x14ac:dyDescent="0.9">
      <c r="A88" s="63" t="s">
        <v>348</v>
      </c>
      <c r="B88" s="82" t="s">
        <v>349</v>
      </c>
      <c r="C88" s="124" t="str">
        <f t="shared" si="5"/>
        <v>A.2.2.1.9 - Certainty [Required]</v>
      </c>
      <c r="D88" s="62" t="s">
        <v>350</v>
      </c>
      <c r="E88" s="59">
        <f t="shared" si="6"/>
        <v>0</v>
      </c>
      <c r="F88" s="59" t="str">
        <f t="shared" si="7"/>
        <v>1</v>
      </c>
      <c r="G88" s="121"/>
      <c r="H88" s="64" t="s">
        <v>326</v>
      </c>
      <c r="I88" s="62" t="s">
        <v>142</v>
      </c>
      <c r="J88" s="62" t="s">
        <v>23</v>
      </c>
    </row>
    <row r="89" spans="1:10" ht="16.5" thickBot="1" x14ac:dyDescent="0.9">
      <c r="A89" s="63" t="s">
        <v>351</v>
      </c>
      <c r="B89" s="67" t="s">
        <v>352</v>
      </c>
      <c r="C89" s="124" t="str">
        <f t="shared" si="5"/>
        <v>A.2.2.1.10 - Last Manifestation [Optional]</v>
      </c>
      <c r="D89" s="62" t="s">
        <v>353</v>
      </c>
      <c r="E89" s="59">
        <f t="shared" si="6"/>
        <v>0</v>
      </c>
      <c r="F89" s="59" t="str">
        <f t="shared" si="7"/>
        <v>1</v>
      </c>
      <c r="G89" s="121"/>
      <c r="H89" s="65"/>
      <c r="I89" s="62" t="s">
        <v>142</v>
      </c>
      <c r="J89" s="62" t="s">
        <v>139</v>
      </c>
    </row>
    <row r="90" spans="1:10" ht="16.5" thickBot="1" x14ac:dyDescent="0.9">
      <c r="A90" s="57" t="s">
        <v>354</v>
      </c>
      <c r="B90" s="58" t="s">
        <v>355</v>
      </c>
      <c r="C90" s="124" t="str">
        <f t="shared" si="5"/>
        <v>A.2.2.2 - Medical alerts [Required]</v>
      </c>
      <c r="D90" s="59"/>
      <c r="E90" s="59">
        <f t="shared" si="6"/>
        <v>0</v>
      </c>
      <c r="F90" s="59" t="str">
        <f t="shared" si="7"/>
        <v>*</v>
      </c>
      <c r="G90" s="59"/>
      <c r="H90" s="60"/>
      <c r="I90" s="62" t="s">
        <v>131</v>
      </c>
      <c r="J90" s="62" t="s">
        <v>23</v>
      </c>
    </row>
    <row r="91" spans="1:10" ht="111" thickBot="1" x14ac:dyDescent="0.9">
      <c r="A91" s="70" t="s">
        <v>356</v>
      </c>
      <c r="B91" s="77" t="s">
        <v>357</v>
      </c>
      <c r="C91" s="124" t="str">
        <f t="shared" si="5"/>
        <v>A.2.2.2.1 - Alert name [Required]</v>
      </c>
      <c r="D91" s="72" t="s">
        <v>1065</v>
      </c>
      <c r="E91" s="59">
        <f t="shared" si="6"/>
        <v>0</v>
      </c>
      <c r="F91" s="59" t="str">
        <f t="shared" si="7"/>
        <v>1</v>
      </c>
      <c r="G91" s="130"/>
      <c r="H91" s="72" t="s">
        <v>1066</v>
      </c>
      <c r="I91" s="70" t="s">
        <v>142</v>
      </c>
      <c r="J91" s="70" t="s">
        <v>23</v>
      </c>
    </row>
    <row r="92" spans="1:10" ht="48" customHeight="1" thickBot="1" x14ac:dyDescent="0.9">
      <c r="A92" s="70" t="s">
        <v>360</v>
      </c>
      <c r="B92" s="77" t="s">
        <v>361</v>
      </c>
      <c r="C92" s="124" t="str">
        <f t="shared" si="5"/>
        <v>A.2.2.2.3 - Condition [Required]</v>
      </c>
      <c r="D92" s="70" t="s">
        <v>362</v>
      </c>
      <c r="E92" s="59">
        <f t="shared" si="6"/>
        <v>0</v>
      </c>
      <c r="F92" s="59" t="str">
        <f t="shared" si="7"/>
        <v>*</v>
      </c>
      <c r="G92" s="130"/>
      <c r="H92" s="72" t="s">
        <v>1067</v>
      </c>
      <c r="I92" s="70" t="s">
        <v>131</v>
      </c>
      <c r="J92" s="70" t="s">
        <v>23</v>
      </c>
    </row>
    <row r="93" spans="1:10" ht="32.25" thickBot="1" x14ac:dyDescent="0.9">
      <c r="A93" s="63" t="s">
        <v>365</v>
      </c>
      <c r="B93" s="67" t="s">
        <v>366</v>
      </c>
      <c r="C93" s="124" t="str">
        <f t="shared" si="5"/>
        <v>A.2.2.2.4 - Specialist contact [Required]</v>
      </c>
      <c r="D93" s="62" t="s">
        <v>367</v>
      </c>
      <c r="E93" s="59">
        <f t="shared" si="6"/>
        <v>0</v>
      </c>
      <c r="F93" s="59" t="str">
        <f t="shared" si="7"/>
        <v>*</v>
      </c>
      <c r="G93" s="121"/>
      <c r="H93" s="65"/>
      <c r="I93" s="62" t="s">
        <v>131</v>
      </c>
      <c r="J93" s="62" t="s">
        <v>23</v>
      </c>
    </row>
    <row r="94" spans="1:10" ht="32.25" thickBot="1" x14ac:dyDescent="0.9">
      <c r="A94" s="63" t="s">
        <v>368</v>
      </c>
      <c r="B94" s="67" t="s">
        <v>95</v>
      </c>
      <c r="C94" s="124" t="str">
        <f t="shared" si="5"/>
        <v>A.2.2.2.5 - Comment [Optional]</v>
      </c>
      <c r="D94" s="62" t="s">
        <v>369</v>
      </c>
      <c r="E94" s="59">
        <f t="shared" si="6"/>
        <v>0</v>
      </c>
      <c r="F94" s="59" t="str">
        <f t="shared" si="7"/>
        <v>1</v>
      </c>
      <c r="G94" s="121"/>
      <c r="H94" s="65"/>
      <c r="I94" s="62" t="s">
        <v>142</v>
      </c>
      <c r="J94" s="62" t="s">
        <v>139</v>
      </c>
    </row>
    <row r="95" spans="1:10" ht="16.5" thickBot="1" x14ac:dyDescent="0.9">
      <c r="A95" s="63" t="s">
        <v>370</v>
      </c>
      <c r="B95" s="67" t="s">
        <v>371</v>
      </c>
      <c r="C95" s="124" t="str">
        <f t="shared" si="5"/>
        <v>A.2.2.2.6 - Level [Required]</v>
      </c>
      <c r="D95" s="62" t="s">
        <v>372</v>
      </c>
      <c r="E95" s="59">
        <f t="shared" si="6"/>
        <v>0</v>
      </c>
      <c r="F95" s="59" t="str">
        <f t="shared" si="7"/>
        <v>1</v>
      </c>
      <c r="G95" s="121"/>
      <c r="H95" s="62" t="s">
        <v>326</v>
      </c>
      <c r="I95" s="62" t="s">
        <v>142</v>
      </c>
      <c r="J95" s="62" t="s">
        <v>23</v>
      </c>
    </row>
    <row r="96" spans="1:10" ht="32.25" thickBot="1" x14ac:dyDescent="0.9">
      <c r="A96" s="63" t="s">
        <v>373</v>
      </c>
      <c r="B96" s="67" t="s">
        <v>374</v>
      </c>
      <c r="C96" s="124" t="str">
        <f t="shared" si="5"/>
        <v>A.2.2.2.7 - Period [Required]</v>
      </c>
      <c r="D96" s="62" t="s">
        <v>375</v>
      </c>
      <c r="E96" s="59">
        <f t="shared" si="6"/>
        <v>0</v>
      </c>
      <c r="F96" s="59" t="str">
        <f t="shared" si="7"/>
        <v>1</v>
      </c>
      <c r="G96" s="121"/>
      <c r="H96" s="65"/>
      <c r="I96" s="62" t="s">
        <v>142</v>
      </c>
      <c r="J96" s="62" t="s">
        <v>23</v>
      </c>
    </row>
    <row r="97" spans="1:10" ht="16.5" thickBot="1" x14ac:dyDescent="0.9">
      <c r="A97" s="57" t="s">
        <v>1095</v>
      </c>
      <c r="B97" s="58" t="s">
        <v>377</v>
      </c>
      <c r="C97" s="124" t="str">
        <f t="shared" si="5"/>
        <v>A.2.3 - Encounter [Mandatory]</v>
      </c>
      <c r="D97" s="59"/>
      <c r="E97" s="59">
        <f t="shared" si="6"/>
        <v>1</v>
      </c>
      <c r="F97" s="59" t="str">
        <f t="shared" si="7"/>
        <v>1</v>
      </c>
      <c r="G97" s="59"/>
      <c r="H97" s="60"/>
      <c r="I97" s="62" t="s">
        <v>110</v>
      </c>
      <c r="J97" s="62" t="s">
        <v>111</v>
      </c>
    </row>
    <row r="98" spans="1:10" ht="16.5" thickBot="1" x14ac:dyDescent="0.9">
      <c r="A98" s="63" t="s">
        <v>378</v>
      </c>
      <c r="B98" s="67" t="s">
        <v>379</v>
      </c>
      <c r="C98" s="124" t="str">
        <f t="shared" si="5"/>
        <v>A.2.3.1 - Encounter type [Mandatory]</v>
      </c>
      <c r="D98" s="62" t="s">
        <v>380</v>
      </c>
      <c r="E98" s="59">
        <f t="shared" si="6"/>
        <v>1</v>
      </c>
      <c r="F98" s="59" t="str">
        <f t="shared" si="7"/>
        <v>1</v>
      </c>
      <c r="G98" s="121"/>
      <c r="H98" s="66" t="s">
        <v>381</v>
      </c>
      <c r="I98" s="62" t="s">
        <v>110</v>
      </c>
      <c r="J98" s="62" t="s">
        <v>111</v>
      </c>
    </row>
    <row r="99" spans="1:10" ht="16.5" thickBot="1" x14ac:dyDescent="0.9">
      <c r="A99" s="63" t="s">
        <v>382</v>
      </c>
      <c r="B99" s="67" t="s">
        <v>383</v>
      </c>
      <c r="C99" s="124" t="str">
        <f t="shared" si="5"/>
        <v>A.2.3.2 - Encounter note [Optional]</v>
      </c>
      <c r="D99" s="62" t="s">
        <v>384</v>
      </c>
      <c r="E99" s="59">
        <f t="shared" si="6"/>
        <v>0</v>
      </c>
      <c r="F99" s="59" t="str">
        <f t="shared" si="7"/>
        <v>1</v>
      </c>
      <c r="G99" s="121"/>
      <c r="H99" s="65"/>
      <c r="I99" s="62" t="s">
        <v>142</v>
      </c>
      <c r="J99" s="62" t="s">
        <v>139</v>
      </c>
    </row>
    <row r="100" spans="1:10" ht="16.5" thickBot="1" x14ac:dyDescent="0.9">
      <c r="A100" s="57" t="s">
        <v>385</v>
      </c>
      <c r="B100" s="58" t="s">
        <v>386</v>
      </c>
      <c r="C100" s="124" t="str">
        <f t="shared" si="5"/>
        <v>A.2.3.3 - Admission [Mandatory]</v>
      </c>
      <c r="D100" s="59"/>
      <c r="E100" s="59">
        <f t="shared" si="6"/>
        <v>1</v>
      </c>
      <c r="F100" s="59" t="str">
        <f t="shared" si="7"/>
        <v>1</v>
      </c>
      <c r="G100" s="59"/>
      <c r="H100" s="60"/>
      <c r="I100" s="62" t="s">
        <v>110</v>
      </c>
      <c r="J100" s="62" t="s">
        <v>111</v>
      </c>
    </row>
    <row r="101" spans="1:10" ht="30.25" thickBot="1" x14ac:dyDescent="0.9">
      <c r="A101" s="63" t="s">
        <v>387</v>
      </c>
      <c r="B101" s="85" t="s">
        <v>388</v>
      </c>
      <c r="C101" s="124" t="str">
        <f t="shared" si="5"/>
        <v>A.2.3.3.1 - Admission urgency [Required]</v>
      </c>
      <c r="D101" s="62" t="s">
        <v>389</v>
      </c>
      <c r="E101" s="59">
        <f t="shared" si="6"/>
        <v>0</v>
      </c>
      <c r="F101" s="59" t="str">
        <f t="shared" si="7"/>
        <v>1</v>
      </c>
      <c r="G101" s="121"/>
      <c r="H101" s="66" t="s">
        <v>390</v>
      </c>
      <c r="I101" s="62" t="s">
        <v>142</v>
      </c>
      <c r="J101" s="62" t="s">
        <v>23</v>
      </c>
    </row>
    <row r="102" spans="1:10" ht="16.5" thickBot="1" x14ac:dyDescent="0.9">
      <c r="A102" s="63" t="s">
        <v>391</v>
      </c>
      <c r="B102" s="85" t="s">
        <v>392</v>
      </c>
      <c r="C102" s="124" t="str">
        <f t="shared" si="5"/>
        <v>A.2.3.3.2 - Admission date [Mandatory]</v>
      </c>
      <c r="D102" s="62" t="s">
        <v>393</v>
      </c>
      <c r="E102" s="59">
        <f t="shared" si="6"/>
        <v>1</v>
      </c>
      <c r="F102" s="59" t="str">
        <f t="shared" si="7"/>
        <v>1</v>
      </c>
      <c r="G102" s="121"/>
      <c r="H102" s="65"/>
      <c r="I102" s="62" t="s">
        <v>110</v>
      </c>
      <c r="J102" s="62" t="s">
        <v>111</v>
      </c>
    </row>
    <row r="103" spans="1:10" ht="63.75" thickBot="1" x14ac:dyDescent="0.9">
      <c r="A103" s="63" t="s">
        <v>394</v>
      </c>
      <c r="B103" s="69" t="s">
        <v>395</v>
      </c>
      <c r="C103" s="124" t="str">
        <f t="shared" si="5"/>
        <v>A.2.3.3.3 - Admitting professional Id [Required]</v>
      </c>
      <c r="D103" s="62" t="s">
        <v>219</v>
      </c>
      <c r="E103" s="59">
        <f t="shared" si="6"/>
        <v>0</v>
      </c>
      <c r="F103" s="59" t="str">
        <f t="shared" si="7"/>
        <v>1</v>
      </c>
      <c r="G103" s="121"/>
      <c r="H103" s="65"/>
      <c r="I103" s="62" t="s">
        <v>142</v>
      </c>
      <c r="J103" s="62" t="s">
        <v>23</v>
      </c>
    </row>
    <row r="104" spans="1:10" ht="16.5" thickBot="1" x14ac:dyDescent="0.9">
      <c r="A104" s="63" t="s">
        <v>396</v>
      </c>
      <c r="B104" s="69" t="s">
        <v>397</v>
      </c>
      <c r="C104" s="124" t="str">
        <f t="shared" si="5"/>
        <v>A.2.3.3.4 - Admitting professional name [Required]</v>
      </c>
      <c r="D104" s="62" t="s">
        <v>208</v>
      </c>
      <c r="E104" s="59">
        <f t="shared" si="6"/>
        <v>0</v>
      </c>
      <c r="F104" s="59" t="str">
        <f t="shared" si="7"/>
        <v>1</v>
      </c>
      <c r="G104" s="121"/>
      <c r="H104" s="65"/>
      <c r="I104" s="62" t="s">
        <v>142</v>
      </c>
      <c r="J104" s="62" t="s">
        <v>23</v>
      </c>
    </row>
    <row r="105" spans="1:10" ht="30.25" thickBot="1" x14ac:dyDescent="0.9">
      <c r="A105" s="63" t="s">
        <v>398</v>
      </c>
      <c r="B105" s="69" t="s">
        <v>399</v>
      </c>
      <c r="C105" s="124" t="str">
        <f t="shared" si="5"/>
        <v>A.2.3.3.5 - Admit Source [Required]</v>
      </c>
      <c r="D105" s="62" t="s">
        <v>400</v>
      </c>
      <c r="E105" s="59">
        <f t="shared" si="6"/>
        <v>0</v>
      </c>
      <c r="F105" s="59" t="str">
        <f t="shared" si="7"/>
        <v>1</v>
      </c>
      <c r="G105" s="121"/>
      <c r="H105" s="66" t="s">
        <v>401</v>
      </c>
      <c r="I105" s="62" t="s">
        <v>142</v>
      </c>
      <c r="J105" s="62" t="s">
        <v>23</v>
      </c>
    </row>
    <row r="106" spans="1:10" ht="63.75" thickBot="1" x14ac:dyDescent="0.9">
      <c r="A106" s="63" t="s">
        <v>402</v>
      </c>
      <c r="B106" s="69" t="s">
        <v>403</v>
      </c>
      <c r="C106" s="124" t="str">
        <f t="shared" si="5"/>
        <v>A.2.3.3.6 - Referring professional Id [Required]</v>
      </c>
      <c r="D106" s="62" t="s">
        <v>219</v>
      </c>
      <c r="E106" s="59">
        <f t="shared" si="6"/>
        <v>0</v>
      </c>
      <c r="F106" s="59" t="str">
        <f t="shared" si="7"/>
        <v>1</v>
      </c>
      <c r="G106" s="121"/>
      <c r="H106" s="65"/>
      <c r="I106" s="62" t="s">
        <v>142</v>
      </c>
      <c r="J106" s="62" t="s">
        <v>23</v>
      </c>
    </row>
    <row r="107" spans="1:10" ht="16.5" thickBot="1" x14ac:dyDescent="0.9">
      <c r="A107" s="63" t="s">
        <v>404</v>
      </c>
      <c r="B107" s="69" t="s">
        <v>405</v>
      </c>
      <c r="C107" s="124" t="str">
        <f t="shared" si="5"/>
        <v>A.2.3.3.7 - Referring professional name [Required]</v>
      </c>
      <c r="D107" s="62" t="s">
        <v>208</v>
      </c>
      <c r="E107" s="59">
        <f t="shared" si="6"/>
        <v>0</v>
      </c>
      <c r="F107" s="59" t="str">
        <f t="shared" si="7"/>
        <v>1</v>
      </c>
      <c r="G107" s="121"/>
      <c r="H107" s="65"/>
      <c r="I107" s="62" t="s">
        <v>142</v>
      </c>
      <c r="J107" s="62" t="s">
        <v>23</v>
      </c>
    </row>
    <row r="108" spans="1:10" ht="16.5" thickBot="1" x14ac:dyDescent="0.9">
      <c r="A108" s="63" t="s">
        <v>406</v>
      </c>
      <c r="B108" s="69" t="s">
        <v>407</v>
      </c>
      <c r="C108" s="124" t="str">
        <f t="shared" si="5"/>
        <v>A.2.3.3.8 - Referring organization [Required]</v>
      </c>
      <c r="D108" s="62" t="s">
        <v>214</v>
      </c>
      <c r="E108" s="59">
        <f t="shared" si="6"/>
        <v>0</v>
      </c>
      <c r="F108" s="59" t="str">
        <f t="shared" si="7"/>
        <v>1</v>
      </c>
      <c r="G108" s="121"/>
      <c r="H108" s="65"/>
      <c r="I108" s="62" t="s">
        <v>142</v>
      </c>
      <c r="J108" s="62" t="s">
        <v>23</v>
      </c>
    </row>
    <row r="109" spans="1:10" ht="16.5" thickBot="1" x14ac:dyDescent="0.9">
      <c r="A109" s="57" t="s">
        <v>408</v>
      </c>
      <c r="B109" s="58" t="s">
        <v>409</v>
      </c>
      <c r="C109" s="124" t="str">
        <f t="shared" si="5"/>
        <v>A.2.3.4 - Admission reason [Mandatory]</v>
      </c>
      <c r="D109" s="59"/>
      <c r="E109" s="59">
        <f t="shared" si="6"/>
        <v>1</v>
      </c>
      <c r="F109" s="59" t="str">
        <f t="shared" si="7"/>
        <v>1</v>
      </c>
      <c r="G109" s="59"/>
      <c r="H109" s="60"/>
      <c r="I109" s="62" t="s">
        <v>110</v>
      </c>
      <c r="J109" s="62" t="s">
        <v>111</v>
      </c>
    </row>
    <row r="110" spans="1:10" ht="48" thickBot="1" x14ac:dyDescent="0.9">
      <c r="A110" s="70" t="s">
        <v>410</v>
      </c>
      <c r="B110" s="77" t="s">
        <v>409</v>
      </c>
      <c r="C110" s="124" t="str">
        <f t="shared" si="5"/>
        <v>A.2.3.4.1 - Admission reason [Required]</v>
      </c>
      <c r="D110" s="70" t="s">
        <v>411</v>
      </c>
      <c r="E110" s="59">
        <f t="shared" si="6"/>
        <v>0</v>
      </c>
      <c r="F110" s="59" t="str">
        <f t="shared" si="7"/>
        <v>*</v>
      </c>
      <c r="G110" s="130"/>
      <c r="H110" s="72" t="s">
        <v>1067</v>
      </c>
      <c r="I110" s="70" t="s">
        <v>131</v>
      </c>
      <c r="J110" s="70" t="s">
        <v>23</v>
      </c>
    </row>
    <row r="111" spans="1:10" ht="16.5" thickBot="1" x14ac:dyDescent="0.9">
      <c r="A111" s="63" t="s">
        <v>412</v>
      </c>
      <c r="B111" s="67" t="s">
        <v>413</v>
      </c>
      <c r="C111" s="124" t="str">
        <f t="shared" si="5"/>
        <v>A.2.3.4.2 - Admission reason comment [Optional]</v>
      </c>
      <c r="D111" s="62" t="s">
        <v>414</v>
      </c>
      <c r="E111" s="59">
        <f t="shared" si="6"/>
        <v>0</v>
      </c>
      <c r="F111" s="59" t="str">
        <f t="shared" si="7"/>
        <v>1</v>
      </c>
      <c r="G111" s="121"/>
      <c r="H111" s="65"/>
      <c r="I111" s="62" t="s">
        <v>142</v>
      </c>
      <c r="J111" s="62" t="s">
        <v>139</v>
      </c>
    </row>
    <row r="112" spans="1:10" ht="95.25" thickBot="1" x14ac:dyDescent="0.9">
      <c r="A112" s="63" t="s">
        <v>415</v>
      </c>
      <c r="B112" s="85" t="s">
        <v>416</v>
      </c>
      <c r="C112" s="124" t="str">
        <f t="shared" si="5"/>
        <v>A.2.3.4.3 - Admission legal status [Required]</v>
      </c>
      <c r="D112" s="62" t="s">
        <v>417</v>
      </c>
      <c r="E112" s="59">
        <f t="shared" si="6"/>
        <v>0</v>
      </c>
      <c r="F112" s="59" t="str">
        <f t="shared" si="7"/>
        <v>1</v>
      </c>
      <c r="G112" s="121"/>
      <c r="H112" s="62" t="s">
        <v>326</v>
      </c>
      <c r="I112" s="62" t="s">
        <v>142</v>
      </c>
      <c r="J112" s="62" t="s">
        <v>23</v>
      </c>
    </row>
    <row r="113" spans="1:10" ht="16.5" thickBot="1" x14ac:dyDescent="0.9">
      <c r="A113" s="57" t="s">
        <v>418</v>
      </c>
      <c r="B113" s="58" t="s">
        <v>419</v>
      </c>
      <c r="C113" s="124" t="str">
        <f t="shared" si="5"/>
        <v>A.2.3.5 - Discharge [Mandatory]</v>
      </c>
      <c r="D113" s="59"/>
      <c r="E113" s="59">
        <f t="shared" si="6"/>
        <v>0</v>
      </c>
      <c r="F113" s="59" t="str">
        <f t="shared" si="7"/>
        <v/>
      </c>
      <c r="G113" s="59"/>
      <c r="H113" s="60"/>
      <c r="I113" s="65"/>
      <c r="J113" s="62" t="s">
        <v>111</v>
      </c>
    </row>
    <row r="114" spans="1:10" ht="16.5" thickBot="1" x14ac:dyDescent="0.9">
      <c r="A114" s="63" t="s">
        <v>420</v>
      </c>
      <c r="B114" s="67" t="s">
        <v>421</v>
      </c>
      <c r="C114" s="124" t="str">
        <f t="shared" si="5"/>
        <v>A.2.3.5.1 - Discharge date [Mandatory]</v>
      </c>
      <c r="D114" s="62" t="s">
        <v>422</v>
      </c>
      <c r="E114" s="59">
        <f t="shared" si="6"/>
        <v>1</v>
      </c>
      <c r="F114" s="59" t="str">
        <f t="shared" si="7"/>
        <v>1</v>
      </c>
      <c r="G114" s="121"/>
      <c r="H114" s="65"/>
      <c r="I114" s="62" t="s">
        <v>110</v>
      </c>
      <c r="J114" s="62" t="s">
        <v>111</v>
      </c>
    </row>
    <row r="115" spans="1:10" ht="32.25" thickBot="1" x14ac:dyDescent="0.9">
      <c r="A115" s="63" t="s">
        <v>423</v>
      </c>
      <c r="B115" s="67" t="s">
        <v>424</v>
      </c>
      <c r="C115" s="124" t="str">
        <f t="shared" si="5"/>
        <v>A.2.3.5.2 - Discharge destination type [Required]</v>
      </c>
      <c r="D115" s="62" t="s">
        <v>425</v>
      </c>
      <c r="E115" s="59">
        <f t="shared" si="6"/>
        <v>0</v>
      </c>
      <c r="F115" s="59" t="str">
        <f t="shared" si="7"/>
        <v>1</v>
      </c>
      <c r="G115" s="121"/>
      <c r="H115" s="66" t="s">
        <v>426</v>
      </c>
      <c r="I115" s="62" t="s">
        <v>142</v>
      </c>
      <c r="J115" s="62" t="s">
        <v>23</v>
      </c>
    </row>
    <row r="116" spans="1:10" ht="32.25" thickBot="1" x14ac:dyDescent="0.9">
      <c r="A116" s="63" t="s">
        <v>427</v>
      </c>
      <c r="B116" s="67" t="s">
        <v>428</v>
      </c>
      <c r="C116" s="124" t="str">
        <f t="shared" si="5"/>
        <v>A.2.3.5.3 - Destination location [Required]</v>
      </c>
      <c r="D116" s="62" t="s">
        <v>429</v>
      </c>
      <c r="E116" s="59">
        <f t="shared" si="6"/>
        <v>0</v>
      </c>
      <c r="F116" s="59" t="str">
        <f t="shared" si="7"/>
        <v>1</v>
      </c>
      <c r="G116" s="121"/>
      <c r="H116" s="65"/>
      <c r="I116" s="62" t="s">
        <v>142</v>
      </c>
      <c r="J116" s="62" t="s">
        <v>23</v>
      </c>
    </row>
    <row r="117" spans="1:10" ht="31.75" thickBot="1" x14ac:dyDescent="0.9">
      <c r="A117" s="57" t="s">
        <v>430</v>
      </c>
      <c r="B117" s="58" t="s">
        <v>33</v>
      </c>
      <c r="C117" s="124" t="str">
        <f t="shared" si="5"/>
        <v>A.2.3.6 - Location [Required]</v>
      </c>
      <c r="D117" s="59" t="s">
        <v>1068</v>
      </c>
      <c r="E117" s="59">
        <f t="shared" si="6"/>
        <v>0</v>
      </c>
      <c r="F117" s="59" t="str">
        <f t="shared" si="7"/>
        <v>*</v>
      </c>
      <c r="G117" s="59"/>
      <c r="H117" s="60"/>
      <c r="I117" s="62" t="s">
        <v>131</v>
      </c>
      <c r="J117" s="62" t="s">
        <v>23</v>
      </c>
    </row>
    <row r="118" spans="1:10" ht="16.5" thickBot="1" x14ac:dyDescent="0.9">
      <c r="A118" s="63" t="s">
        <v>432</v>
      </c>
      <c r="B118" s="67" t="s">
        <v>374</v>
      </c>
      <c r="C118" s="124" t="str">
        <f t="shared" si="5"/>
        <v>A.2.3.6.1 - Period [Mandatory]</v>
      </c>
      <c r="D118" s="62" t="s">
        <v>433</v>
      </c>
      <c r="E118" s="59">
        <f t="shared" si="6"/>
        <v>1</v>
      </c>
      <c r="F118" s="59" t="str">
        <f t="shared" si="7"/>
        <v>1</v>
      </c>
      <c r="G118" s="121"/>
      <c r="H118" s="65"/>
      <c r="I118" s="62" t="s">
        <v>110</v>
      </c>
      <c r="J118" s="62" t="s">
        <v>111</v>
      </c>
    </row>
    <row r="119" spans="1:10" ht="16.5" thickBot="1" x14ac:dyDescent="0.9">
      <c r="A119" s="63" t="s">
        <v>434</v>
      </c>
      <c r="B119" s="67" t="s">
        <v>435</v>
      </c>
      <c r="C119" s="124" t="str">
        <f t="shared" si="5"/>
        <v>A.2.3.6.2 - Organization Id [Required]</v>
      </c>
      <c r="D119" s="62" t="s">
        <v>436</v>
      </c>
      <c r="E119" s="59">
        <f t="shared" si="6"/>
        <v>0</v>
      </c>
      <c r="F119" s="59" t="str">
        <f t="shared" si="7"/>
        <v>1</v>
      </c>
      <c r="G119" s="121"/>
      <c r="H119" s="65"/>
      <c r="I119" s="62" t="s">
        <v>142</v>
      </c>
      <c r="J119" s="62" t="s">
        <v>23</v>
      </c>
    </row>
    <row r="120" spans="1:10" ht="16.5" thickBot="1" x14ac:dyDescent="0.9">
      <c r="A120" s="63" t="s">
        <v>437</v>
      </c>
      <c r="B120" s="67" t="s">
        <v>438</v>
      </c>
      <c r="C120" s="124" t="str">
        <f t="shared" si="5"/>
        <v>A.2.3.6.3 - Organization Part Name [Mandatory]</v>
      </c>
      <c r="D120" s="62" t="s">
        <v>439</v>
      </c>
      <c r="E120" s="59">
        <f t="shared" si="6"/>
        <v>1</v>
      </c>
      <c r="F120" s="59" t="str">
        <f t="shared" si="7"/>
        <v>1</v>
      </c>
      <c r="G120" s="121"/>
      <c r="H120" s="65"/>
      <c r="I120" s="62" t="s">
        <v>110</v>
      </c>
      <c r="J120" s="62" t="s">
        <v>111</v>
      </c>
    </row>
    <row r="121" spans="1:10" ht="32.25" thickBot="1" x14ac:dyDescent="0.9">
      <c r="A121" s="63" t="s">
        <v>440</v>
      </c>
      <c r="B121" s="67" t="s">
        <v>441</v>
      </c>
      <c r="C121" s="124" t="str">
        <f t="shared" si="5"/>
        <v>A.2.3.6.4 - Organization Part Details [Required]</v>
      </c>
      <c r="D121" s="62" t="s">
        <v>442</v>
      </c>
      <c r="E121" s="59">
        <f t="shared" si="6"/>
        <v>1</v>
      </c>
      <c r="F121" s="59" t="str">
        <f t="shared" si="7"/>
        <v>*</v>
      </c>
      <c r="G121" s="121"/>
      <c r="H121" s="65"/>
      <c r="I121" s="62" t="s">
        <v>117</v>
      </c>
      <c r="J121" s="62" t="s">
        <v>23</v>
      </c>
    </row>
    <row r="122" spans="1:10" ht="32.25" thickBot="1" x14ac:dyDescent="0.9">
      <c r="A122" s="57" t="s">
        <v>443</v>
      </c>
      <c r="B122" s="58" t="s">
        <v>444</v>
      </c>
      <c r="C122" s="124" t="str">
        <f t="shared" si="5"/>
        <v>A.2.4 - Admission evaluation - Admission status should be reported exceptionally only if it is relevant to ensure continuity of care. [Optional]</v>
      </c>
      <c r="D122" s="59"/>
      <c r="E122" s="59">
        <f t="shared" si="6"/>
        <v>0</v>
      </c>
      <c r="F122" s="59" t="str">
        <f t="shared" si="7"/>
        <v>1</v>
      </c>
      <c r="G122" s="59"/>
      <c r="H122" s="60"/>
      <c r="I122" s="62" t="s">
        <v>142</v>
      </c>
      <c r="J122" s="62" t="s">
        <v>139</v>
      </c>
    </row>
    <row r="123" spans="1:10" ht="16.5" thickBot="1" x14ac:dyDescent="0.9">
      <c r="A123" s="86" t="s">
        <v>445</v>
      </c>
      <c r="B123" s="87" t="s">
        <v>446</v>
      </c>
      <c r="C123" s="124" t="str">
        <f t="shared" si="5"/>
        <v>A.2.4.1 - Objective findings [Optional]</v>
      </c>
      <c r="D123" s="88"/>
      <c r="E123" s="59">
        <f t="shared" si="6"/>
        <v>0</v>
      </c>
      <c r="F123" s="59" t="str">
        <f t="shared" si="7"/>
        <v>1</v>
      </c>
      <c r="G123" s="59"/>
      <c r="H123" s="89"/>
      <c r="I123" s="62" t="s">
        <v>142</v>
      </c>
      <c r="J123" s="62" t="s">
        <v>139</v>
      </c>
    </row>
    <row r="124" spans="1:10" ht="16.5" thickBot="1" x14ac:dyDescent="0.9">
      <c r="A124" s="63" t="s">
        <v>447</v>
      </c>
      <c r="B124" s="67" t="s">
        <v>299</v>
      </c>
      <c r="C124" s="124" t="str">
        <f t="shared" si="5"/>
        <v>A.2.4.1.1 - Date and time [Optional]</v>
      </c>
      <c r="D124" s="62" t="s">
        <v>448</v>
      </c>
      <c r="E124" s="59">
        <f t="shared" si="6"/>
        <v>0</v>
      </c>
      <c r="F124" s="59" t="str">
        <f t="shared" si="7"/>
        <v>1</v>
      </c>
      <c r="G124" s="121"/>
      <c r="H124" s="65"/>
      <c r="I124" s="62" t="s">
        <v>142</v>
      </c>
      <c r="J124" s="62" t="s">
        <v>139</v>
      </c>
    </row>
    <row r="125" spans="1:10" ht="48" thickBot="1" x14ac:dyDescent="0.9">
      <c r="A125" s="63" t="s">
        <v>449</v>
      </c>
      <c r="B125" s="67" t="s">
        <v>450</v>
      </c>
      <c r="C125" s="124" t="str">
        <f t="shared" si="5"/>
        <v>A.2.4.1.2 - Performer [Optional]</v>
      </c>
      <c r="D125" s="62" t="s">
        <v>451</v>
      </c>
      <c r="E125" s="59">
        <f t="shared" si="6"/>
        <v>0</v>
      </c>
      <c r="F125" s="59" t="str">
        <f t="shared" si="7"/>
        <v>*</v>
      </c>
      <c r="G125" s="121"/>
      <c r="H125" s="65"/>
      <c r="I125" s="62" t="s">
        <v>131</v>
      </c>
      <c r="J125" s="62" t="s">
        <v>139</v>
      </c>
    </row>
    <row r="126" spans="1:10" ht="16.5" customHeight="1" thickBot="1" x14ac:dyDescent="0.9">
      <c r="A126" s="90" t="s">
        <v>452</v>
      </c>
      <c r="B126" s="91" t="s">
        <v>453</v>
      </c>
      <c r="C126" s="124" t="str">
        <f t="shared" si="5"/>
        <v>A.2.4.1.3 - Anthropometric obsevations [Optional]</v>
      </c>
      <c r="D126" s="92" t="s">
        <v>1069</v>
      </c>
      <c r="E126" s="59">
        <f t="shared" si="6"/>
        <v>0</v>
      </c>
      <c r="F126" s="59" t="str">
        <f t="shared" si="7"/>
        <v>*</v>
      </c>
      <c r="G126" s="99"/>
      <c r="H126" s="93"/>
      <c r="I126" s="70" t="s">
        <v>131</v>
      </c>
      <c r="J126" s="70" t="s">
        <v>139</v>
      </c>
    </row>
    <row r="127" spans="1:10" ht="16.5" thickBot="1" x14ac:dyDescent="0.9">
      <c r="A127" s="63" t="s">
        <v>456</v>
      </c>
      <c r="B127" s="125" t="s">
        <v>457</v>
      </c>
      <c r="C127" s="124" t="str">
        <f t="shared" si="5"/>
        <v>A.2.4.1.3.1 - Observation category [Required]</v>
      </c>
      <c r="D127" s="62" t="s">
        <v>458</v>
      </c>
      <c r="E127" s="59">
        <f t="shared" si="6"/>
        <v>0</v>
      </c>
      <c r="F127" s="59" t="str">
        <f t="shared" si="7"/>
        <v>1</v>
      </c>
      <c r="G127" s="121"/>
      <c r="H127" s="65"/>
      <c r="I127" s="62" t="s">
        <v>142</v>
      </c>
      <c r="J127" s="62" t="s">
        <v>23</v>
      </c>
    </row>
    <row r="128" spans="1:10" ht="158.25" thickBot="1" x14ac:dyDescent="0.9">
      <c r="A128" s="70" t="s">
        <v>459</v>
      </c>
      <c r="B128" s="77" t="s">
        <v>460</v>
      </c>
      <c r="C128" s="124" t="str">
        <f t="shared" si="5"/>
        <v>A.2.4.1.3.2 - Observation description [Mandatory]</v>
      </c>
      <c r="D128" s="70" t="s">
        <v>461</v>
      </c>
      <c r="E128" s="59">
        <f t="shared" si="6"/>
        <v>1</v>
      </c>
      <c r="F128" s="59" t="str">
        <f t="shared" si="7"/>
        <v>1</v>
      </c>
      <c r="G128" s="130"/>
      <c r="H128" s="72" t="s">
        <v>1070</v>
      </c>
      <c r="I128" s="70" t="s">
        <v>110</v>
      </c>
      <c r="J128" s="70" t="s">
        <v>111</v>
      </c>
    </row>
    <row r="129" spans="1:10" ht="16.5" customHeight="1" thickBot="1" x14ac:dyDescent="0.9">
      <c r="A129" s="70" t="s">
        <v>464</v>
      </c>
      <c r="B129" s="157" t="s">
        <v>465</v>
      </c>
      <c r="C129" s="124" t="str">
        <f t="shared" si="5"/>
        <v>A.2.4.1.3.3 - Observation result [Mandatory]</v>
      </c>
      <c r="D129" s="70" t="s">
        <v>466</v>
      </c>
      <c r="E129" s="59">
        <f t="shared" si="6"/>
        <v>1</v>
      </c>
      <c r="F129" s="59" t="str">
        <f t="shared" si="7"/>
        <v>1</v>
      </c>
      <c r="G129" s="130"/>
      <c r="H129" s="72" t="s">
        <v>326</v>
      </c>
      <c r="I129" s="70" t="s">
        <v>110</v>
      </c>
      <c r="J129" s="70" t="s">
        <v>111</v>
      </c>
    </row>
    <row r="130" spans="1:10" ht="16.5" thickBot="1" x14ac:dyDescent="0.9">
      <c r="A130" s="63"/>
      <c r="B130" s="159"/>
      <c r="C130" s="124" t="str">
        <f t="shared" si="5"/>
        <v xml:space="preserve"> -  []</v>
      </c>
      <c r="D130" s="63"/>
      <c r="E130" s="59">
        <f t="shared" si="6"/>
        <v>0</v>
      </c>
      <c r="F130" s="59" t="str">
        <f t="shared" si="7"/>
        <v/>
      </c>
      <c r="G130" s="121"/>
      <c r="H130" s="62" t="s">
        <v>467</v>
      </c>
      <c r="I130" s="63"/>
      <c r="J130" s="63"/>
    </row>
    <row r="131" spans="1:10" ht="48" thickBot="1" x14ac:dyDescent="0.9">
      <c r="A131" s="63" t="s">
        <v>468</v>
      </c>
      <c r="B131" s="67" t="s">
        <v>450</v>
      </c>
      <c r="C131" s="124" t="str">
        <f t="shared" ref="C131:C194" si="8">CONCATENATE(A131," - ",B131," [",J131,"]")</f>
        <v>A.2.4.1.3.4 - Performer [Optional]</v>
      </c>
      <c r="D131" s="62" t="s">
        <v>469</v>
      </c>
      <c r="E131" s="59">
        <f t="shared" ref="E131:E194" si="9">_xlfn.NUMBERVALUE(MID(I131,1,1))</f>
        <v>0</v>
      </c>
      <c r="F131" s="59" t="str">
        <f t="shared" ref="F131:F194" si="10">MID(I131,4,1)</f>
        <v>*</v>
      </c>
      <c r="G131" s="121"/>
      <c r="H131" s="65"/>
      <c r="I131" s="62" t="s">
        <v>131</v>
      </c>
      <c r="J131" s="62" t="s">
        <v>139</v>
      </c>
    </row>
    <row r="132" spans="1:10" ht="16.5" customHeight="1" thickBot="1" x14ac:dyDescent="0.9">
      <c r="A132" s="90" t="s">
        <v>470</v>
      </c>
      <c r="B132" s="90" t="s">
        <v>471</v>
      </c>
      <c r="C132" s="124" t="str">
        <f t="shared" si="8"/>
        <v>A.2.4.1.4 - Vital signs [Optional]</v>
      </c>
      <c r="D132" s="92" t="s">
        <v>1071</v>
      </c>
      <c r="E132" s="59">
        <f t="shared" si="9"/>
        <v>0</v>
      </c>
      <c r="F132" s="59" t="str">
        <f t="shared" si="10"/>
        <v>*</v>
      </c>
      <c r="G132" s="99"/>
      <c r="H132" s="93"/>
      <c r="I132" s="70" t="s">
        <v>131</v>
      </c>
      <c r="J132" s="70" t="s">
        <v>139</v>
      </c>
    </row>
    <row r="133" spans="1:10" ht="42.25" customHeight="1" thickBot="1" x14ac:dyDescent="0.9">
      <c r="A133" s="70" t="s">
        <v>475</v>
      </c>
      <c r="B133" s="77" t="s">
        <v>457</v>
      </c>
      <c r="C133" s="124" t="str">
        <f t="shared" si="8"/>
        <v>A.2.4.1.4.1 - Observation category [Mandatory]</v>
      </c>
      <c r="D133" s="70" t="s">
        <v>458</v>
      </c>
      <c r="E133" s="59">
        <f t="shared" si="9"/>
        <v>1</v>
      </c>
      <c r="F133" s="59" t="str">
        <f t="shared" si="10"/>
        <v>1</v>
      </c>
      <c r="G133" s="130"/>
      <c r="H133" s="126" t="s">
        <v>1072</v>
      </c>
      <c r="I133" s="70" t="s">
        <v>110</v>
      </c>
      <c r="J133" s="70" t="s">
        <v>111</v>
      </c>
    </row>
    <row r="134" spans="1:10" ht="174" thickBot="1" x14ac:dyDescent="0.9">
      <c r="A134" s="70" t="s">
        <v>478</v>
      </c>
      <c r="B134" s="77" t="s">
        <v>460</v>
      </c>
      <c r="C134" s="124" t="str">
        <f t="shared" si="8"/>
        <v>A.2.4.1.4.2 - Observation description [Mandatory]</v>
      </c>
      <c r="D134" s="70" t="s">
        <v>461</v>
      </c>
      <c r="E134" s="59">
        <f t="shared" si="9"/>
        <v>1</v>
      </c>
      <c r="F134" s="59" t="str">
        <f t="shared" si="10"/>
        <v>1</v>
      </c>
      <c r="G134" s="130"/>
      <c r="H134" s="72" t="s">
        <v>1073</v>
      </c>
      <c r="I134" s="70" t="s">
        <v>110</v>
      </c>
      <c r="J134" s="70" t="s">
        <v>111</v>
      </c>
    </row>
    <row r="135" spans="1:10" ht="79.5" thickBot="1" x14ac:dyDescent="0.9">
      <c r="A135" s="70" t="s">
        <v>480</v>
      </c>
      <c r="B135" s="77" t="s">
        <v>465</v>
      </c>
      <c r="C135" s="124" t="str">
        <f t="shared" si="8"/>
        <v>A.2.4.1.4.3 - Observation result [Required]</v>
      </c>
      <c r="D135" s="70" t="s">
        <v>466</v>
      </c>
      <c r="E135" s="59">
        <f t="shared" si="9"/>
        <v>1</v>
      </c>
      <c r="F135" s="59" t="str">
        <f t="shared" si="10"/>
        <v>1</v>
      </c>
      <c r="G135" s="121"/>
      <c r="H135" s="62" t="s">
        <v>481</v>
      </c>
      <c r="I135" s="70" t="s">
        <v>110</v>
      </c>
      <c r="J135" s="70" t="s">
        <v>23</v>
      </c>
    </row>
    <row r="136" spans="1:10" ht="48" thickBot="1" x14ac:dyDescent="0.9">
      <c r="A136" s="63" t="s">
        <v>482</v>
      </c>
      <c r="B136" s="67" t="s">
        <v>450</v>
      </c>
      <c r="C136" s="124" t="str">
        <f t="shared" si="8"/>
        <v>A.2.4.1.4.4 - Performer [Required]</v>
      </c>
      <c r="D136" s="62" t="s">
        <v>469</v>
      </c>
      <c r="E136" s="59">
        <f t="shared" si="9"/>
        <v>0</v>
      </c>
      <c r="F136" s="59" t="str">
        <f t="shared" si="10"/>
        <v>*</v>
      </c>
      <c r="G136" s="121"/>
      <c r="H136" s="65"/>
      <c r="I136" s="62" t="s">
        <v>131</v>
      </c>
      <c r="J136" s="62" t="s">
        <v>23</v>
      </c>
    </row>
    <row r="137" spans="1:10" ht="111" thickBot="1" x14ac:dyDescent="0.9">
      <c r="A137" s="57" t="s">
        <v>483</v>
      </c>
      <c r="B137" s="61" t="s">
        <v>484</v>
      </c>
      <c r="C137" s="124" t="str">
        <f t="shared" si="8"/>
        <v>A.2.4.1.5 - Physical examination [Optional]</v>
      </c>
      <c r="D137" s="62" t="s">
        <v>485</v>
      </c>
      <c r="E137" s="59">
        <f t="shared" si="9"/>
        <v>0</v>
      </c>
      <c r="F137" s="59" t="str">
        <f t="shared" si="10"/>
        <v>1</v>
      </c>
      <c r="G137" s="121"/>
      <c r="H137" s="65"/>
      <c r="I137" s="62" t="s">
        <v>142</v>
      </c>
      <c r="J137" s="62" t="s">
        <v>139</v>
      </c>
    </row>
    <row r="138" spans="1:10" ht="16.5" thickBot="1" x14ac:dyDescent="0.9">
      <c r="A138" s="63" t="s">
        <v>486</v>
      </c>
      <c r="B138" s="67" t="s">
        <v>487</v>
      </c>
      <c r="C138" s="124" t="str">
        <f t="shared" si="8"/>
        <v>A.2.4.1.5.1 - Observation Note [Required]</v>
      </c>
      <c r="D138" s="62" t="s">
        <v>488</v>
      </c>
      <c r="E138" s="59">
        <f t="shared" si="9"/>
        <v>1</v>
      </c>
      <c r="F138" s="59" t="str">
        <f t="shared" si="10"/>
        <v>1</v>
      </c>
      <c r="G138" s="121"/>
      <c r="H138" s="65"/>
      <c r="I138" s="62" t="s">
        <v>110</v>
      </c>
      <c r="J138" s="62" t="s">
        <v>23</v>
      </c>
    </row>
    <row r="139" spans="1:10" ht="48" thickBot="1" x14ac:dyDescent="0.9">
      <c r="A139" s="63" t="s">
        <v>489</v>
      </c>
      <c r="B139" s="67" t="s">
        <v>450</v>
      </c>
      <c r="C139" s="124" t="str">
        <f t="shared" si="8"/>
        <v>A.2.4.1.5.2 - Performer [Optional]</v>
      </c>
      <c r="D139" s="62" t="s">
        <v>469</v>
      </c>
      <c r="E139" s="59">
        <f t="shared" si="9"/>
        <v>0</v>
      </c>
      <c r="F139" s="59" t="str">
        <f t="shared" si="10"/>
        <v>*</v>
      </c>
      <c r="G139" s="121"/>
      <c r="H139" s="65"/>
      <c r="I139" s="62" t="s">
        <v>131</v>
      </c>
      <c r="J139" s="62" t="s">
        <v>139</v>
      </c>
    </row>
    <row r="140" spans="1:10" ht="109.25" thickBot="1" x14ac:dyDescent="0.9">
      <c r="A140" s="90" t="s">
        <v>490</v>
      </c>
      <c r="B140" s="98" t="s">
        <v>491</v>
      </c>
      <c r="C140" s="124" t="str">
        <f t="shared" si="8"/>
        <v>A.2.4.2 - Functional status [Optional]</v>
      </c>
      <c r="D140" s="99" t="s">
        <v>1074</v>
      </c>
      <c r="E140" s="59">
        <f t="shared" si="9"/>
        <v>0</v>
      </c>
      <c r="F140" s="59" t="str">
        <f t="shared" si="10"/>
        <v>1</v>
      </c>
      <c r="G140" s="99"/>
      <c r="H140" s="100"/>
      <c r="I140" s="70" t="s">
        <v>142</v>
      </c>
      <c r="J140" s="70" t="s">
        <v>139</v>
      </c>
    </row>
    <row r="141" spans="1:10" ht="16.5" thickBot="1" x14ac:dyDescent="0.9">
      <c r="A141" s="63" t="s">
        <v>494</v>
      </c>
      <c r="B141" s="62" t="s">
        <v>299</v>
      </c>
      <c r="C141" s="124" t="str">
        <f t="shared" si="8"/>
        <v>A.2.4.2.1 - Date and time [Optional]</v>
      </c>
      <c r="D141" s="62" t="s">
        <v>448</v>
      </c>
      <c r="E141" s="59">
        <f t="shared" si="9"/>
        <v>1</v>
      </c>
      <c r="F141" s="59" t="str">
        <f t="shared" si="10"/>
        <v>1</v>
      </c>
      <c r="G141" s="121"/>
      <c r="H141" s="65"/>
      <c r="I141" s="62" t="s">
        <v>110</v>
      </c>
      <c r="J141" s="62" t="s">
        <v>139</v>
      </c>
    </row>
    <row r="142" spans="1:10" ht="48" thickBot="1" x14ac:dyDescent="0.9">
      <c r="A142" s="63" t="s">
        <v>495</v>
      </c>
      <c r="B142" s="67" t="s">
        <v>450</v>
      </c>
      <c r="C142" s="124" t="str">
        <f t="shared" si="8"/>
        <v>A.2.4.2.2 - Performer [Optional]</v>
      </c>
      <c r="D142" s="62" t="s">
        <v>451</v>
      </c>
      <c r="E142" s="59">
        <f t="shared" si="9"/>
        <v>0</v>
      </c>
      <c r="F142" s="59" t="str">
        <f t="shared" si="10"/>
        <v>*</v>
      </c>
      <c r="G142" s="121"/>
      <c r="H142" s="65"/>
      <c r="I142" s="62" t="s">
        <v>131</v>
      </c>
      <c r="J142" s="62" t="s">
        <v>139</v>
      </c>
    </row>
    <row r="143" spans="1:10" ht="48" thickBot="1" x14ac:dyDescent="0.9">
      <c r="A143" s="63" t="s">
        <v>496</v>
      </c>
      <c r="B143" s="67" t="s">
        <v>3</v>
      </c>
      <c r="C143" s="124" t="str">
        <f t="shared" si="8"/>
        <v>A.2.4.2.3 - Description [Optional]</v>
      </c>
      <c r="D143" s="62" t="s">
        <v>497</v>
      </c>
      <c r="E143" s="59">
        <f t="shared" si="9"/>
        <v>0</v>
      </c>
      <c r="F143" s="59" t="str">
        <f t="shared" si="10"/>
        <v>1</v>
      </c>
      <c r="G143" s="121"/>
      <c r="H143" s="65"/>
      <c r="I143" s="62" t="s">
        <v>142</v>
      </c>
      <c r="J143" s="62" t="s">
        <v>139</v>
      </c>
    </row>
    <row r="144" spans="1:10" ht="48" thickBot="1" x14ac:dyDescent="0.9">
      <c r="A144" s="63" t="s">
        <v>498</v>
      </c>
      <c r="B144" s="67" t="s">
        <v>499</v>
      </c>
      <c r="C144" s="124" t="str">
        <f t="shared" si="8"/>
        <v>A.2.4.2.4 - Functional status assessment [Optional]</v>
      </c>
      <c r="D144" s="62" t="s">
        <v>500</v>
      </c>
      <c r="E144" s="59">
        <f t="shared" si="9"/>
        <v>0</v>
      </c>
      <c r="F144" s="59" t="str">
        <f t="shared" si="10"/>
        <v>*</v>
      </c>
      <c r="G144" s="121"/>
      <c r="H144" s="65"/>
      <c r="I144" s="62" t="s">
        <v>131</v>
      </c>
      <c r="J144" s="62" t="s">
        <v>139</v>
      </c>
    </row>
    <row r="145" spans="1:10" ht="30.25" thickBot="1" x14ac:dyDescent="0.9">
      <c r="A145" s="63" t="s">
        <v>475</v>
      </c>
      <c r="B145" s="67" t="s">
        <v>501</v>
      </c>
      <c r="C145" s="124" t="str">
        <f t="shared" si="8"/>
        <v>A.2.4.1.4.1 - Observation cathegory [Mandatory]</v>
      </c>
      <c r="D145" s="62" t="s">
        <v>502</v>
      </c>
      <c r="E145" s="59">
        <f t="shared" si="9"/>
        <v>1</v>
      </c>
      <c r="F145" s="59" t="str">
        <f t="shared" si="10"/>
        <v>1</v>
      </c>
      <c r="G145" s="121"/>
      <c r="H145" s="66" t="s">
        <v>503</v>
      </c>
      <c r="I145" s="62" t="s">
        <v>110</v>
      </c>
      <c r="J145" s="62" t="s">
        <v>111</v>
      </c>
    </row>
    <row r="146" spans="1:10" ht="16.5" thickBot="1" x14ac:dyDescent="0.9">
      <c r="A146" s="63" t="s">
        <v>478</v>
      </c>
      <c r="B146" s="67" t="s">
        <v>504</v>
      </c>
      <c r="C146" s="124" t="str">
        <f t="shared" si="8"/>
        <v>A.2.4.1.4.2 - Onset Date [Required]</v>
      </c>
      <c r="D146" s="62" t="s">
        <v>505</v>
      </c>
      <c r="E146" s="59">
        <f t="shared" si="9"/>
        <v>0</v>
      </c>
      <c r="F146" s="59" t="str">
        <f t="shared" si="10"/>
        <v>1</v>
      </c>
      <c r="G146" s="121"/>
      <c r="H146" s="65"/>
      <c r="I146" s="62" t="s">
        <v>142</v>
      </c>
      <c r="J146" s="62" t="s">
        <v>23</v>
      </c>
    </row>
    <row r="147" spans="1:10" ht="16.5" thickBot="1" x14ac:dyDescent="0.9">
      <c r="A147" s="63" t="s">
        <v>480</v>
      </c>
      <c r="B147" s="67" t="s">
        <v>506</v>
      </c>
      <c r="C147" s="124" t="str">
        <f t="shared" si="8"/>
        <v>A.2.4.1.4.3 - Result description [Optional]</v>
      </c>
      <c r="D147" s="62" t="s">
        <v>507</v>
      </c>
      <c r="E147" s="59">
        <f t="shared" si="9"/>
        <v>0</v>
      </c>
      <c r="F147" s="59" t="str">
        <f t="shared" si="10"/>
        <v>1</v>
      </c>
      <c r="G147" s="121"/>
      <c r="H147" s="65"/>
      <c r="I147" s="62" t="s">
        <v>142</v>
      </c>
      <c r="J147" s="62" t="s">
        <v>139</v>
      </c>
    </row>
    <row r="148" spans="1:10" ht="48" thickBot="1" x14ac:dyDescent="0.9">
      <c r="A148" s="63" t="s">
        <v>482</v>
      </c>
      <c r="B148" s="67" t="s">
        <v>508</v>
      </c>
      <c r="C148" s="124" t="str">
        <f t="shared" si="8"/>
        <v>A.2.4.1.4.4 - Observation details [Required]</v>
      </c>
      <c r="D148" s="62" t="s">
        <v>461</v>
      </c>
      <c r="E148" s="59">
        <f t="shared" si="9"/>
        <v>1</v>
      </c>
      <c r="F148" s="59" t="str">
        <f t="shared" si="10"/>
        <v>1</v>
      </c>
      <c r="G148" s="121"/>
      <c r="H148" s="62" t="s">
        <v>509</v>
      </c>
      <c r="I148" s="62" t="s">
        <v>110</v>
      </c>
      <c r="J148" s="62" t="s">
        <v>23</v>
      </c>
    </row>
    <row r="149" spans="1:10" ht="79.5" thickBot="1" x14ac:dyDescent="0.9">
      <c r="A149" s="63" t="s">
        <v>510</v>
      </c>
      <c r="B149" s="67" t="s">
        <v>465</v>
      </c>
      <c r="C149" s="124" t="str">
        <f t="shared" si="8"/>
        <v>A.2.4.1.4.5 - Observation result [Required]</v>
      </c>
      <c r="D149" s="62" t="s">
        <v>466</v>
      </c>
      <c r="E149" s="59">
        <f t="shared" si="9"/>
        <v>1</v>
      </c>
      <c r="F149" s="59" t="str">
        <f t="shared" si="10"/>
        <v>1</v>
      </c>
      <c r="G149" s="121"/>
      <c r="H149" s="62" t="s">
        <v>509</v>
      </c>
      <c r="I149" s="62" t="s">
        <v>110</v>
      </c>
      <c r="J149" s="62" t="s">
        <v>23</v>
      </c>
    </row>
    <row r="150" spans="1:10" ht="16.5" thickBot="1" x14ac:dyDescent="0.9">
      <c r="A150" s="57" t="s">
        <v>511</v>
      </c>
      <c r="B150" s="58" t="s">
        <v>512</v>
      </c>
      <c r="C150" s="124" t="str">
        <f t="shared" si="8"/>
        <v>A.2.6 - Patient history [Optional]</v>
      </c>
      <c r="D150" s="59"/>
      <c r="E150" s="59">
        <f t="shared" si="9"/>
        <v>0</v>
      </c>
      <c r="F150" s="59" t="str">
        <f t="shared" si="10"/>
        <v>1</v>
      </c>
      <c r="G150" s="59"/>
      <c r="H150" s="60"/>
      <c r="I150" s="62" t="s">
        <v>142</v>
      </c>
      <c r="J150" s="62" t="s">
        <v>139</v>
      </c>
    </row>
    <row r="151" spans="1:10" ht="16.5" thickBot="1" x14ac:dyDescent="0.9">
      <c r="A151" s="57" t="s">
        <v>513</v>
      </c>
      <c r="B151" s="58" t="s">
        <v>514</v>
      </c>
      <c r="C151" s="124" t="str">
        <f t="shared" si="8"/>
        <v>A.2.6.1 - Medical history [Required]</v>
      </c>
      <c r="D151" s="59"/>
      <c r="E151" s="59">
        <f t="shared" si="9"/>
        <v>1</v>
      </c>
      <c r="F151" s="59" t="str">
        <f t="shared" si="10"/>
        <v>1</v>
      </c>
      <c r="G151" s="59"/>
      <c r="H151" s="60"/>
      <c r="I151" s="62" t="s">
        <v>110</v>
      </c>
      <c r="J151" s="62" t="s">
        <v>23</v>
      </c>
    </row>
    <row r="152" spans="1:10" ht="16.5" customHeight="1" thickBot="1" x14ac:dyDescent="0.9">
      <c r="A152" s="86" t="s">
        <v>515</v>
      </c>
      <c r="B152" s="103" t="s">
        <v>516</v>
      </c>
      <c r="C152" s="124" t="str">
        <f t="shared" si="8"/>
        <v>A.2.6.1.1 - Past problems [Required]</v>
      </c>
      <c r="D152" s="104" t="s">
        <v>517</v>
      </c>
      <c r="E152" s="59">
        <f t="shared" si="9"/>
        <v>1</v>
      </c>
      <c r="F152" s="59" t="str">
        <f t="shared" si="10"/>
        <v>*</v>
      </c>
      <c r="G152" s="59"/>
      <c r="H152" s="105"/>
      <c r="I152" s="62" t="s">
        <v>117</v>
      </c>
      <c r="J152" s="62" t="s">
        <v>23</v>
      </c>
    </row>
    <row r="153" spans="1:10" ht="16.5" thickBot="1" x14ac:dyDescent="0.9">
      <c r="A153" s="63" t="s">
        <v>518</v>
      </c>
      <c r="B153" s="85" t="s">
        <v>519</v>
      </c>
      <c r="C153" s="124" t="str">
        <f t="shared" si="8"/>
        <v>A.2.6.1.1.1 - Problem description [Mandatory]</v>
      </c>
      <c r="D153" s="106" t="s">
        <v>520</v>
      </c>
      <c r="E153" s="59">
        <f t="shared" si="9"/>
        <v>1</v>
      </c>
      <c r="F153" s="59" t="str">
        <f t="shared" si="10"/>
        <v>1</v>
      </c>
      <c r="G153" s="59"/>
      <c r="H153" s="107"/>
      <c r="I153" s="62" t="s">
        <v>110</v>
      </c>
      <c r="J153" s="62" t="s">
        <v>111</v>
      </c>
    </row>
    <row r="154" spans="1:10" ht="63.75" thickBot="1" x14ac:dyDescent="0.9">
      <c r="A154" s="70" t="s">
        <v>521</v>
      </c>
      <c r="B154" s="108" t="s">
        <v>27</v>
      </c>
      <c r="C154" s="124" t="str">
        <f t="shared" si="8"/>
        <v>A.2.6.1.1.2 - Code [Optional]</v>
      </c>
      <c r="D154" s="70" t="s">
        <v>522</v>
      </c>
      <c r="E154" s="59">
        <f t="shared" si="9"/>
        <v>0</v>
      </c>
      <c r="F154" s="59" t="str">
        <f t="shared" si="10"/>
        <v>*</v>
      </c>
      <c r="G154" s="130"/>
      <c r="H154" s="72" t="s">
        <v>1075</v>
      </c>
      <c r="I154" s="70" t="s">
        <v>131</v>
      </c>
      <c r="J154" s="70" t="s">
        <v>139</v>
      </c>
    </row>
    <row r="155" spans="1:10" ht="16.5" thickBot="1" x14ac:dyDescent="0.9">
      <c r="A155" s="63" t="s">
        <v>525</v>
      </c>
      <c r="B155" s="64" t="s">
        <v>339</v>
      </c>
      <c r="C155" s="124" t="str">
        <f t="shared" si="8"/>
        <v>A.2.6.1.1.3 - Onset date [Required]</v>
      </c>
      <c r="D155" s="62" t="s">
        <v>526</v>
      </c>
      <c r="E155" s="59">
        <f t="shared" si="9"/>
        <v>1</v>
      </c>
      <c r="F155" s="59" t="str">
        <f t="shared" si="10"/>
        <v>1</v>
      </c>
      <c r="G155" s="121"/>
      <c r="H155" s="65"/>
      <c r="I155" s="62" t="s">
        <v>110</v>
      </c>
      <c r="J155" s="62" t="s">
        <v>23</v>
      </c>
    </row>
    <row r="156" spans="1:10" ht="32.25" thickBot="1" x14ac:dyDescent="0.9">
      <c r="A156" s="63" t="s">
        <v>527</v>
      </c>
      <c r="B156" s="67" t="s">
        <v>528</v>
      </c>
      <c r="C156" s="124" t="str">
        <f t="shared" si="8"/>
        <v>A.2.6.1.1.4 - Abetement date [Required]</v>
      </c>
      <c r="D156" s="62" t="s">
        <v>529</v>
      </c>
      <c r="E156" s="59">
        <f t="shared" si="9"/>
        <v>0</v>
      </c>
      <c r="F156" s="59" t="str">
        <f t="shared" si="10"/>
        <v>1</v>
      </c>
      <c r="G156" s="121"/>
      <c r="H156" s="65"/>
      <c r="I156" s="62" t="s">
        <v>142</v>
      </c>
      <c r="J156" s="62" t="s">
        <v>23</v>
      </c>
    </row>
    <row r="157" spans="1:10" ht="16.5" thickBot="1" x14ac:dyDescent="0.9">
      <c r="A157" s="63" t="s">
        <v>530</v>
      </c>
      <c r="B157" s="67" t="s">
        <v>531</v>
      </c>
      <c r="C157" s="124" t="str">
        <f t="shared" si="8"/>
        <v>A.2.6.1.1.5 - Clinical status [Optional]</v>
      </c>
      <c r="D157" s="62" t="s">
        <v>532</v>
      </c>
      <c r="E157" s="59">
        <f t="shared" si="9"/>
        <v>0</v>
      </c>
      <c r="F157" s="59" t="str">
        <f t="shared" si="10"/>
        <v>1</v>
      </c>
      <c r="G157" s="121"/>
      <c r="H157" s="66" t="s">
        <v>533</v>
      </c>
      <c r="I157" s="62" t="s">
        <v>142</v>
      </c>
      <c r="J157" s="62" t="s">
        <v>139</v>
      </c>
    </row>
    <row r="158" spans="1:10" ht="111" thickBot="1" x14ac:dyDescent="0.9">
      <c r="A158" s="63" t="s">
        <v>534</v>
      </c>
      <c r="B158" s="67" t="s">
        <v>535</v>
      </c>
      <c r="C158" s="124" t="str">
        <f t="shared" si="8"/>
        <v>A.2.6.1.1.6 - Resolution circumstances [Optional]</v>
      </c>
      <c r="D158" s="62" t="s">
        <v>536</v>
      </c>
      <c r="E158" s="59">
        <f t="shared" si="9"/>
        <v>0</v>
      </c>
      <c r="F158" s="59" t="str">
        <f t="shared" si="10"/>
        <v>1</v>
      </c>
      <c r="G158" s="121"/>
      <c r="H158" s="65"/>
      <c r="I158" s="62" t="s">
        <v>142</v>
      </c>
      <c r="J158" s="62" t="s">
        <v>139</v>
      </c>
    </row>
    <row r="159" spans="1:10" ht="32.25" thickBot="1" x14ac:dyDescent="0.9">
      <c r="A159" s="63" t="s">
        <v>537</v>
      </c>
      <c r="B159" s="85" t="s">
        <v>538</v>
      </c>
      <c r="C159" s="124" t="str">
        <f t="shared" si="8"/>
        <v>A.2.6.1.1.7 - Severity [Optional]</v>
      </c>
      <c r="D159" s="62" t="s">
        <v>539</v>
      </c>
      <c r="E159" s="59">
        <f t="shared" si="9"/>
        <v>0</v>
      </c>
      <c r="F159" s="59" t="str">
        <f t="shared" si="10"/>
        <v>1</v>
      </c>
      <c r="G159" s="121"/>
      <c r="H159" s="76"/>
      <c r="I159" s="62" t="s">
        <v>142</v>
      </c>
      <c r="J159" s="62" t="s">
        <v>139</v>
      </c>
    </row>
    <row r="160" spans="1:10" ht="32.25" thickBot="1" x14ac:dyDescent="0.9">
      <c r="A160" s="63" t="s">
        <v>540</v>
      </c>
      <c r="B160" s="67" t="s">
        <v>541</v>
      </c>
      <c r="C160" s="124" t="str">
        <f t="shared" si="8"/>
        <v>A.2.6.1.1.8 - Stage [Optional]</v>
      </c>
      <c r="D160" s="62" t="s">
        <v>542</v>
      </c>
      <c r="E160" s="59">
        <f t="shared" si="9"/>
        <v>0</v>
      </c>
      <c r="F160" s="59" t="str">
        <f t="shared" si="10"/>
        <v>*</v>
      </c>
      <c r="G160" s="121"/>
      <c r="H160" s="62" t="s">
        <v>29</v>
      </c>
      <c r="I160" s="62" t="s">
        <v>131</v>
      </c>
      <c r="J160" s="62" t="s">
        <v>139</v>
      </c>
    </row>
    <row r="161" spans="1:10" ht="16.5" thickBot="1" x14ac:dyDescent="0.9">
      <c r="A161" s="86" t="s">
        <v>543</v>
      </c>
      <c r="B161" s="109" t="s">
        <v>544</v>
      </c>
      <c r="C161" s="124" t="str">
        <f t="shared" si="8"/>
        <v>A.2.6.1.2 - Devices and Implants [Required]</v>
      </c>
      <c r="D161" s="62" t="s">
        <v>544</v>
      </c>
      <c r="E161" s="59">
        <f t="shared" si="9"/>
        <v>1</v>
      </c>
      <c r="F161" s="59" t="str">
        <f t="shared" si="10"/>
        <v>*</v>
      </c>
      <c r="G161" s="121"/>
      <c r="H161" s="65"/>
      <c r="I161" s="62" t="s">
        <v>117</v>
      </c>
      <c r="J161" s="62" t="s">
        <v>23</v>
      </c>
    </row>
    <row r="162" spans="1:10" ht="63.75" customHeight="1" thickBot="1" x14ac:dyDescent="0.9">
      <c r="A162" s="70" t="s">
        <v>545</v>
      </c>
      <c r="B162" s="110" t="s">
        <v>546</v>
      </c>
      <c r="C162" s="124" t="str">
        <f t="shared" si="8"/>
        <v>A.2.6.1.2.1 - Device and implant description [Mandatory]</v>
      </c>
      <c r="D162" s="70" t="s">
        <v>547</v>
      </c>
      <c r="E162" s="59">
        <f t="shared" si="9"/>
        <v>1</v>
      </c>
      <c r="F162" s="59" t="str">
        <f t="shared" si="10"/>
        <v>1</v>
      </c>
      <c r="G162" s="130"/>
      <c r="H162" s="72" t="s">
        <v>1076</v>
      </c>
      <c r="I162" s="70" t="s">
        <v>110</v>
      </c>
      <c r="J162" s="70" t="s">
        <v>111</v>
      </c>
    </row>
    <row r="163" spans="1:10" ht="32.25" thickBot="1" x14ac:dyDescent="0.9">
      <c r="A163" s="63" t="s">
        <v>551</v>
      </c>
      <c r="B163" s="85" t="s">
        <v>552</v>
      </c>
      <c r="C163" s="124" t="str">
        <f t="shared" si="8"/>
        <v>A.2.6.1.2.2 - Device ID [Optional]</v>
      </c>
      <c r="D163" s="62" t="s">
        <v>553</v>
      </c>
      <c r="E163" s="59">
        <f t="shared" si="9"/>
        <v>0</v>
      </c>
      <c r="F163" s="59" t="str">
        <f t="shared" si="10"/>
        <v>1</v>
      </c>
      <c r="G163" s="121"/>
      <c r="H163" s="65"/>
      <c r="I163" s="62" t="s">
        <v>142</v>
      </c>
      <c r="J163" s="62" t="s">
        <v>139</v>
      </c>
    </row>
    <row r="164" spans="1:10" ht="16.5" thickBot="1" x14ac:dyDescent="0.9">
      <c r="A164" s="63" t="s">
        <v>554</v>
      </c>
      <c r="B164" s="85" t="s">
        <v>555</v>
      </c>
      <c r="C164" s="124" t="str">
        <f t="shared" si="8"/>
        <v>A.2.6.1.2.3 - Implant date [Required]</v>
      </c>
      <c r="D164" s="62" t="s">
        <v>556</v>
      </c>
      <c r="E164" s="59">
        <f t="shared" si="9"/>
        <v>1</v>
      </c>
      <c r="F164" s="59" t="str">
        <f t="shared" si="10"/>
        <v>1</v>
      </c>
      <c r="G164" s="121"/>
      <c r="H164" s="65"/>
      <c r="I164" s="62" t="s">
        <v>110</v>
      </c>
      <c r="J164" s="62" t="s">
        <v>23</v>
      </c>
    </row>
    <row r="165" spans="1:10" ht="48" thickBot="1" x14ac:dyDescent="0.9">
      <c r="A165" s="63" t="s">
        <v>557</v>
      </c>
      <c r="B165" s="67" t="s">
        <v>343</v>
      </c>
      <c r="C165" s="124" t="str">
        <f t="shared" si="8"/>
        <v>A.2.6.1.2.4 - End date [Required]</v>
      </c>
      <c r="D165" s="62" t="s">
        <v>558</v>
      </c>
      <c r="E165" s="59">
        <f t="shared" si="9"/>
        <v>0</v>
      </c>
      <c r="F165" s="59" t="str">
        <f t="shared" si="10"/>
        <v>1</v>
      </c>
      <c r="G165" s="121"/>
      <c r="H165" s="65"/>
      <c r="I165" s="62" t="s">
        <v>142</v>
      </c>
      <c r="J165" s="62" t="s">
        <v>23</v>
      </c>
    </row>
    <row r="166" spans="1:10" ht="48" thickBot="1" x14ac:dyDescent="0.9">
      <c r="A166" s="70" t="s">
        <v>559</v>
      </c>
      <c r="B166" s="77" t="s">
        <v>560</v>
      </c>
      <c r="C166" s="124" t="str">
        <f t="shared" si="8"/>
        <v>A.2.6.1.2.5 - Reason [Optional]</v>
      </c>
      <c r="D166" s="70" t="s">
        <v>561</v>
      </c>
      <c r="E166" s="59">
        <f t="shared" si="9"/>
        <v>0</v>
      </c>
      <c r="F166" s="59" t="str">
        <f t="shared" si="10"/>
        <v>1</v>
      </c>
      <c r="G166" s="130"/>
      <c r="H166" s="72" t="s">
        <v>1067</v>
      </c>
      <c r="I166" s="70" t="s">
        <v>142</v>
      </c>
      <c r="J166" s="70" t="s">
        <v>139</v>
      </c>
    </row>
    <row r="167" spans="1:10" ht="79.5" thickBot="1" x14ac:dyDescent="0.9">
      <c r="A167" s="111" t="s">
        <v>563</v>
      </c>
      <c r="B167" s="111" t="s">
        <v>564</v>
      </c>
      <c r="C167" s="124" t="str">
        <f t="shared" si="8"/>
        <v>A.2.6.1.3 - History of procedures [Required]</v>
      </c>
      <c r="D167" s="72" t="s">
        <v>1077</v>
      </c>
      <c r="E167" s="59">
        <f t="shared" si="9"/>
        <v>0</v>
      </c>
      <c r="F167" s="59" t="str">
        <f t="shared" si="10"/>
        <v>*</v>
      </c>
      <c r="G167" s="99"/>
      <c r="H167" s="73"/>
      <c r="I167" s="70" t="s">
        <v>131</v>
      </c>
      <c r="J167" s="70" t="s">
        <v>23</v>
      </c>
    </row>
    <row r="168" spans="1:10" ht="32.25" thickBot="1" x14ac:dyDescent="0.9">
      <c r="A168" s="70" t="s">
        <v>567</v>
      </c>
      <c r="B168" s="157" t="s">
        <v>568</v>
      </c>
      <c r="C168" s="124" t="str">
        <f t="shared" si="8"/>
        <v>A.2.6.1.3.1 - Procedure code [Optional]</v>
      </c>
      <c r="D168" s="70" t="s">
        <v>568</v>
      </c>
      <c r="E168" s="59">
        <f t="shared" si="9"/>
        <v>0</v>
      </c>
      <c r="F168" s="59" t="str">
        <f t="shared" si="10"/>
        <v>1</v>
      </c>
      <c r="G168" s="130"/>
      <c r="H168" s="72" t="s">
        <v>1078</v>
      </c>
      <c r="I168" s="70" t="s">
        <v>142</v>
      </c>
      <c r="J168" s="70" t="s">
        <v>139</v>
      </c>
    </row>
    <row r="169" spans="1:10" ht="16.5" thickBot="1" x14ac:dyDescent="0.9">
      <c r="A169" s="63"/>
      <c r="B169" s="159"/>
      <c r="C169" s="124" t="str">
        <f t="shared" si="8"/>
        <v xml:space="preserve"> -  []</v>
      </c>
      <c r="D169" s="63"/>
      <c r="E169" s="59">
        <f t="shared" si="9"/>
        <v>0</v>
      </c>
      <c r="F169" s="59" t="str">
        <f t="shared" si="10"/>
        <v/>
      </c>
      <c r="G169" s="121"/>
      <c r="H169" s="62" t="s">
        <v>569</v>
      </c>
      <c r="I169" s="63"/>
      <c r="J169" s="63"/>
    </row>
    <row r="170" spans="1:10" ht="16.5" thickBot="1" x14ac:dyDescent="0.9">
      <c r="A170" s="63" t="s">
        <v>570</v>
      </c>
      <c r="B170" s="64" t="s">
        <v>571</v>
      </c>
      <c r="C170" s="124" t="str">
        <f t="shared" si="8"/>
        <v>A.2.6.1.3.2 - Procedure description [Mandatory]</v>
      </c>
      <c r="D170" s="62" t="s">
        <v>572</v>
      </c>
      <c r="E170" s="59">
        <f t="shared" si="9"/>
        <v>1</v>
      </c>
      <c r="F170" s="59" t="str">
        <f t="shared" si="10"/>
        <v>1</v>
      </c>
      <c r="G170" s="121"/>
      <c r="H170" s="65"/>
      <c r="I170" s="62" t="s">
        <v>110</v>
      </c>
      <c r="J170" s="62" t="s">
        <v>111</v>
      </c>
    </row>
    <row r="171" spans="1:10" ht="48" thickBot="1" x14ac:dyDescent="0.9">
      <c r="A171" s="70" t="s">
        <v>573</v>
      </c>
      <c r="B171" s="77" t="s">
        <v>574</v>
      </c>
      <c r="C171" s="124" t="str">
        <f t="shared" si="8"/>
        <v>A.2.6.1.3.3 - Body site [Optional]</v>
      </c>
      <c r="D171" s="70" t="s">
        <v>575</v>
      </c>
      <c r="E171" s="59">
        <f t="shared" si="9"/>
        <v>0</v>
      </c>
      <c r="F171" s="59" t="str">
        <f t="shared" si="10"/>
        <v>1</v>
      </c>
      <c r="G171" s="130"/>
      <c r="H171" s="72" t="s">
        <v>1079</v>
      </c>
      <c r="I171" s="70" t="s">
        <v>142</v>
      </c>
      <c r="J171" s="70" t="s">
        <v>139</v>
      </c>
    </row>
    <row r="172" spans="1:10" ht="16.5" thickBot="1" x14ac:dyDescent="0.9">
      <c r="A172" s="63" t="s">
        <v>577</v>
      </c>
      <c r="B172" s="67" t="s">
        <v>578</v>
      </c>
      <c r="C172" s="124" t="str">
        <f t="shared" si="8"/>
        <v>A.2.6.1.3.4 - Procedure date [Required]</v>
      </c>
      <c r="D172" s="62" t="s">
        <v>579</v>
      </c>
      <c r="E172" s="59">
        <f t="shared" si="9"/>
        <v>0</v>
      </c>
      <c r="F172" s="59" t="str">
        <f t="shared" si="10"/>
        <v>1</v>
      </c>
      <c r="G172" s="121"/>
      <c r="H172" s="65"/>
      <c r="I172" s="62" t="s">
        <v>142</v>
      </c>
      <c r="J172" s="62" t="s">
        <v>23</v>
      </c>
    </row>
    <row r="173" spans="1:10" ht="48" thickBot="1" x14ac:dyDescent="0.9">
      <c r="A173" s="70" t="s">
        <v>580</v>
      </c>
      <c r="B173" s="77" t="s">
        <v>581</v>
      </c>
      <c r="C173" s="124" t="str">
        <f t="shared" si="8"/>
        <v>A.2.6.1.3.5 - Procedure reason [Required]</v>
      </c>
      <c r="D173" s="70" t="s">
        <v>582</v>
      </c>
      <c r="E173" s="59">
        <f t="shared" si="9"/>
        <v>0</v>
      </c>
      <c r="F173" s="59" t="str">
        <f t="shared" si="10"/>
        <v>1</v>
      </c>
      <c r="G173" s="130"/>
      <c r="H173" s="72" t="s">
        <v>1067</v>
      </c>
      <c r="I173" s="70" t="s">
        <v>142</v>
      </c>
      <c r="J173" s="70" t="s">
        <v>23</v>
      </c>
    </row>
    <row r="174" spans="1:10" ht="63.75" thickBot="1" x14ac:dyDescent="0.9">
      <c r="A174" s="70" t="s">
        <v>583</v>
      </c>
      <c r="B174" s="77" t="s">
        <v>584</v>
      </c>
      <c r="C174" s="124" t="str">
        <f t="shared" si="8"/>
        <v>A.2.6.1.3.6 - Outcome [Optional]</v>
      </c>
      <c r="D174" s="70" t="s">
        <v>585</v>
      </c>
      <c r="E174" s="59">
        <f t="shared" si="9"/>
        <v>0</v>
      </c>
      <c r="F174" s="59" t="str">
        <f t="shared" si="10"/>
        <v>1</v>
      </c>
      <c r="G174" s="130"/>
      <c r="H174" s="72" t="s">
        <v>1080</v>
      </c>
      <c r="I174" s="70" t="s">
        <v>142</v>
      </c>
      <c r="J174" s="70" t="s">
        <v>139</v>
      </c>
    </row>
    <row r="175" spans="1:10" ht="48" thickBot="1" x14ac:dyDescent="0.9">
      <c r="A175" s="63" t="s">
        <v>589</v>
      </c>
      <c r="B175" s="67" t="s">
        <v>590</v>
      </c>
      <c r="C175" s="124" t="str">
        <f t="shared" si="8"/>
        <v>A.2.6.1.3.7 - Focal device [Optional]</v>
      </c>
      <c r="D175" s="62" t="s">
        <v>591</v>
      </c>
      <c r="E175" s="59">
        <f t="shared" si="9"/>
        <v>0</v>
      </c>
      <c r="F175" s="59" t="str">
        <f t="shared" si="10"/>
        <v>*</v>
      </c>
      <c r="G175" s="121"/>
      <c r="H175" s="65"/>
      <c r="I175" s="62" t="s">
        <v>131</v>
      </c>
      <c r="J175" s="62" t="s">
        <v>139</v>
      </c>
    </row>
    <row r="176" spans="1:10" ht="16.5" thickBot="1" x14ac:dyDescent="0.9">
      <c r="A176" s="86" t="s">
        <v>592</v>
      </c>
      <c r="B176" s="109" t="s">
        <v>593</v>
      </c>
      <c r="C176" s="124" t="str">
        <f t="shared" si="8"/>
        <v>A.2.6.1.4 - Vaccination [Required]</v>
      </c>
      <c r="D176" s="62" t="s">
        <v>594</v>
      </c>
      <c r="E176" s="59">
        <f t="shared" si="9"/>
        <v>0</v>
      </c>
      <c r="F176" s="59" t="str">
        <f t="shared" si="10"/>
        <v>*</v>
      </c>
      <c r="G176" s="121"/>
      <c r="H176" s="65"/>
      <c r="I176" s="62" t="s">
        <v>131</v>
      </c>
      <c r="J176" s="62" t="s">
        <v>23</v>
      </c>
    </row>
    <row r="177" spans="1:10" ht="32.25" thickBot="1" x14ac:dyDescent="0.9">
      <c r="A177" s="70" t="s">
        <v>595</v>
      </c>
      <c r="B177" s="83" t="s">
        <v>596</v>
      </c>
      <c r="C177" s="124" t="str">
        <f t="shared" si="8"/>
        <v>A.2.6.1.4.1 - Disease or agent targeted [Optional]</v>
      </c>
      <c r="D177" s="70" t="s">
        <v>597</v>
      </c>
      <c r="E177" s="59">
        <f t="shared" si="9"/>
        <v>0</v>
      </c>
      <c r="F177" s="59" t="str">
        <f t="shared" si="10"/>
        <v>*</v>
      </c>
      <c r="G177" s="130"/>
      <c r="H177" s="72" t="s">
        <v>1081</v>
      </c>
      <c r="I177" s="70" t="s">
        <v>131</v>
      </c>
      <c r="J177" s="70" t="s">
        <v>139</v>
      </c>
    </row>
    <row r="178" spans="1:10" ht="32.25" thickBot="1" x14ac:dyDescent="0.9">
      <c r="A178" s="70" t="s">
        <v>598</v>
      </c>
      <c r="B178" s="83" t="s">
        <v>599</v>
      </c>
      <c r="C178" s="124" t="str">
        <f t="shared" si="8"/>
        <v>A.2.6.1.4.2 - Vaccine/prophylaxis [Required]</v>
      </c>
      <c r="D178" s="70" t="s">
        <v>600</v>
      </c>
      <c r="E178" s="59">
        <f t="shared" si="9"/>
        <v>1</v>
      </c>
      <c r="F178" s="59" t="str">
        <f t="shared" si="10"/>
        <v>1</v>
      </c>
      <c r="G178" s="130"/>
      <c r="H178" s="72" t="s">
        <v>1082</v>
      </c>
      <c r="I178" s="70" t="s">
        <v>110</v>
      </c>
      <c r="J178" s="70" t="s">
        <v>23</v>
      </c>
    </row>
    <row r="179" spans="1:10" ht="16.5" thickBot="1" x14ac:dyDescent="0.9">
      <c r="A179" s="63" t="s">
        <v>602</v>
      </c>
      <c r="B179" s="82" t="s">
        <v>603</v>
      </c>
      <c r="C179" s="124" t="str">
        <f t="shared" si="8"/>
        <v>A.2.6.1.4.4 - Vaccine medicinal product [Optional]</v>
      </c>
      <c r="D179" s="62" t="s">
        <v>604</v>
      </c>
      <c r="E179" s="59">
        <f t="shared" si="9"/>
        <v>0</v>
      </c>
      <c r="F179" s="59" t="str">
        <f t="shared" si="10"/>
        <v>1</v>
      </c>
      <c r="G179" s="121"/>
      <c r="H179" s="65"/>
      <c r="I179" s="62" t="s">
        <v>142</v>
      </c>
      <c r="J179" s="62" t="s">
        <v>139</v>
      </c>
    </row>
    <row r="180" spans="1:10" ht="32.25" thickBot="1" x14ac:dyDescent="0.9">
      <c r="A180" s="63" t="s">
        <v>605</v>
      </c>
      <c r="B180" s="67" t="s">
        <v>606</v>
      </c>
      <c r="C180" s="124" t="str">
        <f t="shared" si="8"/>
        <v>A.2.6.1.4.5 - Marketing Autorisation Holder  [Optional]</v>
      </c>
      <c r="D180" s="62" t="s">
        <v>607</v>
      </c>
      <c r="E180" s="59">
        <f t="shared" si="9"/>
        <v>0</v>
      </c>
      <c r="F180" s="59" t="str">
        <f t="shared" si="10"/>
        <v>1</v>
      </c>
      <c r="G180" s="121"/>
      <c r="H180" s="62" t="s">
        <v>608</v>
      </c>
      <c r="I180" s="62" t="s">
        <v>142</v>
      </c>
      <c r="J180" s="62" t="s">
        <v>139</v>
      </c>
    </row>
    <row r="181" spans="1:10" ht="16.5" thickBot="1" x14ac:dyDescent="0.9">
      <c r="A181" s="63" t="s">
        <v>609</v>
      </c>
      <c r="B181" s="69" t="s">
        <v>610</v>
      </c>
      <c r="C181" s="124" t="str">
        <f t="shared" si="8"/>
        <v>A.2.6.1.4.6 - Number in a series of vaccinations / doses [Required]</v>
      </c>
      <c r="D181" s="62" t="s">
        <v>611</v>
      </c>
      <c r="E181" s="59">
        <f t="shared" si="9"/>
        <v>0</v>
      </c>
      <c r="F181" s="59" t="str">
        <f t="shared" si="10"/>
        <v>1</v>
      </c>
      <c r="G181" s="121"/>
      <c r="H181" s="65"/>
      <c r="I181" s="62" t="s">
        <v>142</v>
      </c>
      <c r="J181" s="62" t="s">
        <v>23</v>
      </c>
    </row>
    <row r="182" spans="1:10" ht="16.5" thickBot="1" x14ac:dyDescent="0.9">
      <c r="A182" s="63" t="s">
        <v>612</v>
      </c>
      <c r="B182" s="82" t="s">
        <v>613</v>
      </c>
      <c r="C182" s="124" t="str">
        <f t="shared" si="8"/>
        <v>A.2.6.1.4.7 - Date of vaccination [Required]</v>
      </c>
      <c r="D182" s="62" t="s">
        <v>614</v>
      </c>
      <c r="E182" s="59">
        <f t="shared" si="9"/>
        <v>1</v>
      </c>
      <c r="F182" s="59" t="str">
        <f t="shared" si="10"/>
        <v>1</v>
      </c>
      <c r="G182" s="121"/>
      <c r="H182" s="65"/>
      <c r="I182" s="62" t="s">
        <v>110</v>
      </c>
      <c r="J182" s="62" t="s">
        <v>23</v>
      </c>
    </row>
    <row r="183" spans="1:10" ht="32.25" thickBot="1" x14ac:dyDescent="0.9">
      <c r="A183" s="63" t="s">
        <v>615</v>
      </c>
      <c r="B183" s="67" t="s">
        <v>616</v>
      </c>
      <c r="C183" s="124" t="str">
        <f t="shared" si="8"/>
        <v>A.2.6.1.4.8 - Next vaccination date [Required]</v>
      </c>
      <c r="D183" s="62" t="s">
        <v>617</v>
      </c>
      <c r="E183" s="59">
        <f t="shared" si="9"/>
        <v>0</v>
      </c>
      <c r="F183" s="59" t="str">
        <f t="shared" si="10"/>
        <v>1</v>
      </c>
      <c r="G183" s="121"/>
      <c r="H183" s="65"/>
      <c r="I183" s="62" t="s">
        <v>142</v>
      </c>
      <c r="J183" s="62" t="s">
        <v>23</v>
      </c>
    </row>
    <row r="184" spans="1:10" ht="16.5" thickBot="1" x14ac:dyDescent="0.9">
      <c r="A184" s="86" t="s">
        <v>618</v>
      </c>
      <c r="B184" s="109" t="s">
        <v>619</v>
      </c>
      <c r="C184" s="124" t="str">
        <f t="shared" si="8"/>
        <v>A.2.6.1.5 - Epidemiological history [Required]</v>
      </c>
      <c r="D184" s="62" t="s">
        <v>620</v>
      </c>
      <c r="E184" s="59">
        <f t="shared" si="9"/>
        <v>0</v>
      </c>
      <c r="F184" s="59" t="str">
        <f t="shared" si="10"/>
        <v>1</v>
      </c>
      <c r="G184" s="121"/>
      <c r="H184" s="65"/>
      <c r="I184" s="62" t="s">
        <v>142</v>
      </c>
      <c r="J184" s="62" t="s">
        <v>23</v>
      </c>
    </row>
    <row r="185" spans="1:10" ht="16.5" thickBot="1" x14ac:dyDescent="0.9">
      <c r="A185" s="113" t="s">
        <v>621</v>
      </c>
      <c r="B185" s="114" t="s">
        <v>622</v>
      </c>
      <c r="C185" s="124" t="str">
        <f t="shared" si="8"/>
        <v>A.2.6.1.5.1 - Infectious contacts [Required]</v>
      </c>
      <c r="D185" s="62" t="s">
        <v>623</v>
      </c>
      <c r="E185" s="59">
        <f t="shared" si="9"/>
        <v>0</v>
      </c>
      <c r="F185" s="59" t="str">
        <f t="shared" si="10"/>
        <v>*</v>
      </c>
      <c r="G185" s="121"/>
      <c r="H185" s="65"/>
      <c r="I185" s="62" t="s">
        <v>131</v>
      </c>
      <c r="J185" s="62" t="s">
        <v>23</v>
      </c>
    </row>
    <row r="186" spans="1:10" ht="32.25" thickBot="1" x14ac:dyDescent="0.9">
      <c r="A186" s="63" t="s">
        <v>624</v>
      </c>
      <c r="B186" s="67" t="s">
        <v>625</v>
      </c>
      <c r="C186" s="124" t="str">
        <f t="shared" si="8"/>
        <v>A.2.6.1.5.1.1 - Time period [Required]</v>
      </c>
      <c r="D186" s="62" t="s">
        <v>626</v>
      </c>
      <c r="E186" s="59">
        <f t="shared" si="9"/>
        <v>0</v>
      </c>
      <c r="F186" s="59" t="str">
        <f t="shared" si="10"/>
        <v>1</v>
      </c>
      <c r="G186" s="121"/>
      <c r="H186" s="65"/>
      <c r="I186" s="62" t="s">
        <v>142</v>
      </c>
      <c r="J186" s="62" t="s">
        <v>23</v>
      </c>
    </row>
    <row r="187" spans="1:10" ht="32.25" thickBot="1" x14ac:dyDescent="0.9">
      <c r="A187" s="63" t="s">
        <v>627</v>
      </c>
      <c r="B187" s="67" t="s">
        <v>628</v>
      </c>
      <c r="C187" s="124" t="str">
        <f t="shared" si="8"/>
        <v>A.2.6.1.5.1.2 - Infectious agent [Required]</v>
      </c>
      <c r="D187" s="62" t="s">
        <v>629</v>
      </c>
      <c r="E187" s="59">
        <f t="shared" si="9"/>
        <v>0</v>
      </c>
      <c r="F187" s="59" t="str">
        <f t="shared" si="10"/>
        <v>*</v>
      </c>
      <c r="G187" s="121"/>
      <c r="H187" s="62" t="s">
        <v>630</v>
      </c>
      <c r="I187" s="62" t="s">
        <v>131</v>
      </c>
      <c r="J187" s="62" t="s">
        <v>23</v>
      </c>
    </row>
    <row r="188" spans="1:10" ht="16.5" customHeight="1" thickBot="1" x14ac:dyDescent="0.9">
      <c r="A188" s="70" t="s">
        <v>631</v>
      </c>
      <c r="B188" s="157" t="s">
        <v>632</v>
      </c>
      <c r="C188" s="124" t="str">
        <f t="shared" si="8"/>
        <v>A.2.6.1.5.1.3 - Proximity [Required]</v>
      </c>
      <c r="D188" s="70" t="s">
        <v>633</v>
      </c>
      <c r="E188" s="59">
        <f t="shared" si="9"/>
        <v>0</v>
      </c>
      <c r="F188" s="59" t="str">
        <f t="shared" si="10"/>
        <v>1</v>
      </c>
      <c r="G188" s="130"/>
      <c r="H188" s="72" t="s">
        <v>326</v>
      </c>
      <c r="I188" s="70" t="s">
        <v>142</v>
      </c>
      <c r="J188" s="70" t="s">
        <v>23</v>
      </c>
    </row>
    <row r="189" spans="1:10" ht="16.5" thickBot="1" x14ac:dyDescent="0.9">
      <c r="A189" s="74"/>
      <c r="B189" s="158"/>
      <c r="C189" s="124" t="str">
        <f t="shared" si="8"/>
        <v xml:space="preserve"> -  []</v>
      </c>
      <c r="D189" s="74"/>
      <c r="E189" s="59">
        <f t="shared" si="9"/>
        <v>0</v>
      </c>
      <c r="F189" s="59" t="str">
        <f t="shared" si="10"/>
        <v/>
      </c>
      <c r="G189" s="130"/>
      <c r="H189" s="72" t="s">
        <v>634</v>
      </c>
      <c r="I189" s="74"/>
      <c r="J189" s="74"/>
    </row>
    <row r="190" spans="1:10" ht="16.5" thickBot="1" x14ac:dyDescent="0.9">
      <c r="A190" s="63"/>
      <c r="B190" s="159"/>
      <c r="C190" s="124" t="str">
        <f t="shared" si="8"/>
        <v xml:space="preserve"> -  []</v>
      </c>
      <c r="D190" s="63"/>
      <c r="E190" s="59">
        <f t="shared" si="9"/>
        <v>0</v>
      </c>
      <c r="F190" s="59" t="str">
        <f t="shared" si="10"/>
        <v/>
      </c>
      <c r="G190" s="121"/>
      <c r="H190" s="62" t="s">
        <v>635</v>
      </c>
      <c r="I190" s="63"/>
      <c r="J190" s="63"/>
    </row>
    <row r="191" spans="1:10" ht="32.25" thickBot="1" x14ac:dyDescent="0.9">
      <c r="A191" s="63" t="s">
        <v>636</v>
      </c>
      <c r="B191" s="67" t="s">
        <v>637</v>
      </c>
      <c r="C191" s="124" t="str">
        <f t="shared" si="8"/>
        <v>A.2.6.1.5.1.4 - Country [Required]</v>
      </c>
      <c r="D191" s="62" t="s">
        <v>638</v>
      </c>
      <c r="E191" s="59">
        <f t="shared" si="9"/>
        <v>0</v>
      </c>
      <c r="F191" s="59" t="str">
        <f t="shared" si="10"/>
        <v>1</v>
      </c>
      <c r="G191" s="121"/>
      <c r="H191" s="62" t="s">
        <v>639</v>
      </c>
      <c r="I191" s="62" t="s">
        <v>142</v>
      </c>
      <c r="J191" s="62" t="s">
        <v>23</v>
      </c>
    </row>
    <row r="192" spans="1:10" ht="16.5" thickBot="1" x14ac:dyDescent="0.9">
      <c r="A192" s="63" t="s">
        <v>640</v>
      </c>
      <c r="B192" s="67" t="s">
        <v>641</v>
      </c>
      <c r="C192" s="124" t="str">
        <f t="shared" si="8"/>
        <v>A.2.6.1.5.1.5 - Additional information [Required]</v>
      </c>
      <c r="D192" s="62" t="s">
        <v>642</v>
      </c>
      <c r="E192" s="59">
        <f t="shared" si="9"/>
        <v>0</v>
      </c>
      <c r="F192" s="59" t="str">
        <f t="shared" si="10"/>
        <v>1</v>
      </c>
      <c r="G192" s="121"/>
      <c r="H192" s="65"/>
      <c r="I192" s="62" t="s">
        <v>142</v>
      </c>
      <c r="J192" s="62" t="s">
        <v>23</v>
      </c>
    </row>
    <row r="193" spans="1:10" ht="16.5" thickBot="1" x14ac:dyDescent="0.9">
      <c r="A193" s="113" t="s">
        <v>643</v>
      </c>
      <c r="B193" s="114" t="s">
        <v>644</v>
      </c>
      <c r="C193" s="124" t="str">
        <f t="shared" si="8"/>
        <v>A.2.6.1.5.2 - Travel history [Optional]</v>
      </c>
      <c r="D193" s="62" t="s">
        <v>645</v>
      </c>
      <c r="E193" s="59">
        <f t="shared" si="9"/>
        <v>0</v>
      </c>
      <c r="F193" s="59" t="str">
        <f t="shared" si="10"/>
        <v>*</v>
      </c>
      <c r="G193" s="121"/>
      <c r="H193" s="65"/>
      <c r="I193" s="62" t="s">
        <v>131</v>
      </c>
      <c r="J193" s="62" t="s">
        <v>139</v>
      </c>
    </row>
    <row r="194" spans="1:10" ht="32.25" thickBot="1" x14ac:dyDescent="0.9">
      <c r="A194" s="63" t="s">
        <v>646</v>
      </c>
      <c r="B194" s="67" t="s">
        <v>625</v>
      </c>
      <c r="C194" s="124" t="str">
        <f t="shared" si="8"/>
        <v>A.2.6.1.5.2.1 - Time period [Required]</v>
      </c>
      <c r="D194" s="62" t="s">
        <v>647</v>
      </c>
      <c r="E194" s="59">
        <f t="shared" si="9"/>
        <v>0</v>
      </c>
      <c r="F194" s="59" t="str">
        <f t="shared" si="10"/>
        <v>1</v>
      </c>
      <c r="G194" s="121"/>
      <c r="H194" s="65"/>
      <c r="I194" s="62" t="s">
        <v>142</v>
      </c>
      <c r="J194" s="62" t="s">
        <v>23</v>
      </c>
    </row>
    <row r="195" spans="1:10" ht="16.5" thickBot="1" x14ac:dyDescent="0.9">
      <c r="A195" s="63" t="s">
        <v>648</v>
      </c>
      <c r="B195" s="67" t="s">
        <v>649</v>
      </c>
      <c r="C195" s="124" t="str">
        <f t="shared" ref="C195:C258" si="11">CONCATENATE(A195," - ",B195," [",J195,"]")</f>
        <v>A.2.6.1.5.2.2 - Country visited [Mandatory]</v>
      </c>
      <c r="D195" s="62" t="s">
        <v>650</v>
      </c>
      <c r="E195" s="59">
        <f t="shared" ref="E195:E258" si="12">_xlfn.NUMBERVALUE(MID(I195,1,1))</f>
        <v>1</v>
      </c>
      <c r="F195" s="59" t="str">
        <f t="shared" ref="F195:F258" si="13">MID(I195,4,1)</f>
        <v>1</v>
      </c>
      <c r="G195" s="121"/>
      <c r="H195" s="62" t="s">
        <v>639</v>
      </c>
      <c r="I195" s="62" t="s">
        <v>110</v>
      </c>
      <c r="J195" s="62" t="s">
        <v>111</v>
      </c>
    </row>
    <row r="196" spans="1:10" ht="16.5" thickBot="1" x14ac:dyDescent="0.9">
      <c r="A196" s="63" t="s">
        <v>651</v>
      </c>
      <c r="B196" s="67" t="s">
        <v>95</v>
      </c>
      <c r="C196" s="124" t="str">
        <f t="shared" si="11"/>
        <v>A.2.6.1.5.2.3 - Comment [Required]</v>
      </c>
      <c r="D196" s="62" t="s">
        <v>652</v>
      </c>
      <c r="E196" s="59">
        <f t="shared" si="12"/>
        <v>0</v>
      </c>
      <c r="F196" s="59" t="str">
        <f t="shared" si="13"/>
        <v>1</v>
      </c>
      <c r="G196" s="121"/>
      <c r="H196" s="65"/>
      <c r="I196" s="62" t="s">
        <v>142</v>
      </c>
      <c r="J196" s="62" t="s">
        <v>23</v>
      </c>
    </row>
    <row r="197" spans="1:10" ht="48" thickBot="1" x14ac:dyDescent="0.9">
      <c r="A197" s="86" t="s">
        <v>653</v>
      </c>
      <c r="B197" s="109" t="s">
        <v>654</v>
      </c>
      <c r="C197" s="124" t="str">
        <f t="shared" si="11"/>
        <v>A.2.6.2 - Family history [Optional]</v>
      </c>
      <c r="D197" s="62" t="s">
        <v>655</v>
      </c>
      <c r="E197" s="59">
        <f t="shared" si="12"/>
        <v>0</v>
      </c>
      <c r="F197" s="59" t="str">
        <f t="shared" si="13"/>
        <v>*</v>
      </c>
      <c r="G197" s="121"/>
      <c r="H197" s="65"/>
      <c r="I197" s="62" t="s">
        <v>131</v>
      </c>
      <c r="J197" s="62" t="s">
        <v>139</v>
      </c>
    </row>
    <row r="198" spans="1:10" ht="30.25" thickBot="1" x14ac:dyDescent="0.9">
      <c r="A198" s="63" t="s">
        <v>656</v>
      </c>
      <c r="B198" s="67" t="s">
        <v>657</v>
      </c>
      <c r="C198" s="124" t="str">
        <f t="shared" si="11"/>
        <v>A.2.6.2.1 - Patient relationship [Required]</v>
      </c>
      <c r="D198" s="62" t="s">
        <v>658</v>
      </c>
      <c r="E198" s="59">
        <f t="shared" si="12"/>
        <v>0</v>
      </c>
      <c r="F198" s="59" t="str">
        <f t="shared" si="13"/>
        <v>1</v>
      </c>
      <c r="G198" s="121"/>
      <c r="H198" s="66" t="s">
        <v>659</v>
      </c>
      <c r="I198" s="62" t="s">
        <v>142</v>
      </c>
      <c r="J198" s="62" t="s">
        <v>23</v>
      </c>
    </row>
    <row r="199" spans="1:10" ht="16.5" thickBot="1" x14ac:dyDescent="0.9">
      <c r="A199" s="63" t="s">
        <v>660</v>
      </c>
      <c r="B199" s="67" t="s">
        <v>21</v>
      </c>
      <c r="C199" s="124" t="str">
        <f t="shared" si="11"/>
        <v>A.2.6.2.2 - Date of birth [Optional]</v>
      </c>
      <c r="D199" s="62" t="s">
        <v>661</v>
      </c>
      <c r="E199" s="59">
        <f t="shared" si="12"/>
        <v>0</v>
      </c>
      <c r="F199" s="59" t="str">
        <f t="shared" si="13"/>
        <v>1</v>
      </c>
      <c r="G199" s="121"/>
      <c r="H199" s="65"/>
      <c r="I199" s="62" t="s">
        <v>142</v>
      </c>
      <c r="J199" s="62" t="s">
        <v>139</v>
      </c>
    </row>
    <row r="200" spans="1:10" ht="16.5" thickBot="1" x14ac:dyDescent="0.9">
      <c r="A200" s="63" t="s">
        <v>662</v>
      </c>
      <c r="B200" s="67" t="s">
        <v>663</v>
      </c>
      <c r="C200" s="124" t="str">
        <f t="shared" si="11"/>
        <v>A.2.6.2.3 - Age or date of death [Optional]</v>
      </c>
      <c r="D200" s="62" t="s">
        <v>664</v>
      </c>
      <c r="E200" s="59">
        <f t="shared" si="12"/>
        <v>0</v>
      </c>
      <c r="F200" s="59" t="str">
        <f t="shared" si="13"/>
        <v>1</v>
      </c>
      <c r="G200" s="121"/>
      <c r="H200" s="65"/>
      <c r="I200" s="62" t="s">
        <v>142</v>
      </c>
      <c r="J200" s="62" t="s">
        <v>139</v>
      </c>
    </row>
    <row r="201" spans="1:10" ht="32.25" thickBot="1" x14ac:dyDescent="0.9">
      <c r="A201" s="63" t="s">
        <v>665</v>
      </c>
      <c r="B201" s="67" t="s">
        <v>666</v>
      </c>
      <c r="C201" s="124" t="str">
        <f t="shared" si="11"/>
        <v>A.2.6.2.4 - Education [Optional]</v>
      </c>
      <c r="D201" s="62" t="s">
        <v>667</v>
      </c>
      <c r="E201" s="59">
        <f t="shared" si="12"/>
        <v>0</v>
      </c>
      <c r="F201" s="59" t="str">
        <f t="shared" si="13"/>
        <v/>
      </c>
      <c r="G201" s="121"/>
      <c r="H201" s="66" t="s">
        <v>668</v>
      </c>
      <c r="I201" s="62" t="s">
        <v>669</v>
      </c>
      <c r="J201" s="62" t="s">
        <v>139</v>
      </c>
    </row>
    <row r="202" spans="1:10" ht="48" thickBot="1" x14ac:dyDescent="0.9">
      <c r="A202" s="70" t="s">
        <v>670</v>
      </c>
      <c r="B202" s="77" t="s">
        <v>361</v>
      </c>
      <c r="C202" s="124" t="str">
        <f t="shared" si="11"/>
        <v>A.2.6.2.5 - Condition [Required]</v>
      </c>
      <c r="D202" s="70" t="s">
        <v>671</v>
      </c>
      <c r="E202" s="59">
        <f t="shared" si="12"/>
        <v>0</v>
      </c>
      <c r="F202" s="59" t="str">
        <f t="shared" si="13"/>
        <v>*</v>
      </c>
      <c r="G202" s="130"/>
      <c r="H202" s="72" t="s">
        <v>1067</v>
      </c>
      <c r="I202" s="70" t="s">
        <v>131</v>
      </c>
      <c r="J202" s="70" t="s">
        <v>23</v>
      </c>
    </row>
    <row r="203" spans="1:10" ht="48" thickBot="1" x14ac:dyDescent="0.9">
      <c r="A203" s="70" t="s">
        <v>672</v>
      </c>
      <c r="B203" s="77" t="s">
        <v>26</v>
      </c>
      <c r="C203" s="124" t="str">
        <f t="shared" si="11"/>
        <v>A.2.6.2.6 - Cause of death [Optional]</v>
      </c>
      <c r="D203" s="70" t="s">
        <v>673</v>
      </c>
      <c r="E203" s="59">
        <f t="shared" si="12"/>
        <v>0</v>
      </c>
      <c r="F203" s="59" t="str">
        <f t="shared" si="13"/>
        <v>1</v>
      </c>
      <c r="G203" s="130"/>
      <c r="H203" s="72" t="s">
        <v>1067</v>
      </c>
      <c r="I203" s="70" t="s">
        <v>142</v>
      </c>
      <c r="J203" s="70" t="s">
        <v>139</v>
      </c>
    </row>
    <row r="204" spans="1:10" ht="16.5" thickBot="1" x14ac:dyDescent="0.9">
      <c r="A204" s="86" t="s">
        <v>674</v>
      </c>
      <c r="B204" s="109" t="s">
        <v>675</v>
      </c>
      <c r="C204" s="124" t="str">
        <f t="shared" si="11"/>
        <v>A.2.6.3 - Social history [Optional]</v>
      </c>
      <c r="D204" s="65"/>
      <c r="E204" s="59">
        <f t="shared" si="12"/>
        <v>0</v>
      </c>
      <c r="F204" s="59" t="str">
        <f t="shared" si="13"/>
        <v>1</v>
      </c>
      <c r="G204" s="121"/>
      <c r="H204" s="65"/>
      <c r="I204" s="62" t="s">
        <v>142</v>
      </c>
      <c r="J204" s="62" t="s">
        <v>139</v>
      </c>
    </row>
    <row r="205" spans="1:10" ht="16.5" thickBot="1" x14ac:dyDescent="0.9">
      <c r="A205" s="63" t="s">
        <v>676</v>
      </c>
      <c r="B205" s="67" t="s">
        <v>677</v>
      </c>
      <c r="C205" s="124" t="str">
        <f t="shared" si="11"/>
        <v>A.2.6.3.1 - Participation in society [Optional]</v>
      </c>
      <c r="D205" s="62" t="s">
        <v>678</v>
      </c>
      <c r="E205" s="59">
        <f t="shared" si="12"/>
        <v>0</v>
      </c>
      <c r="F205" s="59" t="str">
        <f t="shared" si="13"/>
        <v>1</v>
      </c>
      <c r="G205" s="121"/>
      <c r="H205" s="65"/>
      <c r="I205" s="62" t="s">
        <v>142</v>
      </c>
      <c r="J205" s="62" t="s">
        <v>139</v>
      </c>
    </row>
    <row r="206" spans="1:10" ht="79.5" thickBot="1" x14ac:dyDescent="0.9">
      <c r="A206" s="63" t="s">
        <v>679</v>
      </c>
      <c r="B206" s="67" t="s">
        <v>680</v>
      </c>
      <c r="C206" s="124" t="str">
        <f t="shared" si="11"/>
        <v>A.2.6.3.1.1 - Work situation [Required]</v>
      </c>
      <c r="D206" s="62" t="s">
        <v>681</v>
      </c>
      <c r="E206" s="59">
        <f t="shared" si="12"/>
        <v>0</v>
      </c>
      <c r="F206" s="59" t="str">
        <f t="shared" si="13"/>
        <v>1</v>
      </c>
      <c r="G206" s="121"/>
      <c r="H206" s="65"/>
      <c r="I206" s="62" t="s">
        <v>142</v>
      </c>
      <c r="J206" s="62" t="s">
        <v>23</v>
      </c>
    </row>
    <row r="207" spans="1:10" ht="16.5" thickBot="1" x14ac:dyDescent="0.9">
      <c r="A207" s="63" t="s">
        <v>682</v>
      </c>
      <c r="B207" s="67" t="s">
        <v>683</v>
      </c>
      <c r="C207" s="124" t="str">
        <f t="shared" si="11"/>
        <v>A.2.6.3.1.2 - Hobby [Required]</v>
      </c>
      <c r="D207" s="62" t="s">
        <v>684</v>
      </c>
      <c r="E207" s="59">
        <f t="shared" si="12"/>
        <v>0</v>
      </c>
      <c r="F207" s="59" t="str">
        <f t="shared" si="13"/>
        <v>1</v>
      </c>
      <c r="G207" s="121"/>
      <c r="H207" s="65"/>
      <c r="I207" s="62" t="s">
        <v>142</v>
      </c>
      <c r="J207" s="62" t="s">
        <v>23</v>
      </c>
    </row>
    <row r="208" spans="1:10" ht="32.25" thickBot="1" x14ac:dyDescent="0.9">
      <c r="A208" s="63" t="s">
        <v>685</v>
      </c>
      <c r="B208" s="67" t="s">
        <v>686</v>
      </c>
      <c r="C208" s="124" t="str">
        <f t="shared" si="11"/>
        <v>A.2.6.3.1.3 - Social network [Required]</v>
      </c>
      <c r="D208" s="62" t="s">
        <v>687</v>
      </c>
      <c r="E208" s="59">
        <f t="shared" si="12"/>
        <v>0</v>
      </c>
      <c r="F208" s="59" t="str">
        <f t="shared" si="13"/>
        <v>1</v>
      </c>
      <c r="G208" s="121"/>
      <c r="H208" s="65"/>
      <c r="I208" s="62" t="s">
        <v>142</v>
      </c>
      <c r="J208" s="62" t="s">
        <v>23</v>
      </c>
    </row>
    <row r="209" spans="1:10" ht="16.5" thickBot="1" x14ac:dyDescent="0.9">
      <c r="A209" s="63" t="s">
        <v>688</v>
      </c>
      <c r="B209" s="62" t="s">
        <v>666</v>
      </c>
      <c r="C209" s="124" t="str">
        <f t="shared" si="11"/>
        <v>A.2.6.3.2 - Education [Optional]</v>
      </c>
      <c r="D209" s="65"/>
      <c r="E209" s="59">
        <f t="shared" si="12"/>
        <v>0</v>
      </c>
      <c r="F209" s="59" t="str">
        <f t="shared" si="13"/>
        <v>1</v>
      </c>
      <c r="G209" s="121"/>
      <c r="H209" s="65"/>
      <c r="I209" s="62" t="s">
        <v>142</v>
      </c>
      <c r="J209" s="62" t="s">
        <v>139</v>
      </c>
    </row>
    <row r="210" spans="1:10" ht="16.5" thickBot="1" x14ac:dyDescent="0.9">
      <c r="A210" s="63" t="s">
        <v>689</v>
      </c>
      <c r="B210" s="67" t="s">
        <v>690</v>
      </c>
      <c r="C210" s="124" t="str">
        <f t="shared" si="11"/>
        <v>A.2.6.3.2.1 - Education level [Required]</v>
      </c>
      <c r="D210" s="62" t="s">
        <v>691</v>
      </c>
      <c r="E210" s="59">
        <f t="shared" si="12"/>
        <v>0</v>
      </c>
      <c r="F210" s="59" t="str">
        <f t="shared" si="13"/>
        <v>1</v>
      </c>
      <c r="G210" s="121"/>
      <c r="H210" s="66" t="s">
        <v>692</v>
      </c>
      <c r="I210" s="62" t="s">
        <v>142</v>
      </c>
      <c r="J210" s="62" t="s">
        <v>23</v>
      </c>
    </row>
    <row r="211" spans="1:10" ht="48" thickBot="1" x14ac:dyDescent="0.9">
      <c r="A211" s="63" t="s">
        <v>693</v>
      </c>
      <c r="B211" s="67" t="s">
        <v>95</v>
      </c>
      <c r="C211" s="124" t="str">
        <f t="shared" si="11"/>
        <v>A.2.6.3.2.2 - Comment [Required]</v>
      </c>
      <c r="D211" s="62" t="s">
        <v>694</v>
      </c>
      <c r="E211" s="59">
        <f t="shared" si="12"/>
        <v>0</v>
      </c>
      <c r="F211" s="59" t="str">
        <f t="shared" si="13"/>
        <v>1</v>
      </c>
      <c r="G211" s="121"/>
      <c r="H211" s="65"/>
      <c r="I211" s="62" t="s">
        <v>142</v>
      </c>
      <c r="J211" s="62" t="s">
        <v>23</v>
      </c>
    </row>
    <row r="212" spans="1:10" ht="16.5" thickBot="1" x14ac:dyDescent="0.9">
      <c r="A212" s="63" t="s">
        <v>695</v>
      </c>
      <c r="B212" s="67" t="s">
        <v>696</v>
      </c>
      <c r="C212" s="124" t="str">
        <f t="shared" si="11"/>
        <v>A.2.6.3.3 - Living situation [Optional]</v>
      </c>
      <c r="D212" s="62" t="s">
        <v>697</v>
      </c>
      <c r="E212" s="59">
        <f t="shared" si="12"/>
        <v>0</v>
      </c>
      <c r="F212" s="59" t="str">
        <f t="shared" si="13"/>
        <v>1</v>
      </c>
      <c r="G212" s="121"/>
      <c r="H212" s="65"/>
      <c r="I212" s="62" t="s">
        <v>142</v>
      </c>
      <c r="J212" s="62" t="s">
        <v>139</v>
      </c>
    </row>
    <row r="213" spans="1:10" ht="48" thickBot="1" x14ac:dyDescent="0.9">
      <c r="A213" s="70" t="s">
        <v>698</v>
      </c>
      <c r="B213" s="77" t="s">
        <v>699</v>
      </c>
      <c r="C213" s="124" t="str">
        <f t="shared" si="11"/>
        <v>A.2.6.3.3.1 - House type [Required]</v>
      </c>
      <c r="D213" s="70" t="s">
        <v>700</v>
      </c>
      <c r="E213" s="59">
        <f t="shared" si="12"/>
        <v>0</v>
      </c>
      <c r="F213" s="59" t="str">
        <f t="shared" si="13"/>
        <v>1</v>
      </c>
      <c r="G213" s="130"/>
      <c r="H213" s="72" t="s">
        <v>1083</v>
      </c>
      <c r="I213" s="70" t="s">
        <v>142</v>
      </c>
      <c r="J213" s="70" t="s">
        <v>23</v>
      </c>
    </row>
    <row r="214" spans="1:10" ht="16.5" customHeight="1" thickBot="1" x14ac:dyDescent="0.9">
      <c r="A214" s="70" t="s">
        <v>702</v>
      </c>
      <c r="B214" s="157" t="s">
        <v>703</v>
      </c>
      <c r="C214" s="124" t="str">
        <f t="shared" si="11"/>
        <v>A.2.6.3.3.2 - Home adaption [Required]</v>
      </c>
      <c r="D214" s="70" t="s">
        <v>704</v>
      </c>
      <c r="E214" s="59">
        <f t="shared" si="12"/>
        <v>0</v>
      </c>
      <c r="F214" s="59" t="str">
        <f t="shared" si="13"/>
        <v>*</v>
      </c>
      <c r="G214" s="130"/>
      <c r="H214" s="72" t="s">
        <v>326</v>
      </c>
      <c r="I214" s="70" t="s">
        <v>131</v>
      </c>
      <c r="J214" s="70" t="s">
        <v>23</v>
      </c>
    </row>
    <row r="215" spans="1:10" ht="16.5" thickBot="1" x14ac:dyDescent="0.9">
      <c r="A215" s="74"/>
      <c r="B215" s="158"/>
      <c r="C215" s="124" t="str">
        <f t="shared" si="11"/>
        <v xml:space="preserve"> -  []</v>
      </c>
      <c r="D215" s="74"/>
      <c r="E215" s="59">
        <f t="shared" si="12"/>
        <v>0</v>
      </c>
      <c r="F215" s="59" t="str">
        <f t="shared" si="13"/>
        <v/>
      </c>
      <c r="G215" s="130"/>
      <c r="H215" s="72" t="s">
        <v>705</v>
      </c>
      <c r="I215" s="74"/>
      <c r="J215" s="74"/>
    </row>
    <row r="216" spans="1:10" ht="16.5" thickBot="1" x14ac:dyDescent="0.9">
      <c r="A216" s="74"/>
      <c r="B216" s="158"/>
      <c r="C216" s="124" t="str">
        <f t="shared" si="11"/>
        <v xml:space="preserve"> -  []</v>
      </c>
      <c r="D216" s="74"/>
      <c r="E216" s="59">
        <f t="shared" si="12"/>
        <v>0</v>
      </c>
      <c r="F216" s="59" t="str">
        <f t="shared" si="13"/>
        <v/>
      </c>
      <c r="G216" s="130"/>
      <c r="H216" s="72" t="s">
        <v>706</v>
      </c>
      <c r="I216" s="74"/>
      <c r="J216" s="74"/>
    </row>
    <row r="217" spans="1:10" ht="16.5" thickBot="1" x14ac:dyDescent="0.9">
      <c r="A217" s="74"/>
      <c r="B217" s="158"/>
      <c r="C217" s="124" t="str">
        <f t="shared" si="11"/>
        <v xml:space="preserve"> -  []</v>
      </c>
      <c r="D217" s="74"/>
      <c r="E217" s="59">
        <f t="shared" si="12"/>
        <v>0</v>
      </c>
      <c r="F217" s="59" t="str">
        <f t="shared" si="13"/>
        <v/>
      </c>
      <c r="G217" s="130"/>
      <c r="H217" s="72" t="s">
        <v>707</v>
      </c>
      <c r="I217" s="74"/>
      <c r="J217" s="74"/>
    </row>
    <row r="218" spans="1:10" ht="16.5" thickBot="1" x14ac:dyDescent="0.9">
      <c r="A218" s="74"/>
      <c r="B218" s="158"/>
      <c r="C218" s="124" t="str">
        <f t="shared" si="11"/>
        <v xml:space="preserve"> -  []</v>
      </c>
      <c r="D218" s="74"/>
      <c r="E218" s="59">
        <f t="shared" si="12"/>
        <v>0</v>
      </c>
      <c r="F218" s="59" t="str">
        <f t="shared" si="13"/>
        <v/>
      </c>
      <c r="G218" s="130"/>
      <c r="H218" s="72" t="s">
        <v>708</v>
      </c>
      <c r="I218" s="74"/>
      <c r="J218" s="74"/>
    </row>
    <row r="219" spans="1:10" ht="32.25" thickBot="1" x14ac:dyDescent="0.9">
      <c r="A219" s="74"/>
      <c r="B219" s="158"/>
      <c r="C219" s="124" t="str">
        <f t="shared" si="11"/>
        <v xml:space="preserve"> -  []</v>
      </c>
      <c r="D219" s="74"/>
      <c r="E219" s="59">
        <f t="shared" si="12"/>
        <v>0</v>
      </c>
      <c r="F219" s="59" t="str">
        <f t="shared" si="13"/>
        <v/>
      </c>
      <c r="G219" s="130"/>
      <c r="H219" s="72" t="s">
        <v>709</v>
      </c>
      <c r="I219" s="74"/>
      <c r="J219" s="74"/>
    </row>
    <row r="220" spans="1:10" ht="16.5" thickBot="1" x14ac:dyDescent="0.9">
      <c r="A220" s="63"/>
      <c r="B220" s="159"/>
      <c r="C220" s="124" t="str">
        <f t="shared" si="11"/>
        <v xml:space="preserve"> -  []</v>
      </c>
      <c r="D220" s="63"/>
      <c r="E220" s="59">
        <f t="shared" si="12"/>
        <v>0</v>
      </c>
      <c r="F220" s="59" t="str">
        <f t="shared" si="13"/>
        <v/>
      </c>
      <c r="G220" s="121"/>
      <c r="H220" s="62" t="s">
        <v>710</v>
      </c>
      <c r="I220" s="63"/>
      <c r="J220" s="63"/>
    </row>
    <row r="221" spans="1:10" ht="16.5" customHeight="1" thickBot="1" x14ac:dyDescent="0.9">
      <c r="A221" s="70" t="s">
        <v>711</v>
      </c>
      <c r="B221" s="157" t="s">
        <v>712</v>
      </c>
      <c r="C221" s="124" t="str">
        <f t="shared" si="11"/>
        <v>A.2.6.3.3.3 - Living conditions [Required]</v>
      </c>
      <c r="D221" s="70" t="s">
        <v>713</v>
      </c>
      <c r="E221" s="59">
        <f t="shared" si="12"/>
        <v>0</v>
      </c>
      <c r="F221" s="59" t="str">
        <f t="shared" si="13"/>
        <v>*</v>
      </c>
      <c r="G221" s="130"/>
      <c r="H221" s="72" t="s">
        <v>326</v>
      </c>
      <c r="I221" s="70" t="s">
        <v>131</v>
      </c>
      <c r="J221" s="70" t="s">
        <v>23</v>
      </c>
    </row>
    <row r="222" spans="1:10" ht="16.5" thickBot="1" x14ac:dyDescent="0.9">
      <c r="A222" s="74"/>
      <c r="B222" s="158"/>
      <c r="C222" s="124" t="str">
        <f t="shared" si="11"/>
        <v xml:space="preserve"> -  []</v>
      </c>
      <c r="D222" s="74"/>
      <c r="E222" s="59">
        <f t="shared" si="12"/>
        <v>0</v>
      </c>
      <c r="F222" s="59" t="str">
        <f t="shared" si="13"/>
        <v/>
      </c>
      <c r="G222" s="130"/>
      <c r="H222" s="72" t="s">
        <v>714</v>
      </c>
      <c r="I222" s="74"/>
      <c r="J222" s="74"/>
    </row>
    <row r="223" spans="1:10" ht="32.25" thickBot="1" x14ac:dyDescent="0.9">
      <c r="A223" s="74"/>
      <c r="B223" s="158"/>
      <c r="C223" s="124" t="str">
        <f t="shared" si="11"/>
        <v xml:space="preserve"> -  []</v>
      </c>
      <c r="D223" s="74"/>
      <c r="E223" s="59">
        <f t="shared" si="12"/>
        <v>0</v>
      </c>
      <c r="F223" s="59" t="str">
        <f t="shared" si="13"/>
        <v/>
      </c>
      <c r="G223" s="130"/>
      <c r="H223" s="72" t="s">
        <v>715</v>
      </c>
      <c r="I223" s="74"/>
      <c r="J223" s="74"/>
    </row>
    <row r="224" spans="1:10" ht="16.5" thickBot="1" x14ac:dyDescent="0.9">
      <c r="A224" s="74"/>
      <c r="B224" s="158"/>
      <c r="C224" s="124" t="str">
        <f t="shared" si="11"/>
        <v xml:space="preserve"> -  []</v>
      </c>
      <c r="D224" s="74"/>
      <c r="E224" s="59">
        <f t="shared" si="12"/>
        <v>0</v>
      </c>
      <c r="F224" s="59" t="str">
        <f t="shared" si="13"/>
        <v/>
      </c>
      <c r="G224" s="130"/>
      <c r="H224" s="72" t="s">
        <v>716</v>
      </c>
      <c r="I224" s="74"/>
      <c r="J224" s="74"/>
    </row>
    <row r="225" spans="1:10" ht="32.25" thickBot="1" x14ac:dyDescent="0.9">
      <c r="A225" s="74"/>
      <c r="B225" s="158"/>
      <c r="C225" s="124" t="str">
        <f t="shared" si="11"/>
        <v xml:space="preserve"> -  []</v>
      </c>
      <c r="D225" s="74"/>
      <c r="E225" s="59">
        <f t="shared" si="12"/>
        <v>0</v>
      </c>
      <c r="F225" s="59" t="str">
        <f t="shared" si="13"/>
        <v/>
      </c>
      <c r="G225" s="130"/>
      <c r="H225" s="72" t="s">
        <v>717</v>
      </c>
      <c r="I225" s="74"/>
      <c r="J225" s="74"/>
    </row>
    <row r="226" spans="1:10" ht="32.25" thickBot="1" x14ac:dyDescent="0.9">
      <c r="A226" s="74"/>
      <c r="B226" s="158"/>
      <c r="C226" s="124" t="str">
        <f t="shared" si="11"/>
        <v xml:space="preserve"> -  []</v>
      </c>
      <c r="D226" s="74"/>
      <c r="E226" s="59">
        <f t="shared" si="12"/>
        <v>0</v>
      </c>
      <c r="F226" s="59" t="str">
        <f t="shared" si="13"/>
        <v/>
      </c>
      <c r="G226" s="130"/>
      <c r="H226" s="72" t="s">
        <v>718</v>
      </c>
      <c r="I226" s="74"/>
      <c r="J226" s="74"/>
    </row>
    <row r="227" spans="1:10" ht="16.5" thickBot="1" x14ac:dyDescent="0.9">
      <c r="A227" s="74"/>
      <c r="B227" s="158"/>
      <c r="C227" s="124" t="str">
        <f t="shared" si="11"/>
        <v xml:space="preserve"> -  []</v>
      </c>
      <c r="D227" s="74"/>
      <c r="E227" s="59">
        <f t="shared" si="12"/>
        <v>0</v>
      </c>
      <c r="F227" s="59" t="str">
        <f t="shared" si="13"/>
        <v/>
      </c>
      <c r="G227" s="130"/>
      <c r="H227" s="72" t="s">
        <v>719</v>
      </c>
      <c r="I227" s="74"/>
      <c r="J227" s="74"/>
    </row>
    <row r="228" spans="1:10" ht="16.5" thickBot="1" x14ac:dyDescent="0.9">
      <c r="A228" s="74"/>
      <c r="B228" s="158"/>
      <c r="C228" s="124" t="str">
        <f t="shared" si="11"/>
        <v xml:space="preserve"> -  []</v>
      </c>
      <c r="D228" s="74"/>
      <c r="E228" s="59">
        <f t="shared" si="12"/>
        <v>0</v>
      </c>
      <c r="F228" s="59" t="str">
        <f t="shared" si="13"/>
        <v/>
      </c>
      <c r="G228" s="130"/>
      <c r="H228" s="72" t="s">
        <v>720</v>
      </c>
      <c r="I228" s="74"/>
      <c r="J228" s="74"/>
    </row>
    <row r="229" spans="1:10" ht="16.5" thickBot="1" x14ac:dyDescent="0.9">
      <c r="A229" s="74"/>
      <c r="B229" s="158"/>
      <c r="C229" s="124" t="str">
        <f t="shared" si="11"/>
        <v xml:space="preserve"> -  []</v>
      </c>
      <c r="D229" s="74"/>
      <c r="E229" s="59">
        <f t="shared" si="12"/>
        <v>0</v>
      </c>
      <c r="F229" s="59" t="str">
        <f t="shared" si="13"/>
        <v/>
      </c>
      <c r="G229" s="130"/>
      <c r="H229" s="72" t="s">
        <v>721</v>
      </c>
      <c r="I229" s="74"/>
      <c r="J229" s="74"/>
    </row>
    <row r="230" spans="1:10" ht="16.5" thickBot="1" x14ac:dyDescent="0.9">
      <c r="A230" s="63"/>
      <c r="B230" s="159"/>
      <c r="C230" s="124" t="str">
        <f t="shared" si="11"/>
        <v xml:space="preserve"> -  []</v>
      </c>
      <c r="D230" s="63"/>
      <c r="E230" s="59">
        <f t="shared" si="12"/>
        <v>0</v>
      </c>
      <c r="F230" s="59" t="str">
        <f t="shared" si="13"/>
        <v/>
      </c>
      <c r="G230" s="121"/>
      <c r="H230" s="62" t="s">
        <v>722</v>
      </c>
      <c r="I230" s="63"/>
      <c r="J230" s="63"/>
    </row>
    <row r="231" spans="1:10" ht="16.5" thickBot="1" x14ac:dyDescent="0.9">
      <c r="A231" s="63" t="s">
        <v>723</v>
      </c>
      <c r="B231" s="62" t="s">
        <v>724</v>
      </c>
      <c r="C231" s="124" t="str">
        <f t="shared" si="11"/>
        <v>A.2.6.3.4 - Family situation [Optional]</v>
      </c>
      <c r="D231" s="62" t="s">
        <v>725</v>
      </c>
      <c r="E231" s="59">
        <f t="shared" si="12"/>
        <v>0</v>
      </c>
      <c r="F231" s="59" t="str">
        <f t="shared" si="13"/>
        <v>1</v>
      </c>
      <c r="G231" s="121"/>
      <c r="H231" s="65"/>
      <c r="I231" s="62" t="s">
        <v>142</v>
      </c>
      <c r="J231" s="62" t="s">
        <v>139</v>
      </c>
    </row>
    <row r="232" spans="1:10" ht="16.5" thickBot="1" x14ac:dyDescent="0.9">
      <c r="A232" s="63" t="s">
        <v>726</v>
      </c>
      <c r="B232" s="62" t="s">
        <v>95</v>
      </c>
      <c r="C232" s="124" t="str">
        <f t="shared" si="11"/>
        <v>A.2.6.3.4.1 - Comment [Required]</v>
      </c>
      <c r="D232" s="62" t="s">
        <v>727</v>
      </c>
      <c r="E232" s="59">
        <f t="shared" si="12"/>
        <v>0</v>
      </c>
      <c r="F232" s="59" t="str">
        <f t="shared" si="13"/>
        <v>1</v>
      </c>
      <c r="G232" s="121"/>
      <c r="H232" s="65"/>
      <c r="I232" s="62" t="s">
        <v>142</v>
      </c>
      <c r="J232" s="62" t="s">
        <v>23</v>
      </c>
    </row>
    <row r="233" spans="1:10" ht="32.25" thickBot="1" x14ac:dyDescent="0.9">
      <c r="A233" s="70" t="s">
        <v>728</v>
      </c>
      <c r="B233" s="157" t="s">
        <v>729</v>
      </c>
      <c r="C233" s="124" t="str">
        <f t="shared" si="11"/>
        <v>A.2.6.3.4.2 - Family composition [Required]</v>
      </c>
      <c r="D233" s="72" t="s">
        <v>730</v>
      </c>
      <c r="E233" s="59">
        <f t="shared" si="12"/>
        <v>0</v>
      </c>
      <c r="F233" s="59" t="str">
        <f t="shared" si="13"/>
        <v>1</v>
      </c>
      <c r="G233" s="130"/>
      <c r="H233" s="72" t="s">
        <v>326</v>
      </c>
      <c r="I233" s="70" t="s">
        <v>142</v>
      </c>
      <c r="J233" s="70" t="s">
        <v>23</v>
      </c>
    </row>
    <row r="234" spans="1:10" ht="32.25" thickBot="1" x14ac:dyDescent="0.9">
      <c r="A234" s="63"/>
      <c r="B234" s="159"/>
      <c r="C234" s="124" t="str">
        <f t="shared" si="11"/>
        <v xml:space="preserve"> -  []</v>
      </c>
      <c r="D234" s="62" t="s">
        <v>731</v>
      </c>
      <c r="E234" s="59">
        <f t="shared" si="12"/>
        <v>0</v>
      </c>
      <c r="F234" s="59" t="str">
        <f t="shared" si="13"/>
        <v/>
      </c>
      <c r="G234" s="121"/>
      <c r="H234" s="62" t="s">
        <v>732</v>
      </c>
      <c r="I234" s="63"/>
      <c r="J234" s="63"/>
    </row>
    <row r="235" spans="1:10" ht="32.25" thickBot="1" x14ac:dyDescent="0.9">
      <c r="A235" s="63" t="s">
        <v>733</v>
      </c>
      <c r="B235" s="67" t="s">
        <v>22</v>
      </c>
      <c r="C235" s="124" t="str">
        <f t="shared" si="11"/>
        <v>A.2.6.3.4.3 - Marital status [Required]</v>
      </c>
      <c r="D235" s="62" t="s">
        <v>734</v>
      </c>
      <c r="E235" s="59">
        <f t="shared" si="12"/>
        <v>0</v>
      </c>
      <c r="F235" s="59" t="str">
        <f t="shared" si="13"/>
        <v>1</v>
      </c>
      <c r="G235" s="121"/>
      <c r="H235" s="66" t="s">
        <v>735</v>
      </c>
      <c r="I235" s="62" t="s">
        <v>142</v>
      </c>
      <c r="J235" s="62" t="s">
        <v>23</v>
      </c>
    </row>
    <row r="236" spans="1:10" ht="48" thickBot="1" x14ac:dyDescent="0.9">
      <c r="A236" s="63" t="s">
        <v>736</v>
      </c>
      <c r="B236" s="67" t="s">
        <v>737</v>
      </c>
      <c r="C236" s="124" t="str">
        <f t="shared" si="11"/>
        <v>A.2.6.3.4.4 - Number of children [Required]</v>
      </c>
      <c r="D236" s="62" t="s">
        <v>738</v>
      </c>
      <c r="E236" s="59">
        <f t="shared" si="12"/>
        <v>0</v>
      </c>
      <c r="F236" s="59" t="str">
        <f t="shared" si="13"/>
        <v>1</v>
      </c>
      <c r="G236" s="121"/>
      <c r="H236" s="65"/>
      <c r="I236" s="62" t="s">
        <v>142</v>
      </c>
      <c r="J236" s="62" t="s">
        <v>23</v>
      </c>
    </row>
    <row r="237" spans="1:10" ht="16.5" thickBot="1" x14ac:dyDescent="0.9">
      <c r="A237" s="63" t="s">
        <v>739</v>
      </c>
      <c r="B237" s="67" t="s">
        <v>740</v>
      </c>
      <c r="C237" s="124" t="str">
        <f t="shared" si="11"/>
        <v>A.2.6.3.4.5 - Number of children at home [Required]</v>
      </c>
      <c r="D237" s="62" t="s">
        <v>741</v>
      </c>
      <c r="E237" s="59">
        <f t="shared" si="12"/>
        <v>0</v>
      </c>
      <c r="F237" s="59" t="str">
        <f t="shared" si="13"/>
        <v/>
      </c>
      <c r="G237" s="121"/>
      <c r="H237" s="65"/>
      <c r="I237" s="65"/>
      <c r="J237" s="62" t="s">
        <v>23</v>
      </c>
    </row>
    <row r="238" spans="1:10" ht="16.5" thickBot="1" x14ac:dyDescent="0.9">
      <c r="A238" s="63" t="s">
        <v>742</v>
      </c>
      <c r="B238" s="67" t="s">
        <v>743</v>
      </c>
      <c r="C238" s="124" t="str">
        <f t="shared" si="11"/>
        <v>A.2.6.3.4.6 - Child details [Optional]</v>
      </c>
      <c r="D238" s="62" t="s">
        <v>744</v>
      </c>
      <c r="E238" s="59">
        <f t="shared" si="12"/>
        <v>0</v>
      </c>
      <c r="F238" s="59" t="str">
        <f t="shared" si="13"/>
        <v>*</v>
      </c>
      <c r="G238" s="121"/>
      <c r="H238" s="65"/>
      <c r="I238" s="62" t="s">
        <v>131</v>
      </c>
      <c r="J238" s="62" t="s">
        <v>139</v>
      </c>
    </row>
    <row r="239" spans="1:10" ht="32.25" thickBot="1" x14ac:dyDescent="0.9">
      <c r="A239" s="63" t="s">
        <v>745</v>
      </c>
      <c r="B239" s="67" t="s">
        <v>746</v>
      </c>
      <c r="C239" s="124" t="str">
        <f t="shared" si="11"/>
        <v>A.2.6.3.4.7 - Care responsibility [Required]</v>
      </c>
      <c r="D239" s="62" t="s">
        <v>747</v>
      </c>
      <c r="E239" s="59">
        <f t="shared" si="12"/>
        <v>0</v>
      </c>
      <c r="F239" s="59" t="str">
        <f t="shared" si="13"/>
        <v>*</v>
      </c>
      <c r="G239" s="121"/>
      <c r="H239" s="65"/>
      <c r="I239" s="62" t="s">
        <v>131</v>
      </c>
      <c r="J239" s="62" t="s">
        <v>23</v>
      </c>
    </row>
    <row r="240" spans="1:10" ht="16.5" thickBot="1" x14ac:dyDescent="0.9">
      <c r="A240" s="86" t="s">
        <v>748</v>
      </c>
      <c r="B240" s="109" t="s">
        <v>749</v>
      </c>
      <c r="C240" s="124" t="str">
        <f t="shared" si="11"/>
        <v>A.2.6.4 - Abuse [Optional]</v>
      </c>
      <c r="D240" s="65"/>
      <c r="E240" s="59">
        <f t="shared" si="12"/>
        <v>0</v>
      </c>
      <c r="F240" s="59" t="str">
        <f t="shared" si="13"/>
        <v>1</v>
      </c>
      <c r="G240" s="121"/>
      <c r="H240" s="65"/>
      <c r="I240" s="62" t="s">
        <v>142</v>
      </c>
      <c r="J240" s="62" t="s">
        <v>139</v>
      </c>
    </row>
    <row r="241" spans="1:10" ht="16.5" thickBot="1" x14ac:dyDescent="0.9">
      <c r="A241" s="113" t="s">
        <v>750</v>
      </c>
      <c r="B241" s="115" t="s">
        <v>751</v>
      </c>
      <c r="C241" s="124" t="str">
        <f t="shared" si="11"/>
        <v>A.2.6.4.1 - Alcohol use [Optional]</v>
      </c>
      <c r="D241" s="62" t="s">
        <v>752</v>
      </c>
      <c r="E241" s="59">
        <f t="shared" si="12"/>
        <v>0</v>
      </c>
      <c r="F241" s="59" t="str">
        <f t="shared" si="13"/>
        <v>*</v>
      </c>
      <c r="G241" s="121"/>
      <c r="H241" s="65"/>
      <c r="I241" s="62" t="s">
        <v>131</v>
      </c>
      <c r="J241" s="62" t="s">
        <v>139</v>
      </c>
    </row>
    <row r="242" spans="1:10" ht="16.5" thickBot="1" x14ac:dyDescent="0.9">
      <c r="A242" s="70" t="s">
        <v>753</v>
      </c>
      <c r="B242" s="155" t="s">
        <v>31</v>
      </c>
      <c r="C242" s="124" t="str">
        <f t="shared" si="11"/>
        <v>A.2.6.4.1.1 - Status [Required]</v>
      </c>
      <c r="D242" s="70" t="s">
        <v>754</v>
      </c>
      <c r="E242" s="59">
        <f t="shared" si="12"/>
        <v>0</v>
      </c>
      <c r="F242" s="59" t="str">
        <f t="shared" si="13"/>
        <v>1</v>
      </c>
      <c r="G242" s="130"/>
      <c r="H242" s="72" t="s">
        <v>326</v>
      </c>
      <c r="I242" s="70" t="s">
        <v>142</v>
      </c>
      <c r="J242" s="70" t="s">
        <v>23</v>
      </c>
    </row>
    <row r="243" spans="1:10" ht="16.5" thickBot="1" x14ac:dyDescent="0.9">
      <c r="A243" s="74"/>
      <c r="B243" s="168"/>
      <c r="C243" s="124" t="str">
        <f t="shared" si="11"/>
        <v xml:space="preserve"> -  []</v>
      </c>
      <c r="D243" s="74"/>
      <c r="E243" s="59">
        <f t="shared" si="12"/>
        <v>0</v>
      </c>
      <c r="F243" s="59" t="str">
        <f t="shared" si="13"/>
        <v/>
      </c>
      <c r="G243" s="130"/>
      <c r="H243" s="72" t="s">
        <v>755</v>
      </c>
      <c r="I243" s="74"/>
      <c r="J243" s="74"/>
    </row>
    <row r="244" spans="1:10" ht="32.25" thickBot="1" x14ac:dyDescent="0.9">
      <c r="A244" s="74"/>
      <c r="B244" s="168"/>
      <c r="C244" s="124" t="str">
        <f t="shared" si="11"/>
        <v xml:space="preserve"> -  []</v>
      </c>
      <c r="D244" s="74"/>
      <c r="E244" s="59">
        <f t="shared" si="12"/>
        <v>0</v>
      </c>
      <c r="F244" s="59" t="str">
        <f t="shared" si="13"/>
        <v/>
      </c>
      <c r="G244" s="130"/>
      <c r="H244" s="72" t="s">
        <v>756</v>
      </c>
      <c r="I244" s="74"/>
      <c r="J244" s="74"/>
    </row>
    <row r="245" spans="1:10" ht="16.5" thickBot="1" x14ac:dyDescent="0.9">
      <c r="A245" s="74"/>
      <c r="B245" s="168"/>
      <c r="C245" s="124" t="str">
        <f t="shared" si="11"/>
        <v xml:space="preserve"> -  []</v>
      </c>
      <c r="D245" s="74"/>
      <c r="E245" s="59">
        <f t="shared" si="12"/>
        <v>0</v>
      </c>
      <c r="F245" s="59" t="str">
        <f t="shared" si="13"/>
        <v/>
      </c>
      <c r="G245" s="130"/>
      <c r="H245" s="72" t="s">
        <v>757</v>
      </c>
      <c r="I245" s="74"/>
      <c r="J245" s="74"/>
    </row>
    <row r="246" spans="1:10" ht="32.25" thickBot="1" x14ac:dyDescent="0.9">
      <c r="A246" s="63"/>
      <c r="B246" s="156"/>
      <c r="C246" s="124" t="str">
        <f t="shared" si="11"/>
        <v xml:space="preserve"> -  []</v>
      </c>
      <c r="D246" s="63"/>
      <c r="E246" s="59">
        <f t="shared" si="12"/>
        <v>0</v>
      </c>
      <c r="F246" s="59" t="str">
        <f t="shared" si="13"/>
        <v/>
      </c>
      <c r="G246" s="121"/>
      <c r="H246" s="62" t="s">
        <v>758</v>
      </c>
      <c r="I246" s="63"/>
      <c r="J246" s="63"/>
    </row>
    <row r="247" spans="1:10" ht="32.25" thickBot="1" x14ac:dyDescent="0.9">
      <c r="A247" s="63" t="s">
        <v>759</v>
      </c>
      <c r="B247" s="69" t="s">
        <v>760</v>
      </c>
      <c r="C247" s="124" t="str">
        <f t="shared" si="11"/>
        <v>A.2.6.4.1.2 - Period and quantity [Required]</v>
      </c>
      <c r="D247" s="62" t="s">
        <v>761</v>
      </c>
      <c r="E247" s="59">
        <f t="shared" si="12"/>
        <v>0</v>
      </c>
      <c r="F247" s="59" t="str">
        <f t="shared" si="13"/>
        <v>*</v>
      </c>
      <c r="G247" s="121"/>
      <c r="H247" s="65"/>
      <c r="I247" s="62" t="s">
        <v>131</v>
      </c>
      <c r="J247" s="62" t="s">
        <v>23</v>
      </c>
    </row>
    <row r="248" spans="1:10" ht="16.5" thickBot="1" x14ac:dyDescent="0.9">
      <c r="A248" s="63" t="s">
        <v>762</v>
      </c>
      <c r="B248" s="69" t="s">
        <v>95</v>
      </c>
      <c r="C248" s="124" t="str">
        <f t="shared" si="11"/>
        <v>A.2.6.4.1.3 - Comment [Required]</v>
      </c>
      <c r="D248" s="62" t="s">
        <v>763</v>
      </c>
      <c r="E248" s="59">
        <f t="shared" si="12"/>
        <v>0</v>
      </c>
      <c r="F248" s="59" t="str">
        <f t="shared" si="13"/>
        <v>1</v>
      </c>
      <c r="G248" s="121"/>
      <c r="H248" s="65"/>
      <c r="I248" s="62" t="s">
        <v>142</v>
      </c>
      <c r="J248" s="62" t="s">
        <v>23</v>
      </c>
    </row>
    <row r="249" spans="1:10" ht="16.5" thickBot="1" x14ac:dyDescent="0.9">
      <c r="A249" s="113" t="s">
        <v>764</v>
      </c>
      <c r="B249" s="116" t="s">
        <v>765</v>
      </c>
      <c r="C249" s="124" t="str">
        <f t="shared" si="11"/>
        <v>A.2.6.4.2 - Tobacco use [Optional]</v>
      </c>
      <c r="D249" s="62" t="s">
        <v>766</v>
      </c>
      <c r="E249" s="59">
        <f t="shared" si="12"/>
        <v>0</v>
      </c>
      <c r="F249" s="59" t="str">
        <f t="shared" si="13"/>
        <v>*</v>
      </c>
      <c r="G249" s="121"/>
      <c r="H249" s="65"/>
      <c r="I249" s="62" t="s">
        <v>131</v>
      </c>
      <c r="J249" s="62" t="s">
        <v>139</v>
      </c>
    </row>
    <row r="250" spans="1:10" ht="16.5" thickBot="1" x14ac:dyDescent="0.9">
      <c r="A250" s="70" t="s">
        <v>767</v>
      </c>
      <c r="B250" s="155" t="s">
        <v>31</v>
      </c>
      <c r="C250" s="124" t="str">
        <f t="shared" si="11"/>
        <v>A.2.6.4.2.1 - Status [Required]</v>
      </c>
      <c r="D250" s="70" t="s">
        <v>768</v>
      </c>
      <c r="E250" s="59">
        <f t="shared" si="12"/>
        <v>0</v>
      </c>
      <c r="F250" s="59" t="str">
        <f t="shared" si="13"/>
        <v>1</v>
      </c>
      <c r="G250" s="130"/>
      <c r="H250" s="72" t="s">
        <v>326</v>
      </c>
      <c r="I250" s="70" t="s">
        <v>142</v>
      </c>
      <c r="J250" s="70" t="s">
        <v>23</v>
      </c>
    </row>
    <row r="251" spans="1:10" ht="16.5" thickBot="1" x14ac:dyDescent="0.9">
      <c r="A251" s="74"/>
      <c r="B251" s="168"/>
      <c r="C251" s="124" t="str">
        <f t="shared" si="11"/>
        <v xml:space="preserve"> -  []</v>
      </c>
      <c r="D251" s="74"/>
      <c r="E251" s="59">
        <f t="shared" si="12"/>
        <v>0</v>
      </c>
      <c r="F251" s="59" t="str">
        <f t="shared" si="13"/>
        <v/>
      </c>
      <c r="G251" s="130"/>
      <c r="H251" s="72" t="s">
        <v>769</v>
      </c>
      <c r="I251" s="74"/>
      <c r="J251" s="74"/>
    </row>
    <row r="252" spans="1:10" ht="32.25" thickBot="1" x14ac:dyDescent="0.9">
      <c r="A252" s="74"/>
      <c r="B252" s="168"/>
      <c r="C252" s="124" t="str">
        <f t="shared" si="11"/>
        <v xml:space="preserve"> -  []</v>
      </c>
      <c r="D252" s="74"/>
      <c r="E252" s="59">
        <f t="shared" si="12"/>
        <v>0</v>
      </c>
      <c r="F252" s="59" t="str">
        <f t="shared" si="13"/>
        <v/>
      </c>
      <c r="G252" s="130"/>
      <c r="H252" s="72" t="s">
        <v>770</v>
      </c>
      <c r="I252" s="74"/>
      <c r="J252" s="74"/>
    </row>
    <row r="253" spans="1:10" ht="16.5" thickBot="1" x14ac:dyDescent="0.9">
      <c r="A253" s="74"/>
      <c r="B253" s="168"/>
      <c r="C253" s="124" t="str">
        <f t="shared" si="11"/>
        <v xml:space="preserve"> -  []</v>
      </c>
      <c r="D253" s="74"/>
      <c r="E253" s="59">
        <f t="shared" si="12"/>
        <v>0</v>
      </c>
      <c r="F253" s="59" t="str">
        <f t="shared" si="13"/>
        <v/>
      </c>
      <c r="G253" s="130"/>
      <c r="H253" s="72" t="s">
        <v>771</v>
      </c>
      <c r="I253" s="74"/>
      <c r="J253" s="74"/>
    </row>
    <row r="254" spans="1:10" ht="16.5" thickBot="1" x14ac:dyDescent="0.9">
      <c r="A254" s="74"/>
      <c r="B254" s="168"/>
      <c r="C254" s="124" t="str">
        <f t="shared" si="11"/>
        <v xml:space="preserve"> -  []</v>
      </c>
      <c r="D254" s="74"/>
      <c r="E254" s="59">
        <f t="shared" si="12"/>
        <v>0</v>
      </c>
      <c r="F254" s="59" t="str">
        <f t="shared" si="13"/>
        <v/>
      </c>
      <c r="G254" s="130"/>
      <c r="H254" s="72" t="s">
        <v>772</v>
      </c>
      <c r="I254" s="74"/>
      <c r="J254" s="74"/>
    </row>
    <row r="255" spans="1:10" ht="63.75" thickBot="1" x14ac:dyDescent="0.9">
      <c r="A255" s="63"/>
      <c r="B255" s="156"/>
      <c r="C255" s="124" t="str">
        <f t="shared" si="11"/>
        <v xml:space="preserve"> -  []</v>
      </c>
      <c r="D255" s="63"/>
      <c r="E255" s="59">
        <f t="shared" si="12"/>
        <v>0</v>
      </c>
      <c r="F255" s="59" t="str">
        <f t="shared" si="13"/>
        <v/>
      </c>
      <c r="G255" s="121"/>
      <c r="H255" s="62" t="s">
        <v>773</v>
      </c>
      <c r="I255" s="63"/>
      <c r="J255" s="63"/>
    </row>
    <row r="256" spans="1:10" ht="32.25" thickBot="1" x14ac:dyDescent="0.9">
      <c r="A256" s="63" t="s">
        <v>774</v>
      </c>
      <c r="B256" s="69" t="s">
        <v>760</v>
      </c>
      <c r="C256" s="124" t="str">
        <f t="shared" si="11"/>
        <v>A.2.6.4.2.2 - Period and quantity [Required]</v>
      </c>
      <c r="D256" s="62" t="s">
        <v>775</v>
      </c>
      <c r="E256" s="59">
        <f t="shared" si="12"/>
        <v>0</v>
      </c>
      <c r="F256" s="59" t="str">
        <f t="shared" si="13"/>
        <v>*</v>
      </c>
      <c r="G256" s="121"/>
      <c r="H256" s="65"/>
      <c r="I256" s="62" t="s">
        <v>131</v>
      </c>
      <c r="J256" s="62" t="s">
        <v>23</v>
      </c>
    </row>
    <row r="257" spans="1:10" ht="16.5" thickBot="1" x14ac:dyDescent="0.9">
      <c r="A257" s="63" t="s">
        <v>776</v>
      </c>
      <c r="B257" s="69" t="s">
        <v>95</v>
      </c>
      <c r="C257" s="124" t="str">
        <f t="shared" si="11"/>
        <v>A.2.6.4.2.3 - Comment [Required]</v>
      </c>
      <c r="D257" s="62" t="s">
        <v>763</v>
      </c>
      <c r="E257" s="59">
        <f t="shared" si="12"/>
        <v>0</v>
      </c>
      <c r="F257" s="59" t="str">
        <f t="shared" si="13"/>
        <v>1</v>
      </c>
      <c r="G257" s="121"/>
      <c r="H257" s="65"/>
      <c r="I257" s="62" t="s">
        <v>142</v>
      </c>
      <c r="J257" s="62" t="s">
        <v>23</v>
      </c>
    </row>
    <row r="258" spans="1:10" ht="16.5" thickBot="1" x14ac:dyDescent="0.9">
      <c r="A258" s="113" t="s">
        <v>777</v>
      </c>
      <c r="B258" s="116" t="s">
        <v>778</v>
      </c>
      <c r="C258" s="124" t="str">
        <f t="shared" si="11"/>
        <v>A.2.6.4.3 - Drug abuse [Optional]</v>
      </c>
      <c r="D258" s="62" t="s">
        <v>779</v>
      </c>
      <c r="E258" s="59">
        <f t="shared" si="12"/>
        <v>0</v>
      </c>
      <c r="F258" s="59" t="str">
        <f t="shared" si="13"/>
        <v>*</v>
      </c>
      <c r="G258" s="121"/>
      <c r="H258" s="65"/>
      <c r="I258" s="62" t="s">
        <v>131</v>
      </c>
      <c r="J258" s="62" t="s">
        <v>139</v>
      </c>
    </row>
    <row r="259" spans="1:10" ht="16.5" thickBot="1" x14ac:dyDescent="0.9">
      <c r="A259" s="70" t="s">
        <v>780</v>
      </c>
      <c r="B259" s="155" t="s">
        <v>31</v>
      </c>
      <c r="C259" s="124" t="str">
        <f t="shared" ref="C259:C322" si="14">CONCATENATE(A259," - ",B259," [",J259,"]")</f>
        <v>A.2.6.4.3.1 - Status [Required]</v>
      </c>
      <c r="D259" s="70" t="s">
        <v>781</v>
      </c>
      <c r="E259" s="59">
        <f t="shared" ref="E259:E322" si="15">_xlfn.NUMBERVALUE(MID(I259,1,1))</f>
        <v>0</v>
      </c>
      <c r="F259" s="59" t="str">
        <f t="shared" ref="F259:F322" si="16">MID(I259,4,1)</f>
        <v>1</v>
      </c>
      <c r="G259" s="130"/>
      <c r="H259" s="72" t="s">
        <v>326</v>
      </c>
      <c r="I259" s="70" t="s">
        <v>142</v>
      </c>
      <c r="J259" s="70" t="s">
        <v>23</v>
      </c>
    </row>
    <row r="260" spans="1:10" ht="16.5" thickBot="1" x14ac:dyDescent="0.9">
      <c r="A260" s="74"/>
      <c r="B260" s="168"/>
      <c r="C260" s="124" t="str">
        <f t="shared" si="14"/>
        <v xml:space="preserve"> -  []</v>
      </c>
      <c r="D260" s="74"/>
      <c r="E260" s="59">
        <f t="shared" si="15"/>
        <v>0</v>
      </c>
      <c r="F260" s="59" t="str">
        <f t="shared" si="16"/>
        <v/>
      </c>
      <c r="G260" s="130"/>
      <c r="H260" s="72" t="s">
        <v>782</v>
      </c>
      <c r="I260" s="74"/>
      <c r="J260" s="74"/>
    </row>
    <row r="261" spans="1:10" ht="32.25" thickBot="1" x14ac:dyDescent="0.9">
      <c r="A261" s="74"/>
      <c r="B261" s="168"/>
      <c r="C261" s="124" t="str">
        <f t="shared" si="14"/>
        <v xml:space="preserve"> -  []</v>
      </c>
      <c r="D261" s="74"/>
      <c r="E261" s="59">
        <f t="shared" si="15"/>
        <v>0</v>
      </c>
      <c r="F261" s="59" t="str">
        <f t="shared" si="16"/>
        <v/>
      </c>
      <c r="G261" s="130"/>
      <c r="H261" s="72" t="s">
        <v>783</v>
      </c>
      <c r="I261" s="74"/>
      <c r="J261" s="74"/>
    </row>
    <row r="262" spans="1:10" ht="32.25" thickBot="1" x14ac:dyDescent="0.9">
      <c r="A262" s="74"/>
      <c r="B262" s="168"/>
      <c r="C262" s="124" t="str">
        <f t="shared" si="14"/>
        <v xml:space="preserve"> -  []</v>
      </c>
      <c r="D262" s="74"/>
      <c r="E262" s="59">
        <f t="shared" si="15"/>
        <v>0</v>
      </c>
      <c r="F262" s="59" t="str">
        <f t="shared" si="16"/>
        <v/>
      </c>
      <c r="G262" s="130"/>
      <c r="H262" s="72" t="s">
        <v>784</v>
      </c>
      <c r="I262" s="74"/>
      <c r="J262" s="74"/>
    </row>
    <row r="263" spans="1:10" ht="32.25" thickBot="1" x14ac:dyDescent="0.9">
      <c r="A263" s="63"/>
      <c r="B263" s="156"/>
      <c r="C263" s="124" t="str">
        <f t="shared" si="14"/>
        <v xml:space="preserve"> -  []</v>
      </c>
      <c r="D263" s="63"/>
      <c r="E263" s="59">
        <f t="shared" si="15"/>
        <v>0</v>
      </c>
      <c r="F263" s="59" t="str">
        <f t="shared" si="16"/>
        <v/>
      </c>
      <c r="G263" s="121"/>
      <c r="H263" s="62" t="s">
        <v>785</v>
      </c>
      <c r="I263" s="63"/>
      <c r="J263" s="63"/>
    </row>
    <row r="264" spans="1:10" ht="16.5" thickBot="1" x14ac:dyDescent="0.9">
      <c r="A264" s="63" t="s">
        <v>786</v>
      </c>
      <c r="B264" s="69" t="s">
        <v>760</v>
      </c>
      <c r="C264" s="124" t="str">
        <f t="shared" si="14"/>
        <v>A.2.6.4.3.2 - Period and quantity [Required]</v>
      </c>
      <c r="D264" s="62" t="s">
        <v>787</v>
      </c>
      <c r="E264" s="59">
        <f t="shared" si="15"/>
        <v>0</v>
      </c>
      <c r="F264" s="59" t="str">
        <f t="shared" si="16"/>
        <v>1</v>
      </c>
      <c r="G264" s="121"/>
      <c r="H264" s="65"/>
      <c r="I264" s="62" t="s">
        <v>142</v>
      </c>
      <c r="J264" s="62" t="s">
        <v>23</v>
      </c>
    </row>
    <row r="265" spans="1:10" ht="16.5" thickBot="1" x14ac:dyDescent="0.9">
      <c r="A265" s="70" t="s">
        <v>788</v>
      </c>
      <c r="B265" s="155" t="s">
        <v>789</v>
      </c>
      <c r="C265" s="124" t="str">
        <f t="shared" si="14"/>
        <v>A.2.6.4.3.3 - Drug or medication type [Required]</v>
      </c>
      <c r="D265" s="70" t="s">
        <v>790</v>
      </c>
      <c r="E265" s="59">
        <f t="shared" si="15"/>
        <v>0</v>
      </c>
      <c r="F265" s="59" t="str">
        <f t="shared" si="16"/>
        <v>1</v>
      </c>
      <c r="G265" s="130"/>
      <c r="H265" s="72" t="s">
        <v>326</v>
      </c>
      <c r="I265" s="70" t="s">
        <v>142</v>
      </c>
      <c r="J265" s="70" t="s">
        <v>23</v>
      </c>
    </row>
    <row r="266" spans="1:10" ht="16.5" thickBot="1" x14ac:dyDescent="0.9">
      <c r="A266" s="74"/>
      <c r="B266" s="168"/>
      <c r="C266" s="124" t="str">
        <f t="shared" si="14"/>
        <v xml:space="preserve"> -  []</v>
      </c>
      <c r="D266" s="74"/>
      <c r="E266" s="59">
        <f t="shared" si="15"/>
        <v>0</v>
      </c>
      <c r="F266" s="59" t="str">
        <f t="shared" si="16"/>
        <v/>
      </c>
      <c r="G266" s="130"/>
      <c r="H266" s="72" t="s">
        <v>791</v>
      </c>
      <c r="I266" s="74"/>
      <c r="J266" s="74"/>
    </row>
    <row r="267" spans="1:10" ht="16.5" thickBot="1" x14ac:dyDescent="0.9">
      <c r="A267" s="74"/>
      <c r="B267" s="168"/>
      <c r="C267" s="124" t="str">
        <f t="shared" si="14"/>
        <v xml:space="preserve"> -  []</v>
      </c>
      <c r="D267" s="74"/>
      <c r="E267" s="59">
        <f t="shared" si="15"/>
        <v>0</v>
      </c>
      <c r="F267" s="59" t="str">
        <f t="shared" si="16"/>
        <v/>
      </c>
      <c r="G267" s="130"/>
      <c r="H267" s="72" t="s">
        <v>792</v>
      </c>
      <c r="I267" s="74"/>
      <c r="J267" s="74"/>
    </row>
    <row r="268" spans="1:10" ht="16.5" thickBot="1" x14ac:dyDescent="0.9">
      <c r="A268" s="74"/>
      <c r="B268" s="168"/>
      <c r="C268" s="124" t="str">
        <f t="shared" si="14"/>
        <v xml:space="preserve"> -  []</v>
      </c>
      <c r="D268" s="74"/>
      <c r="E268" s="59">
        <f t="shared" si="15"/>
        <v>0</v>
      </c>
      <c r="F268" s="59" t="str">
        <f t="shared" si="16"/>
        <v/>
      </c>
      <c r="G268" s="130"/>
      <c r="H268" s="72" t="s">
        <v>793</v>
      </c>
      <c r="I268" s="74"/>
      <c r="J268" s="74"/>
    </row>
    <row r="269" spans="1:10" ht="32.25" thickBot="1" x14ac:dyDescent="0.9">
      <c r="A269" s="74"/>
      <c r="B269" s="168"/>
      <c r="C269" s="124" t="str">
        <f t="shared" si="14"/>
        <v xml:space="preserve"> -  []</v>
      </c>
      <c r="D269" s="74"/>
      <c r="E269" s="59">
        <f t="shared" si="15"/>
        <v>0</v>
      </c>
      <c r="F269" s="59" t="str">
        <f t="shared" si="16"/>
        <v/>
      </c>
      <c r="G269" s="130"/>
      <c r="H269" s="72" t="s">
        <v>794</v>
      </c>
      <c r="I269" s="74"/>
      <c r="J269" s="74"/>
    </row>
    <row r="270" spans="1:10" ht="16.5" thickBot="1" x14ac:dyDescent="0.9">
      <c r="A270" s="74"/>
      <c r="B270" s="168"/>
      <c r="C270" s="124" t="str">
        <f t="shared" si="14"/>
        <v xml:space="preserve"> -  []</v>
      </c>
      <c r="D270" s="74"/>
      <c r="E270" s="59">
        <f t="shared" si="15"/>
        <v>0</v>
      </c>
      <c r="F270" s="59" t="str">
        <f t="shared" si="16"/>
        <v/>
      </c>
      <c r="G270" s="130"/>
      <c r="H270" s="72" t="s">
        <v>795</v>
      </c>
      <c r="I270" s="74"/>
      <c r="J270" s="74"/>
    </row>
    <row r="271" spans="1:10" ht="16.5" thickBot="1" x14ac:dyDescent="0.9">
      <c r="A271" s="74"/>
      <c r="B271" s="168"/>
      <c r="C271" s="124" t="str">
        <f t="shared" si="14"/>
        <v xml:space="preserve"> -  []</v>
      </c>
      <c r="D271" s="74"/>
      <c r="E271" s="59">
        <f t="shared" si="15"/>
        <v>0</v>
      </c>
      <c r="F271" s="59" t="str">
        <f t="shared" si="16"/>
        <v/>
      </c>
      <c r="G271" s="130"/>
      <c r="H271" s="72" t="s">
        <v>796</v>
      </c>
      <c r="I271" s="74"/>
      <c r="J271" s="74"/>
    </row>
    <row r="272" spans="1:10" ht="32.25" thickBot="1" x14ac:dyDescent="0.9">
      <c r="A272" s="74"/>
      <c r="B272" s="168"/>
      <c r="C272" s="124" t="str">
        <f t="shared" si="14"/>
        <v xml:space="preserve"> -  []</v>
      </c>
      <c r="D272" s="74"/>
      <c r="E272" s="59">
        <f t="shared" si="15"/>
        <v>0</v>
      </c>
      <c r="F272" s="59" t="str">
        <f t="shared" si="16"/>
        <v/>
      </c>
      <c r="G272" s="130"/>
      <c r="H272" s="72" t="s">
        <v>797</v>
      </c>
      <c r="I272" s="74"/>
      <c r="J272" s="74"/>
    </row>
    <row r="273" spans="1:10" ht="16.5" thickBot="1" x14ac:dyDescent="0.9">
      <c r="A273" s="74"/>
      <c r="B273" s="168"/>
      <c r="C273" s="124" t="str">
        <f t="shared" si="14"/>
        <v xml:space="preserve"> -  []</v>
      </c>
      <c r="D273" s="74"/>
      <c r="E273" s="59">
        <f t="shared" si="15"/>
        <v>0</v>
      </c>
      <c r="F273" s="59" t="str">
        <f t="shared" si="16"/>
        <v/>
      </c>
      <c r="G273" s="130"/>
      <c r="H273" s="72" t="s">
        <v>798</v>
      </c>
      <c r="I273" s="74"/>
      <c r="J273" s="74"/>
    </row>
    <row r="274" spans="1:10" ht="16.5" thickBot="1" x14ac:dyDescent="0.9">
      <c r="A274" s="74"/>
      <c r="B274" s="168"/>
      <c r="C274" s="124" t="str">
        <f t="shared" si="14"/>
        <v xml:space="preserve"> -  []</v>
      </c>
      <c r="D274" s="74"/>
      <c r="E274" s="59">
        <f t="shared" si="15"/>
        <v>0</v>
      </c>
      <c r="F274" s="59" t="str">
        <f t="shared" si="16"/>
        <v/>
      </c>
      <c r="G274" s="130"/>
      <c r="H274" s="72" t="s">
        <v>799</v>
      </c>
      <c r="I274" s="74"/>
      <c r="J274" s="74"/>
    </row>
    <row r="275" spans="1:10" ht="32.25" thickBot="1" x14ac:dyDescent="0.9">
      <c r="A275" s="74"/>
      <c r="B275" s="168"/>
      <c r="C275" s="124" t="str">
        <f t="shared" si="14"/>
        <v xml:space="preserve"> -  []</v>
      </c>
      <c r="D275" s="74"/>
      <c r="E275" s="59">
        <f t="shared" si="15"/>
        <v>0</v>
      </c>
      <c r="F275" s="59" t="str">
        <f t="shared" si="16"/>
        <v/>
      </c>
      <c r="G275" s="130"/>
      <c r="H275" s="72" t="s">
        <v>800</v>
      </c>
      <c r="I275" s="74"/>
      <c r="J275" s="74"/>
    </row>
    <row r="276" spans="1:10" ht="32.25" thickBot="1" x14ac:dyDescent="0.9">
      <c r="A276" s="74"/>
      <c r="B276" s="168"/>
      <c r="C276" s="124" t="str">
        <f t="shared" si="14"/>
        <v xml:space="preserve"> -  []</v>
      </c>
      <c r="D276" s="74"/>
      <c r="E276" s="59">
        <f t="shared" si="15"/>
        <v>0</v>
      </c>
      <c r="F276" s="59" t="str">
        <f t="shared" si="16"/>
        <v/>
      </c>
      <c r="G276" s="130"/>
      <c r="H276" s="72" t="s">
        <v>801</v>
      </c>
      <c r="I276" s="74"/>
      <c r="J276" s="74"/>
    </row>
    <row r="277" spans="1:10" ht="16.5" thickBot="1" x14ac:dyDescent="0.9">
      <c r="A277" s="74"/>
      <c r="B277" s="168"/>
      <c r="C277" s="124" t="str">
        <f t="shared" si="14"/>
        <v xml:space="preserve"> -  []</v>
      </c>
      <c r="D277" s="74"/>
      <c r="E277" s="59">
        <f t="shared" si="15"/>
        <v>0</v>
      </c>
      <c r="F277" s="59" t="str">
        <f t="shared" si="16"/>
        <v/>
      </c>
      <c r="G277" s="130"/>
      <c r="H277" s="72" t="s">
        <v>802</v>
      </c>
      <c r="I277" s="74"/>
      <c r="J277" s="74"/>
    </row>
    <row r="278" spans="1:10" ht="16.5" thickBot="1" x14ac:dyDescent="0.9">
      <c r="A278" s="74"/>
      <c r="B278" s="168"/>
      <c r="C278" s="124" t="str">
        <f t="shared" si="14"/>
        <v xml:space="preserve"> -  []</v>
      </c>
      <c r="D278" s="74"/>
      <c r="E278" s="59">
        <f t="shared" si="15"/>
        <v>0</v>
      </c>
      <c r="F278" s="59" t="str">
        <f t="shared" si="16"/>
        <v/>
      </c>
      <c r="G278" s="130"/>
      <c r="H278" s="72" t="s">
        <v>803</v>
      </c>
      <c r="I278" s="74"/>
      <c r="J278" s="74"/>
    </row>
    <row r="279" spans="1:10" ht="32.25" thickBot="1" x14ac:dyDescent="0.9">
      <c r="A279" s="74"/>
      <c r="B279" s="168"/>
      <c r="C279" s="124" t="str">
        <f t="shared" si="14"/>
        <v xml:space="preserve"> -  []</v>
      </c>
      <c r="D279" s="74"/>
      <c r="E279" s="59">
        <f t="shared" si="15"/>
        <v>0</v>
      </c>
      <c r="F279" s="59" t="str">
        <f t="shared" si="16"/>
        <v/>
      </c>
      <c r="G279" s="130"/>
      <c r="H279" s="72" t="s">
        <v>804</v>
      </c>
      <c r="I279" s="74"/>
      <c r="J279" s="74"/>
    </row>
    <row r="280" spans="1:10" ht="16.5" thickBot="1" x14ac:dyDescent="0.9">
      <c r="A280" s="74"/>
      <c r="B280" s="168"/>
      <c r="C280" s="124" t="str">
        <f t="shared" si="14"/>
        <v xml:space="preserve"> -  []</v>
      </c>
      <c r="D280" s="74"/>
      <c r="E280" s="59">
        <f t="shared" si="15"/>
        <v>0</v>
      </c>
      <c r="F280" s="59" t="str">
        <f t="shared" si="16"/>
        <v/>
      </c>
      <c r="G280" s="130"/>
      <c r="H280" s="72" t="s">
        <v>805</v>
      </c>
      <c r="I280" s="74"/>
      <c r="J280" s="74"/>
    </row>
    <row r="281" spans="1:10" ht="16.5" thickBot="1" x14ac:dyDescent="0.9">
      <c r="A281" s="74"/>
      <c r="B281" s="168"/>
      <c r="C281" s="124" t="str">
        <f t="shared" si="14"/>
        <v xml:space="preserve"> -  []</v>
      </c>
      <c r="D281" s="74"/>
      <c r="E281" s="59">
        <f t="shared" si="15"/>
        <v>0</v>
      </c>
      <c r="F281" s="59" t="str">
        <f t="shared" si="16"/>
        <v/>
      </c>
      <c r="G281" s="130"/>
      <c r="H281" s="72" t="s">
        <v>806</v>
      </c>
      <c r="I281" s="74"/>
      <c r="J281" s="74"/>
    </row>
    <row r="282" spans="1:10" ht="16.5" thickBot="1" x14ac:dyDescent="0.9">
      <c r="A282" s="74"/>
      <c r="B282" s="168"/>
      <c r="C282" s="124" t="str">
        <f t="shared" si="14"/>
        <v xml:space="preserve"> -  []</v>
      </c>
      <c r="D282" s="74"/>
      <c r="E282" s="59">
        <f t="shared" si="15"/>
        <v>0</v>
      </c>
      <c r="F282" s="59" t="str">
        <f t="shared" si="16"/>
        <v/>
      </c>
      <c r="G282" s="130"/>
      <c r="H282" s="72" t="s">
        <v>807</v>
      </c>
      <c r="I282" s="74"/>
      <c r="J282" s="74"/>
    </row>
    <row r="283" spans="1:10" ht="16.5" thickBot="1" x14ac:dyDescent="0.9">
      <c r="A283" s="74"/>
      <c r="B283" s="168"/>
      <c r="C283" s="124" t="str">
        <f t="shared" si="14"/>
        <v xml:space="preserve"> -  []</v>
      </c>
      <c r="D283" s="74"/>
      <c r="E283" s="59">
        <f t="shared" si="15"/>
        <v>0</v>
      </c>
      <c r="F283" s="59" t="str">
        <f t="shared" si="16"/>
        <v/>
      </c>
      <c r="G283" s="130"/>
      <c r="H283" s="72" t="s">
        <v>808</v>
      </c>
      <c r="I283" s="74"/>
      <c r="J283" s="74"/>
    </row>
    <row r="284" spans="1:10" ht="16.5" thickBot="1" x14ac:dyDescent="0.9">
      <c r="A284" s="63"/>
      <c r="B284" s="156"/>
      <c r="C284" s="124" t="str">
        <f t="shared" si="14"/>
        <v xml:space="preserve"> -  []</v>
      </c>
      <c r="D284" s="63"/>
      <c r="E284" s="59">
        <f t="shared" si="15"/>
        <v>0</v>
      </c>
      <c r="F284" s="59" t="str">
        <f t="shared" si="16"/>
        <v/>
      </c>
      <c r="G284" s="121"/>
      <c r="H284" s="62" t="s">
        <v>809</v>
      </c>
      <c r="I284" s="63"/>
      <c r="J284" s="63"/>
    </row>
    <row r="285" spans="1:10" ht="16.5" thickBot="1" x14ac:dyDescent="0.9">
      <c r="A285" s="63" t="s">
        <v>810</v>
      </c>
      <c r="B285" s="69" t="s">
        <v>811</v>
      </c>
      <c r="C285" s="124" t="str">
        <f t="shared" si="14"/>
        <v>A.2.6.4.3.4 - Route of administration [Required]</v>
      </c>
      <c r="D285" s="62" t="s">
        <v>811</v>
      </c>
      <c r="E285" s="59">
        <f t="shared" si="15"/>
        <v>0</v>
      </c>
      <c r="F285" s="59" t="str">
        <f t="shared" si="16"/>
        <v>*</v>
      </c>
      <c r="G285" s="121"/>
      <c r="H285" s="62" t="s">
        <v>812</v>
      </c>
      <c r="I285" s="62" t="s">
        <v>131</v>
      </c>
      <c r="J285" s="62" t="s">
        <v>23</v>
      </c>
    </row>
    <row r="286" spans="1:10" ht="16.5" thickBot="1" x14ac:dyDescent="0.9">
      <c r="A286" s="63" t="s">
        <v>813</v>
      </c>
      <c r="B286" s="69" t="s">
        <v>95</v>
      </c>
      <c r="C286" s="124" t="str">
        <f t="shared" si="14"/>
        <v>A.2.6.4.3.5 - Comment [Required]</v>
      </c>
      <c r="D286" s="62" t="s">
        <v>814</v>
      </c>
      <c r="E286" s="59">
        <f t="shared" si="15"/>
        <v>0</v>
      </c>
      <c r="F286" s="59" t="str">
        <f t="shared" si="16"/>
        <v>1</v>
      </c>
      <c r="G286" s="121"/>
      <c r="H286" s="65"/>
      <c r="I286" s="62" t="s">
        <v>142</v>
      </c>
      <c r="J286" s="62" t="s">
        <v>23</v>
      </c>
    </row>
    <row r="287" spans="1:10" ht="16.5" thickBot="1" x14ac:dyDescent="0.9">
      <c r="A287" s="117" t="s">
        <v>815</v>
      </c>
      <c r="B287" s="169" t="s">
        <v>816</v>
      </c>
      <c r="C287" s="124" t="str">
        <f t="shared" si="14"/>
        <v>A.2.6.4.4 - Addiction [Optional]</v>
      </c>
      <c r="D287" s="70" t="s">
        <v>817</v>
      </c>
      <c r="E287" s="59">
        <f t="shared" si="15"/>
        <v>0</v>
      </c>
      <c r="F287" s="59" t="str">
        <f t="shared" si="16"/>
        <v>*</v>
      </c>
      <c r="G287" s="130"/>
      <c r="H287" s="72" t="s">
        <v>309</v>
      </c>
      <c r="I287" s="70" t="s">
        <v>131</v>
      </c>
      <c r="J287" s="70" t="s">
        <v>139</v>
      </c>
    </row>
    <row r="288" spans="1:10" ht="16.5" thickBot="1" x14ac:dyDescent="0.9">
      <c r="A288" s="113"/>
      <c r="B288" s="170"/>
      <c r="C288" s="124" t="str">
        <f t="shared" si="14"/>
        <v xml:space="preserve"> -  []</v>
      </c>
      <c r="D288" s="63"/>
      <c r="E288" s="59">
        <f t="shared" si="15"/>
        <v>0</v>
      </c>
      <c r="F288" s="59" t="str">
        <f t="shared" si="16"/>
        <v/>
      </c>
      <c r="G288" s="121"/>
      <c r="H288" s="62" t="s">
        <v>326</v>
      </c>
      <c r="I288" s="63"/>
      <c r="J288" s="63"/>
    </row>
    <row r="289" spans="1:10" ht="16.5" thickBot="1" x14ac:dyDescent="0.9">
      <c r="A289" s="57" t="s">
        <v>818</v>
      </c>
      <c r="B289" s="58" t="s">
        <v>819</v>
      </c>
      <c r="C289" s="124" t="str">
        <f t="shared" si="14"/>
        <v>A.2.7 - Hospital stay [Mandatory]</v>
      </c>
      <c r="D289" s="59"/>
      <c r="E289" s="59">
        <f t="shared" si="15"/>
        <v>1</v>
      </c>
      <c r="F289" s="59" t="str">
        <f t="shared" si="16"/>
        <v>1</v>
      </c>
      <c r="G289" s="59"/>
      <c r="H289" s="60"/>
      <c r="I289" s="62" t="s">
        <v>110</v>
      </c>
      <c r="J289" s="62" t="s">
        <v>111</v>
      </c>
    </row>
    <row r="290" spans="1:10" ht="16.5" customHeight="1" thickBot="1" x14ac:dyDescent="0.9">
      <c r="A290" s="57" t="s">
        <v>820</v>
      </c>
      <c r="B290" s="118" t="s">
        <v>821</v>
      </c>
      <c r="C290" s="124" t="str">
        <f t="shared" si="14"/>
        <v>A.2.7.1 - Diagnostic summary [Required]</v>
      </c>
      <c r="D290" s="106" t="s">
        <v>822</v>
      </c>
      <c r="E290" s="59">
        <f t="shared" si="15"/>
        <v>1</v>
      </c>
      <c r="F290" s="59" t="str">
        <f t="shared" si="16"/>
        <v>*</v>
      </c>
      <c r="G290" s="59"/>
      <c r="H290" s="107"/>
      <c r="I290" s="62" t="s">
        <v>117</v>
      </c>
      <c r="J290" s="62" t="s">
        <v>23</v>
      </c>
    </row>
    <row r="291" spans="1:10" ht="16.5" thickBot="1" x14ac:dyDescent="0.9">
      <c r="A291" s="63" t="s">
        <v>823</v>
      </c>
      <c r="B291" s="62" t="s">
        <v>519</v>
      </c>
      <c r="C291" s="124" t="str">
        <f t="shared" si="14"/>
        <v>A.2.7.1.1 - Problem description [Mandatory]</v>
      </c>
      <c r="D291" s="62" t="s">
        <v>824</v>
      </c>
      <c r="E291" s="59">
        <f t="shared" si="15"/>
        <v>1</v>
      </c>
      <c r="F291" s="59" t="str">
        <f t="shared" si="16"/>
        <v>1</v>
      </c>
      <c r="G291" s="121"/>
      <c r="H291" s="65"/>
      <c r="I291" s="62" t="s">
        <v>110</v>
      </c>
      <c r="J291" s="62" t="s">
        <v>111</v>
      </c>
    </row>
    <row r="292" spans="1:10" ht="16.5" thickBot="1" x14ac:dyDescent="0.9">
      <c r="A292" s="70" t="s">
        <v>825</v>
      </c>
      <c r="B292" s="155" t="s">
        <v>27</v>
      </c>
      <c r="C292" s="124" t="str">
        <f t="shared" si="14"/>
        <v>A.2.7.1.2 - Code [Required]</v>
      </c>
      <c r="D292" s="70" t="s">
        <v>522</v>
      </c>
      <c r="E292" s="59">
        <f t="shared" si="15"/>
        <v>0</v>
      </c>
      <c r="F292" s="59" t="str">
        <f t="shared" si="16"/>
        <v>*</v>
      </c>
      <c r="G292" s="130"/>
      <c r="H292" s="72" t="s">
        <v>309</v>
      </c>
      <c r="I292" s="70" t="s">
        <v>131</v>
      </c>
      <c r="J292" s="70" t="s">
        <v>23</v>
      </c>
    </row>
    <row r="293" spans="1:10" ht="16.5" thickBot="1" x14ac:dyDescent="0.9">
      <c r="A293" s="74"/>
      <c r="B293" s="168"/>
      <c r="C293" s="124" t="str">
        <f t="shared" si="14"/>
        <v xml:space="preserve"> -  []</v>
      </c>
      <c r="D293" s="74"/>
      <c r="E293" s="59">
        <f t="shared" si="15"/>
        <v>0</v>
      </c>
      <c r="F293" s="59" t="str">
        <f t="shared" si="16"/>
        <v/>
      </c>
      <c r="G293" s="130"/>
      <c r="H293" s="72" t="s">
        <v>326</v>
      </c>
      <c r="I293" s="74"/>
      <c r="J293" s="74"/>
    </row>
    <row r="294" spans="1:10" ht="16.5" thickBot="1" x14ac:dyDescent="0.9">
      <c r="A294" s="74"/>
      <c r="B294" s="168"/>
      <c r="C294" s="124" t="str">
        <f t="shared" si="14"/>
        <v xml:space="preserve"> -  []</v>
      </c>
      <c r="D294" s="74"/>
      <c r="E294" s="59">
        <f t="shared" si="15"/>
        <v>0</v>
      </c>
      <c r="F294" s="59" t="str">
        <f t="shared" si="16"/>
        <v/>
      </c>
      <c r="G294" s="130"/>
      <c r="H294" s="72" t="s">
        <v>93</v>
      </c>
      <c r="I294" s="74"/>
      <c r="J294" s="74"/>
    </row>
    <row r="295" spans="1:10" ht="16.5" thickBot="1" x14ac:dyDescent="0.9">
      <c r="A295" s="63"/>
      <c r="B295" s="156"/>
      <c r="C295" s="124" t="str">
        <f t="shared" si="14"/>
        <v xml:space="preserve"> -  []</v>
      </c>
      <c r="D295" s="63"/>
      <c r="E295" s="59">
        <f t="shared" si="15"/>
        <v>0</v>
      </c>
      <c r="F295" s="59" t="str">
        <f t="shared" si="16"/>
        <v/>
      </c>
      <c r="G295" s="121"/>
      <c r="H295" s="62" t="s">
        <v>364</v>
      </c>
      <c r="I295" s="63"/>
      <c r="J295" s="63"/>
    </row>
    <row r="296" spans="1:10" ht="16.5" thickBot="1" x14ac:dyDescent="0.9">
      <c r="A296" s="63" t="s">
        <v>826</v>
      </c>
      <c r="B296" s="85" t="s">
        <v>339</v>
      </c>
      <c r="C296" s="124" t="str">
        <f t="shared" si="14"/>
        <v>A.2.7.1.3 - Onset date [Required]</v>
      </c>
      <c r="D296" s="62" t="s">
        <v>827</v>
      </c>
      <c r="E296" s="59">
        <f t="shared" si="15"/>
        <v>1</v>
      </c>
      <c r="F296" s="59" t="str">
        <f t="shared" si="16"/>
        <v>1</v>
      </c>
      <c r="G296" s="121"/>
      <c r="H296" s="65"/>
      <c r="I296" s="62" t="s">
        <v>110</v>
      </c>
      <c r="J296" s="62" t="s">
        <v>23</v>
      </c>
    </row>
    <row r="297" spans="1:10" ht="32.25" thickBot="1" x14ac:dyDescent="0.9">
      <c r="A297" s="63" t="s">
        <v>828</v>
      </c>
      <c r="B297" s="67" t="s">
        <v>829</v>
      </c>
      <c r="C297" s="124" t="str">
        <f t="shared" si="14"/>
        <v>A.2.7.1.4 - Abatement date [Required]</v>
      </c>
      <c r="D297" s="62" t="s">
        <v>529</v>
      </c>
      <c r="E297" s="59">
        <f t="shared" si="15"/>
        <v>0</v>
      </c>
      <c r="F297" s="59" t="str">
        <f t="shared" si="16"/>
        <v>1</v>
      </c>
      <c r="G297" s="121"/>
      <c r="H297" s="65"/>
      <c r="I297" s="62" t="s">
        <v>142</v>
      </c>
      <c r="J297" s="62" t="s">
        <v>23</v>
      </c>
    </row>
    <row r="298" spans="1:10" ht="16.5" customHeight="1" thickBot="1" x14ac:dyDescent="0.9">
      <c r="A298" s="70" t="s">
        <v>830</v>
      </c>
      <c r="B298" s="157" t="s">
        <v>831</v>
      </c>
      <c r="C298" s="124" t="str">
        <f t="shared" si="14"/>
        <v>A.2.7.1.5 - Category [Required]</v>
      </c>
      <c r="D298" s="70" t="s">
        <v>832</v>
      </c>
      <c r="E298" s="59">
        <f t="shared" si="15"/>
        <v>0</v>
      </c>
      <c r="F298" s="59" t="str">
        <f t="shared" si="16"/>
        <v>1</v>
      </c>
      <c r="G298" s="130"/>
      <c r="H298" s="72" t="s">
        <v>833</v>
      </c>
      <c r="I298" s="70" t="s">
        <v>142</v>
      </c>
      <c r="J298" s="70" t="s">
        <v>23</v>
      </c>
    </row>
    <row r="299" spans="1:10" ht="16.5" thickBot="1" x14ac:dyDescent="0.9">
      <c r="A299" s="74"/>
      <c r="B299" s="158"/>
      <c r="C299" s="124" t="str">
        <f t="shared" si="14"/>
        <v xml:space="preserve"> -  []</v>
      </c>
      <c r="D299" s="74"/>
      <c r="E299" s="59">
        <f t="shared" si="15"/>
        <v>0</v>
      </c>
      <c r="F299" s="59" t="str">
        <f t="shared" si="16"/>
        <v/>
      </c>
      <c r="G299" s="130"/>
      <c r="H299" s="72" t="s">
        <v>834</v>
      </c>
      <c r="I299" s="74"/>
      <c r="J299" s="74"/>
    </row>
    <row r="300" spans="1:10" ht="16.5" thickBot="1" x14ac:dyDescent="0.9">
      <c r="A300" s="74"/>
      <c r="B300" s="158"/>
      <c r="C300" s="124" t="str">
        <f t="shared" si="14"/>
        <v xml:space="preserve"> -  []</v>
      </c>
      <c r="D300" s="74"/>
      <c r="E300" s="59">
        <f t="shared" si="15"/>
        <v>0</v>
      </c>
      <c r="F300" s="59" t="str">
        <f t="shared" si="16"/>
        <v/>
      </c>
      <c r="G300" s="130"/>
      <c r="H300" s="78"/>
      <c r="I300" s="74"/>
      <c r="J300" s="74"/>
    </row>
    <row r="301" spans="1:10" ht="16.5" thickBot="1" x14ac:dyDescent="0.9">
      <c r="A301" s="63"/>
      <c r="B301" s="159"/>
      <c r="C301" s="124" t="str">
        <f t="shared" si="14"/>
        <v xml:space="preserve"> -  []</v>
      </c>
      <c r="D301" s="63"/>
      <c r="E301" s="59">
        <f t="shared" si="15"/>
        <v>0</v>
      </c>
      <c r="F301" s="59" t="str">
        <f t="shared" si="16"/>
        <v/>
      </c>
      <c r="G301" s="121"/>
      <c r="H301" s="62" t="s">
        <v>835</v>
      </c>
      <c r="I301" s="63"/>
      <c r="J301" s="63"/>
    </row>
    <row r="302" spans="1:10" ht="95.25" thickBot="1" x14ac:dyDescent="0.9">
      <c r="A302" s="63" t="s">
        <v>836</v>
      </c>
      <c r="B302" s="119" t="s">
        <v>837</v>
      </c>
      <c r="C302" s="124" t="str">
        <f t="shared" si="14"/>
        <v>A.2.7.1.6 - Treatment class []</v>
      </c>
      <c r="D302" s="62" t="s">
        <v>838</v>
      </c>
      <c r="E302" s="59">
        <f t="shared" si="15"/>
        <v>0</v>
      </c>
      <c r="F302" s="59" t="str">
        <f t="shared" si="16"/>
        <v/>
      </c>
      <c r="G302" s="121"/>
      <c r="H302" s="62" t="s">
        <v>839</v>
      </c>
      <c r="I302" s="65"/>
      <c r="J302" s="65"/>
    </row>
    <row r="303" spans="1:10" ht="111" thickBot="1" x14ac:dyDescent="0.9">
      <c r="A303" s="63" t="s">
        <v>840</v>
      </c>
      <c r="B303" s="69" t="s">
        <v>535</v>
      </c>
      <c r="C303" s="124" t="str">
        <f t="shared" si="14"/>
        <v>A.2.7.1.7 - Resolution circumstances [Optional]</v>
      </c>
      <c r="D303" s="62" t="s">
        <v>536</v>
      </c>
      <c r="E303" s="59">
        <f t="shared" si="15"/>
        <v>0</v>
      </c>
      <c r="F303" s="59" t="str">
        <f t="shared" si="16"/>
        <v>1</v>
      </c>
      <c r="G303" s="121"/>
      <c r="H303" s="65"/>
      <c r="I303" s="62" t="s">
        <v>142</v>
      </c>
      <c r="J303" s="62" t="s">
        <v>139</v>
      </c>
    </row>
    <row r="304" spans="1:10" ht="32.25" thickBot="1" x14ac:dyDescent="0.9">
      <c r="A304" s="63" t="s">
        <v>841</v>
      </c>
      <c r="B304" s="69" t="s">
        <v>538</v>
      </c>
      <c r="C304" s="124" t="str">
        <f t="shared" si="14"/>
        <v>A.2.7.1.8 - Severity [Optional]</v>
      </c>
      <c r="D304" s="62" t="s">
        <v>539</v>
      </c>
      <c r="E304" s="59">
        <f t="shared" si="15"/>
        <v>0</v>
      </c>
      <c r="F304" s="59" t="str">
        <f t="shared" si="16"/>
        <v>1</v>
      </c>
      <c r="G304" s="121"/>
      <c r="H304" s="66" t="s">
        <v>842</v>
      </c>
      <c r="I304" s="62" t="s">
        <v>142</v>
      </c>
      <c r="J304" s="62" t="s">
        <v>139</v>
      </c>
    </row>
    <row r="305" spans="1:10" ht="16.5" customHeight="1" thickBot="1" x14ac:dyDescent="0.9">
      <c r="A305" s="70" t="s">
        <v>843</v>
      </c>
      <c r="B305" s="157" t="s">
        <v>541</v>
      </c>
      <c r="C305" s="124" t="str">
        <f t="shared" si="14"/>
        <v>A.2.7.1.9 - Stage [Optional]</v>
      </c>
      <c r="D305" s="70" t="s">
        <v>844</v>
      </c>
      <c r="E305" s="59">
        <f t="shared" si="15"/>
        <v>0</v>
      </c>
      <c r="F305" s="59" t="str">
        <f t="shared" si="16"/>
        <v>*</v>
      </c>
      <c r="G305" s="130"/>
      <c r="H305" s="72" t="s">
        <v>29</v>
      </c>
      <c r="I305" s="70" t="s">
        <v>131</v>
      </c>
      <c r="J305" s="70" t="s">
        <v>139</v>
      </c>
    </row>
    <row r="306" spans="1:10" ht="16.5" thickBot="1" x14ac:dyDescent="0.9">
      <c r="A306" s="63"/>
      <c r="B306" s="159"/>
      <c r="C306" s="124" t="str">
        <f t="shared" si="14"/>
        <v xml:space="preserve"> -  []</v>
      </c>
      <c r="D306" s="63"/>
      <c r="E306" s="59">
        <f t="shared" si="15"/>
        <v>0</v>
      </c>
      <c r="F306" s="59" t="str">
        <f t="shared" si="16"/>
        <v/>
      </c>
      <c r="G306" s="121"/>
      <c r="H306" s="62" t="s">
        <v>93</v>
      </c>
      <c r="I306" s="63"/>
      <c r="J306" s="63"/>
    </row>
    <row r="307" spans="1:10" ht="16.5" customHeight="1" thickBot="1" x14ac:dyDescent="0.9">
      <c r="A307" s="90" t="s">
        <v>845</v>
      </c>
      <c r="B307" s="160" t="s">
        <v>846</v>
      </c>
      <c r="C307" s="124" t="str">
        <f t="shared" si="14"/>
        <v>A.2.7.2 - Major procedures [Required]</v>
      </c>
      <c r="D307" s="92" t="s">
        <v>847</v>
      </c>
      <c r="E307" s="59">
        <f t="shared" si="15"/>
        <v>1</v>
      </c>
      <c r="F307" s="59" t="str">
        <f t="shared" si="16"/>
        <v>*</v>
      </c>
      <c r="G307" s="99"/>
      <c r="H307" s="93"/>
      <c r="I307" s="70" t="s">
        <v>117</v>
      </c>
      <c r="J307" s="70" t="s">
        <v>23</v>
      </c>
    </row>
    <row r="308" spans="1:10" ht="16.5" customHeight="1" thickBot="1" x14ac:dyDescent="0.9">
      <c r="A308" s="57"/>
      <c r="B308" s="162"/>
      <c r="C308" s="124" t="str">
        <f t="shared" si="14"/>
        <v xml:space="preserve"> -  []</v>
      </c>
      <c r="D308" s="94" t="s">
        <v>848</v>
      </c>
      <c r="E308" s="59">
        <f t="shared" si="15"/>
        <v>0</v>
      </c>
      <c r="F308" s="59" t="str">
        <f t="shared" si="16"/>
        <v/>
      </c>
      <c r="G308" s="121"/>
      <c r="H308" s="62"/>
      <c r="I308" s="63"/>
      <c r="J308" s="63"/>
    </row>
    <row r="309" spans="1:10" ht="16.5" thickBot="1" x14ac:dyDescent="0.9">
      <c r="A309" s="63" t="s">
        <v>849</v>
      </c>
      <c r="B309" s="67" t="s">
        <v>568</v>
      </c>
      <c r="C309" s="124" t="str">
        <f t="shared" si="14"/>
        <v>A.2.7.2.1 - Procedure code [Optional]</v>
      </c>
      <c r="D309" s="62" t="s">
        <v>850</v>
      </c>
      <c r="E309" s="59">
        <f t="shared" si="15"/>
        <v>0</v>
      </c>
      <c r="F309" s="59" t="str">
        <f t="shared" si="16"/>
        <v>*</v>
      </c>
      <c r="G309" s="121"/>
      <c r="H309" s="62" t="s">
        <v>326</v>
      </c>
      <c r="I309" s="62" t="s">
        <v>131</v>
      </c>
      <c r="J309" s="62" t="s">
        <v>139</v>
      </c>
    </row>
    <row r="310" spans="1:10" ht="16.5" thickBot="1" x14ac:dyDescent="0.9">
      <c r="A310" s="63" t="s">
        <v>851</v>
      </c>
      <c r="B310" s="64" t="s">
        <v>571</v>
      </c>
      <c r="C310" s="124" t="str">
        <f t="shared" si="14"/>
        <v>A.2.7.2.2 - Procedure description [Mandatory]</v>
      </c>
      <c r="D310" s="62" t="s">
        <v>572</v>
      </c>
      <c r="E310" s="59">
        <f t="shared" si="15"/>
        <v>1</v>
      </c>
      <c r="F310" s="59" t="str">
        <f t="shared" si="16"/>
        <v>1</v>
      </c>
      <c r="G310" s="121"/>
      <c r="H310" s="65"/>
      <c r="I310" s="62" t="s">
        <v>110</v>
      </c>
      <c r="J310" s="62" t="s">
        <v>111</v>
      </c>
    </row>
    <row r="311" spans="1:10" ht="16.5" thickBot="1" x14ac:dyDescent="0.9">
      <c r="A311" s="70" t="s">
        <v>852</v>
      </c>
      <c r="B311" s="157" t="s">
        <v>574</v>
      </c>
      <c r="C311" s="124" t="str">
        <f t="shared" si="14"/>
        <v>A.2.7.2.3 - Body site [Required]</v>
      </c>
      <c r="D311" s="70" t="s">
        <v>575</v>
      </c>
      <c r="E311" s="59">
        <f t="shared" si="15"/>
        <v>0</v>
      </c>
      <c r="F311" s="59" t="str">
        <f t="shared" si="16"/>
        <v>1</v>
      </c>
      <c r="G311" s="130"/>
      <c r="H311" s="72" t="s">
        <v>326</v>
      </c>
      <c r="I311" s="70" t="s">
        <v>142</v>
      </c>
      <c r="J311" s="70" t="s">
        <v>23</v>
      </c>
    </row>
    <row r="312" spans="1:10" ht="32.25" thickBot="1" x14ac:dyDescent="0.9">
      <c r="A312" s="63"/>
      <c r="B312" s="159"/>
      <c r="C312" s="124" t="str">
        <f t="shared" si="14"/>
        <v xml:space="preserve"> -  []</v>
      </c>
      <c r="D312" s="63"/>
      <c r="E312" s="59">
        <f t="shared" si="15"/>
        <v>0</v>
      </c>
      <c r="F312" s="59" t="str">
        <f t="shared" si="16"/>
        <v/>
      </c>
      <c r="G312" s="121"/>
      <c r="H312" s="62" t="s">
        <v>576</v>
      </c>
      <c r="I312" s="63"/>
      <c r="J312" s="63"/>
    </row>
    <row r="313" spans="1:10" ht="16.5" thickBot="1" x14ac:dyDescent="0.9">
      <c r="A313" s="63" t="s">
        <v>853</v>
      </c>
      <c r="B313" s="67" t="s">
        <v>578</v>
      </c>
      <c r="C313" s="124" t="str">
        <f t="shared" si="14"/>
        <v>A.2.7.2.4 - Procedure date [Required]</v>
      </c>
      <c r="D313" s="62" t="s">
        <v>579</v>
      </c>
      <c r="E313" s="59">
        <f t="shared" si="15"/>
        <v>1</v>
      </c>
      <c r="F313" s="59" t="str">
        <f t="shared" si="16"/>
        <v>1</v>
      </c>
      <c r="G313" s="121"/>
      <c r="H313" s="65"/>
      <c r="I313" s="62" t="s">
        <v>110</v>
      </c>
      <c r="J313" s="62" t="s">
        <v>23</v>
      </c>
    </row>
    <row r="314" spans="1:10" ht="16.5" customHeight="1" thickBot="1" x14ac:dyDescent="0.9">
      <c r="A314" s="70" t="s">
        <v>854</v>
      </c>
      <c r="B314" s="157" t="s">
        <v>581</v>
      </c>
      <c r="C314" s="124" t="str">
        <f t="shared" si="14"/>
        <v>A.2.7.2.5 - Procedure reason [Required]</v>
      </c>
      <c r="D314" s="70" t="s">
        <v>582</v>
      </c>
      <c r="E314" s="59">
        <f t="shared" si="15"/>
        <v>0</v>
      </c>
      <c r="F314" s="59" t="str">
        <f t="shared" si="16"/>
        <v>1</v>
      </c>
      <c r="G314" s="130"/>
      <c r="H314" s="72" t="s">
        <v>309</v>
      </c>
      <c r="I314" s="70" t="s">
        <v>142</v>
      </c>
      <c r="J314" s="70" t="s">
        <v>23</v>
      </c>
    </row>
    <row r="315" spans="1:10" ht="16.5" thickBot="1" x14ac:dyDescent="0.9">
      <c r="A315" s="74"/>
      <c r="B315" s="158"/>
      <c r="C315" s="124" t="str">
        <f t="shared" si="14"/>
        <v xml:space="preserve"> -  []</v>
      </c>
      <c r="D315" s="74"/>
      <c r="E315" s="59">
        <f t="shared" si="15"/>
        <v>0</v>
      </c>
      <c r="F315" s="59" t="str">
        <f t="shared" si="16"/>
        <v/>
      </c>
      <c r="G315" s="130"/>
      <c r="H315" s="72" t="s">
        <v>326</v>
      </c>
      <c r="I315" s="74"/>
      <c r="J315" s="74"/>
    </row>
    <row r="316" spans="1:10" ht="16.5" thickBot="1" x14ac:dyDescent="0.9">
      <c r="A316" s="63"/>
      <c r="B316" s="159"/>
      <c r="C316" s="124" t="str">
        <f t="shared" si="14"/>
        <v xml:space="preserve"> -  []</v>
      </c>
      <c r="D316" s="63"/>
      <c r="E316" s="59">
        <f t="shared" si="15"/>
        <v>0</v>
      </c>
      <c r="F316" s="59" t="str">
        <f t="shared" si="16"/>
        <v/>
      </c>
      <c r="G316" s="121"/>
      <c r="H316" s="62" t="s">
        <v>364</v>
      </c>
      <c r="I316" s="63"/>
      <c r="J316" s="63"/>
    </row>
    <row r="317" spans="1:10" ht="16.5" customHeight="1" thickBot="1" x14ac:dyDescent="0.9">
      <c r="A317" s="70" t="s">
        <v>855</v>
      </c>
      <c r="B317" s="157" t="s">
        <v>584</v>
      </c>
      <c r="C317" s="124" t="str">
        <f t="shared" si="14"/>
        <v>A.2.7.2.6 - Outcome [Optional]</v>
      </c>
      <c r="D317" s="70" t="s">
        <v>856</v>
      </c>
      <c r="E317" s="59">
        <f t="shared" si="15"/>
        <v>0</v>
      </c>
      <c r="F317" s="59" t="str">
        <f t="shared" si="16"/>
        <v>1</v>
      </c>
      <c r="G317" s="130"/>
      <c r="H317" s="72" t="s">
        <v>326</v>
      </c>
      <c r="I317" s="70" t="s">
        <v>142</v>
      </c>
      <c r="J317" s="70" t="s">
        <v>139</v>
      </c>
    </row>
    <row r="318" spans="1:10" ht="16.5" thickBot="1" x14ac:dyDescent="0.9">
      <c r="A318" s="74"/>
      <c r="B318" s="158"/>
      <c r="C318" s="124" t="str">
        <f t="shared" si="14"/>
        <v xml:space="preserve"> -  []</v>
      </c>
      <c r="D318" s="74"/>
      <c r="E318" s="59">
        <f t="shared" si="15"/>
        <v>0</v>
      </c>
      <c r="F318" s="59" t="str">
        <f t="shared" si="16"/>
        <v/>
      </c>
      <c r="G318" s="130"/>
      <c r="H318" s="72" t="s">
        <v>586</v>
      </c>
      <c r="I318" s="74"/>
      <c r="J318" s="74"/>
    </row>
    <row r="319" spans="1:10" ht="16.5" thickBot="1" x14ac:dyDescent="0.9">
      <c r="A319" s="74"/>
      <c r="B319" s="158"/>
      <c r="C319" s="124" t="str">
        <f t="shared" si="14"/>
        <v xml:space="preserve"> -  []</v>
      </c>
      <c r="D319" s="74"/>
      <c r="E319" s="59">
        <f t="shared" si="15"/>
        <v>0</v>
      </c>
      <c r="F319" s="59" t="str">
        <f t="shared" si="16"/>
        <v/>
      </c>
      <c r="G319" s="130"/>
      <c r="H319" s="72" t="s">
        <v>587</v>
      </c>
      <c r="I319" s="74"/>
      <c r="J319" s="74"/>
    </row>
    <row r="320" spans="1:10" ht="16.5" thickBot="1" x14ac:dyDescent="0.9">
      <c r="A320" s="63"/>
      <c r="B320" s="159"/>
      <c r="C320" s="124" t="str">
        <f t="shared" si="14"/>
        <v xml:space="preserve"> -  []</v>
      </c>
      <c r="D320" s="63"/>
      <c r="E320" s="59">
        <f t="shared" si="15"/>
        <v>0</v>
      </c>
      <c r="F320" s="59" t="str">
        <f t="shared" si="16"/>
        <v/>
      </c>
      <c r="G320" s="121"/>
      <c r="H320" s="62" t="s">
        <v>588</v>
      </c>
      <c r="I320" s="63"/>
      <c r="J320" s="63"/>
    </row>
    <row r="321" spans="1:10" ht="16.5" customHeight="1" thickBot="1" x14ac:dyDescent="0.9">
      <c r="A321" s="70" t="s">
        <v>857</v>
      </c>
      <c r="B321" s="157" t="s">
        <v>858</v>
      </c>
      <c r="C321" s="124" t="str">
        <f t="shared" si="14"/>
        <v>A.2.7.2.7 - Complication [Required]</v>
      </c>
      <c r="D321" s="70" t="s">
        <v>859</v>
      </c>
      <c r="E321" s="59">
        <f t="shared" si="15"/>
        <v>0</v>
      </c>
      <c r="F321" s="59" t="str">
        <f t="shared" si="16"/>
        <v>*</v>
      </c>
      <c r="G321" s="130"/>
      <c r="H321" s="72" t="s">
        <v>309</v>
      </c>
      <c r="I321" s="70" t="s">
        <v>131</v>
      </c>
      <c r="J321" s="70" t="s">
        <v>23</v>
      </c>
    </row>
    <row r="322" spans="1:10" ht="16.5" thickBot="1" x14ac:dyDescent="0.9">
      <c r="A322" s="74"/>
      <c r="B322" s="158"/>
      <c r="C322" s="124" t="str">
        <f t="shared" si="14"/>
        <v xml:space="preserve"> -  []</v>
      </c>
      <c r="D322" s="74"/>
      <c r="E322" s="59">
        <f t="shared" si="15"/>
        <v>0</v>
      </c>
      <c r="F322" s="59" t="str">
        <f t="shared" si="16"/>
        <v/>
      </c>
      <c r="G322" s="130"/>
      <c r="H322" s="72" t="s">
        <v>326</v>
      </c>
      <c r="I322" s="74"/>
      <c r="J322" s="74"/>
    </row>
    <row r="323" spans="1:10" ht="16.5" thickBot="1" x14ac:dyDescent="0.9">
      <c r="A323" s="63"/>
      <c r="B323" s="159"/>
      <c r="C323" s="124" t="str">
        <f t="shared" ref="C323:C386" si="17">CONCATENATE(A323," - ",B323," [",J323,"]")</f>
        <v xml:space="preserve"> -  []</v>
      </c>
      <c r="D323" s="63"/>
      <c r="E323" s="59">
        <f t="shared" ref="E323:E386" si="18">_xlfn.NUMBERVALUE(MID(I323,1,1))</f>
        <v>0</v>
      </c>
      <c r="F323" s="59" t="str">
        <f t="shared" ref="F323:F386" si="19">MID(I323,4,1)</f>
        <v/>
      </c>
      <c r="G323" s="121"/>
      <c r="H323" s="62" t="s">
        <v>364</v>
      </c>
      <c r="I323" s="63"/>
      <c r="J323" s="63"/>
    </row>
    <row r="324" spans="1:10" ht="48" thickBot="1" x14ac:dyDescent="0.9">
      <c r="A324" s="63" t="s">
        <v>860</v>
      </c>
      <c r="B324" s="67" t="s">
        <v>590</v>
      </c>
      <c r="C324" s="124" t="str">
        <f t="shared" si="17"/>
        <v>A.2.7.2.8 - Focal device [Required]</v>
      </c>
      <c r="D324" s="62" t="s">
        <v>861</v>
      </c>
      <c r="E324" s="59">
        <f t="shared" si="18"/>
        <v>0</v>
      </c>
      <c r="F324" s="59" t="str">
        <f t="shared" si="19"/>
        <v>*</v>
      </c>
      <c r="G324" s="121"/>
      <c r="H324" s="65"/>
      <c r="I324" s="62" t="s">
        <v>131</v>
      </c>
      <c r="J324" s="62" t="s">
        <v>23</v>
      </c>
    </row>
    <row r="325" spans="1:10" ht="79.5" thickBot="1" x14ac:dyDescent="0.9">
      <c r="A325" s="57" t="s">
        <v>862</v>
      </c>
      <c r="B325" s="61" t="s">
        <v>863</v>
      </c>
      <c r="C325" s="124" t="str">
        <f t="shared" si="17"/>
        <v>A.2.7.3 - Medical devices and implants [Required]</v>
      </c>
      <c r="D325" s="62" t="s">
        <v>864</v>
      </c>
      <c r="E325" s="59">
        <f t="shared" si="18"/>
        <v>1</v>
      </c>
      <c r="F325" s="59" t="str">
        <f t="shared" si="19"/>
        <v>*</v>
      </c>
      <c r="G325" s="121"/>
      <c r="H325" s="65"/>
      <c r="I325" s="62" t="s">
        <v>117</v>
      </c>
      <c r="J325" s="62" t="s">
        <v>23</v>
      </c>
    </row>
    <row r="326" spans="1:10" ht="16.5" customHeight="1" thickBot="1" x14ac:dyDescent="0.9">
      <c r="A326" s="70" t="s">
        <v>865</v>
      </c>
      <c r="B326" s="163" t="s">
        <v>546</v>
      </c>
      <c r="C326" s="124" t="str">
        <f t="shared" si="17"/>
        <v>A.2.7.3.1 - Device and implant description [Mandatory]</v>
      </c>
      <c r="D326" s="70" t="s">
        <v>547</v>
      </c>
      <c r="E326" s="59">
        <f t="shared" si="18"/>
        <v>1</v>
      </c>
      <c r="F326" s="59" t="str">
        <f t="shared" si="19"/>
        <v>1</v>
      </c>
      <c r="G326" s="130"/>
      <c r="H326" s="97" t="s">
        <v>326</v>
      </c>
      <c r="I326" s="70" t="s">
        <v>110</v>
      </c>
      <c r="J326" s="70" t="s">
        <v>111</v>
      </c>
    </row>
    <row r="327" spans="1:10" ht="16.5" thickBot="1" x14ac:dyDescent="0.9">
      <c r="A327" s="63"/>
      <c r="B327" s="164"/>
      <c r="C327" s="124" t="str">
        <f t="shared" si="17"/>
        <v xml:space="preserve"> -  []</v>
      </c>
      <c r="D327" s="63"/>
      <c r="E327" s="59">
        <f t="shared" si="18"/>
        <v>0</v>
      </c>
      <c r="F327" s="59" t="str">
        <f t="shared" si="19"/>
        <v/>
      </c>
      <c r="G327" s="121"/>
      <c r="H327" s="66" t="s">
        <v>550</v>
      </c>
      <c r="I327" s="63"/>
      <c r="J327" s="63"/>
    </row>
    <row r="328" spans="1:10" ht="32.25" thickBot="1" x14ac:dyDescent="0.9">
      <c r="A328" s="63" t="s">
        <v>866</v>
      </c>
      <c r="B328" s="67" t="s">
        <v>552</v>
      </c>
      <c r="C328" s="124" t="str">
        <f t="shared" si="17"/>
        <v>A.2.7.3.2 - Device ID [Optional]</v>
      </c>
      <c r="D328" s="62" t="s">
        <v>553</v>
      </c>
      <c r="E328" s="59">
        <f t="shared" si="18"/>
        <v>0</v>
      </c>
      <c r="F328" s="59" t="str">
        <f t="shared" si="19"/>
        <v>1</v>
      </c>
      <c r="G328" s="121"/>
      <c r="H328" s="65"/>
      <c r="I328" s="62" t="s">
        <v>142</v>
      </c>
      <c r="J328" s="62" t="s">
        <v>139</v>
      </c>
    </row>
    <row r="329" spans="1:10" ht="16.5" thickBot="1" x14ac:dyDescent="0.9">
      <c r="A329" s="63" t="s">
        <v>867</v>
      </c>
      <c r="B329" s="67" t="s">
        <v>555</v>
      </c>
      <c r="C329" s="124" t="str">
        <f t="shared" si="17"/>
        <v>A.2.7.3.3 - Implant date [Required]</v>
      </c>
      <c r="D329" s="62" t="s">
        <v>556</v>
      </c>
      <c r="E329" s="59">
        <f t="shared" si="18"/>
        <v>1</v>
      </c>
      <c r="F329" s="59" t="str">
        <f t="shared" si="19"/>
        <v>1</v>
      </c>
      <c r="G329" s="121"/>
      <c r="H329" s="65"/>
      <c r="I329" s="62" t="s">
        <v>110</v>
      </c>
      <c r="J329" s="62" t="s">
        <v>23</v>
      </c>
    </row>
    <row r="330" spans="1:10" ht="48" thickBot="1" x14ac:dyDescent="0.9">
      <c r="A330" s="63" t="s">
        <v>868</v>
      </c>
      <c r="B330" s="67" t="s">
        <v>343</v>
      </c>
      <c r="C330" s="124" t="str">
        <f t="shared" si="17"/>
        <v>A.2.7.3.4 - End date [Required]</v>
      </c>
      <c r="D330" s="62" t="s">
        <v>558</v>
      </c>
      <c r="E330" s="59">
        <f t="shared" si="18"/>
        <v>0</v>
      </c>
      <c r="F330" s="59" t="str">
        <f t="shared" si="19"/>
        <v>1</v>
      </c>
      <c r="G330" s="121"/>
      <c r="H330" s="65"/>
      <c r="I330" s="62" t="s">
        <v>142</v>
      </c>
      <c r="J330" s="62" t="s">
        <v>23</v>
      </c>
    </row>
    <row r="331" spans="1:10" ht="16.5" thickBot="1" x14ac:dyDescent="0.9">
      <c r="A331" s="70" t="s">
        <v>869</v>
      </c>
      <c r="B331" s="157" t="s">
        <v>560</v>
      </c>
      <c r="C331" s="124" t="str">
        <f t="shared" si="17"/>
        <v>A.2.7.3.5 - Reason [Optional]</v>
      </c>
      <c r="D331" s="70" t="s">
        <v>561</v>
      </c>
      <c r="E331" s="59">
        <f t="shared" si="18"/>
        <v>0</v>
      </c>
      <c r="F331" s="59" t="str">
        <f t="shared" si="19"/>
        <v>1</v>
      </c>
      <c r="G331" s="130"/>
      <c r="H331" s="72" t="s">
        <v>309</v>
      </c>
      <c r="I331" s="70" t="s">
        <v>142</v>
      </c>
      <c r="J331" s="70" t="s">
        <v>139</v>
      </c>
    </row>
    <row r="332" spans="1:10" ht="16.5" thickBot="1" x14ac:dyDescent="0.9">
      <c r="A332" s="74"/>
      <c r="B332" s="158"/>
      <c r="C332" s="124" t="str">
        <f t="shared" si="17"/>
        <v xml:space="preserve"> -  []</v>
      </c>
      <c r="D332" s="74"/>
      <c r="E332" s="59">
        <f t="shared" si="18"/>
        <v>0</v>
      </c>
      <c r="F332" s="59" t="str">
        <f t="shared" si="19"/>
        <v/>
      </c>
      <c r="G332" s="130"/>
      <c r="H332" s="72" t="s">
        <v>326</v>
      </c>
      <c r="I332" s="74"/>
      <c r="J332" s="74"/>
    </row>
    <row r="333" spans="1:10" ht="16.5" thickBot="1" x14ac:dyDescent="0.9">
      <c r="A333" s="63"/>
      <c r="B333" s="159"/>
      <c r="C333" s="124" t="str">
        <f t="shared" si="17"/>
        <v xml:space="preserve"> -  []</v>
      </c>
      <c r="D333" s="63"/>
      <c r="E333" s="59">
        <f t="shared" si="18"/>
        <v>0</v>
      </c>
      <c r="F333" s="59" t="str">
        <f t="shared" si="19"/>
        <v/>
      </c>
      <c r="G333" s="121"/>
      <c r="H333" s="62" t="s">
        <v>364</v>
      </c>
      <c r="I333" s="63"/>
      <c r="J333" s="63"/>
    </row>
    <row r="334" spans="1:10" ht="16.5" customHeight="1" thickBot="1" x14ac:dyDescent="0.9">
      <c r="A334" s="57" t="s">
        <v>870</v>
      </c>
      <c r="B334" s="61" t="s">
        <v>871</v>
      </c>
      <c r="C334" s="124" t="str">
        <f t="shared" si="17"/>
        <v>A.2.7.4 - Another significant treatment [Optional]</v>
      </c>
      <c r="D334" s="106" t="s">
        <v>872</v>
      </c>
      <c r="E334" s="59">
        <f t="shared" si="18"/>
        <v>0</v>
      </c>
      <c r="F334" s="59" t="str">
        <f t="shared" si="19"/>
        <v>*</v>
      </c>
      <c r="G334" s="59"/>
      <c r="H334" s="107"/>
      <c r="I334" s="62" t="s">
        <v>131</v>
      </c>
      <c r="J334" s="62" t="s">
        <v>139</v>
      </c>
    </row>
    <row r="335" spans="1:10" ht="16.5" thickBot="1" x14ac:dyDescent="0.9">
      <c r="A335" s="63" t="s">
        <v>873</v>
      </c>
      <c r="B335" s="67" t="s">
        <v>874</v>
      </c>
      <c r="C335" s="124" t="str">
        <f t="shared" si="17"/>
        <v>A.2.7.4.1 - Pocedure code [Optional]</v>
      </c>
      <c r="D335" s="62" t="s">
        <v>850</v>
      </c>
      <c r="E335" s="59">
        <f t="shared" si="18"/>
        <v>0</v>
      </c>
      <c r="F335" s="59" t="str">
        <f t="shared" si="19"/>
        <v>*</v>
      </c>
      <c r="G335" s="121"/>
      <c r="H335" s="62" t="s">
        <v>326</v>
      </c>
      <c r="I335" s="62" t="s">
        <v>131</v>
      </c>
      <c r="J335" s="62" t="s">
        <v>139</v>
      </c>
    </row>
    <row r="336" spans="1:10" ht="16.5" thickBot="1" x14ac:dyDescent="0.9">
      <c r="A336" s="63" t="s">
        <v>875</v>
      </c>
      <c r="B336" s="67" t="s">
        <v>571</v>
      </c>
      <c r="C336" s="124" t="str">
        <f t="shared" si="17"/>
        <v>A.2.7.4.2 - Procedure description [Mandatory]</v>
      </c>
      <c r="D336" s="62" t="s">
        <v>572</v>
      </c>
      <c r="E336" s="59">
        <f t="shared" si="18"/>
        <v>1</v>
      </c>
      <c r="F336" s="59" t="str">
        <f t="shared" si="19"/>
        <v>1</v>
      </c>
      <c r="G336" s="121"/>
      <c r="H336" s="65"/>
      <c r="I336" s="62" t="s">
        <v>110</v>
      </c>
      <c r="J336" s="62" t="s">
        <v>111</v>
      </c>
    </row>
    <row r="337" spans="1:10" ht="16.5" thickBot="1" x14ac:dyDescent="0.9">
      <c r="A337" s="70" t="s">
        <v>876</v>
      </c>
      <c r="B337" s="157" t="s">
        <v>574</v>
      </c>
      <c r="C337" s="124" t="str">
        <f t="shared" si="17"/>
        <v>A.2.7.4.3 - Body site [Required]</v>
      </c>
      <c r="D337" s="70" t="s">
        <v>575</v>
      </c>
      <c r="E337" s="59">
        <f t="shared" si="18"/>
        <v>0</v>
      </c>
      <c r="F337" s="59" t="str">
        <f t="shared" si="19"/>
        <v/>
      </c>
      <c r="G337" s="130"/>
      <c r="H337" s="72" t="s">
        <v>326</v>
      </c>
      <c r="I337" s="70" t="s">
        <v>669</v>
      </c>
      <c r="J337" s="70" t="s">
        <v>23</v>
      </c>
    </row>
    <row r="338" spans="1:10" ht="32.25" thickBot="1" x14ac:dyDescent="0.9">
      <c r="A338" s="63"/>
      <c r="B338" s="159"/>
      <c r="C338" s="124" t="str">
        <f t="shared" si="17"/>
        <v xml:space="preserve"> -  []</v>
      </c>
      <c r="D338" s="63"/>
      <c r="E338" s="59">
        <f t="shared" si="18"/>
        <v>0</v>
      </c>
      <c r="F338" s="59" t="str">
        <f t="shared" si="19"/>
        <v/>
      </c>
      <c r="G338" s="121"/>
      <c r="H338" s="62" t="s">
        <v>576</v>
      </c>
      <c r="I338" s="63"/>
      <c r="J338" s="63"/>
    </row>
    <row r="339" spans="1:10" ht="16.5" thickBot="1" x14ac:dyDescent="0.9">
      <c r="A339" s="63" t="s">
        <v>877</v>
      </c>
      <c r="B339" s="67" t="s">
        <v>578</v>
      </c>
      <c r="C339" s="124" t="str">
        <f t="shared" si="17"/>
        <v>A.2.7.4.4 - Procedure date [Required]</v>
      </c>
      <c r="D339" s="62" t="s">
        <v>579</v>
      </c>
      <c r="E339" s="59">
        <f t="shared" si="18"/>
        <v>1</v>
      </c>
      <c r="F339" s="59" t="str">
        <f t="shared" si="19"/>
        <v>1</v>
      </c>
      <c r="G339" s="121"/>
      <c r="H339" s="65"/>
      <c r="I339" s="62" t="s">
        <v>110</v>
      </c>
      <c r="J339" s="62" t="s">
        <v>23</v>
      </c>
    </row>
    <row r="340" spans="1:10" ht="16.5" customHeight="1" thickBot="1" x14ac:dyDescent="0.9">
      <c r="A340" s="70" t="s">
        <v>878</v>
      </c>
      <c r="B340" s="157" t="s">
        <v>581</v>
      </c>
      <c r="C340" s="124" t="str">
        <f t="shared" si="17"/>
        <v>A.2.7.4.5 - Procedure reason [Required]</v>
      </c>
      <c r="D340" s="70" t="s">
        <v>582</v>
      </c>
      <c r="E340" s="59">
        <f t="shared" si="18"/>
        <v>0</v>
      </c>
      <c r="F340" s="59" t="str">
        <f t="shared" si="19"/>
        <v>1</v>
      </c>
      <c r="G340" s="130"/>
      <c r="H340" s="72" t="s">
        <v>309</v>
      </c>
      <c r="I340" s="70" t="s">
        <v>142</v>
      </c>
      <c r="J340" s="70" t="s">
        <v>23</v>
      </c>
    </row>
    <row r="341" spans="1:10" ht="16.5" thickBot="1" x14ac:dyDescent="0.9">
      <c r="A341" s="74"/>
      <c r="B341" s="158"/>
      <c r="C341" s="124" t="str">
        <f t="shared" si="17"/>
        <v xml:space="preserve"> -  []</v>
      </c>
      <c r="D341" s="74"/>
      <c r="E341" s="59">
        <f t="shared" si="18"/>
        <v>0</v>
      </c>
      <c r="F341" s="59" t="str">
        <f t="shared" si="19"/>
        <v/>
      </c>
      <c r="G341" s="130"/>
      <c r="H341" s="72" t="s">
        <v>326</v>
      </c>
      <c r="I341" s="74"/>
      <c r="J341" s="74"/>
    </row>
    <row r="342" spans="1:10" ht="16.5" thickBot="1" x14ac:dyDescent="0.9">
      <c r="A342" s="63"/>
      <c r="B342" s="159"/>
      <c r="C342" s="124" t="str">
        <f t="shared" si="17"/>
        <v xml:space="preserve"> -  []</v>
      </c>
      <c r="D342" s="63"/>
      <c r="E342" s="59">
        <f t="shared" si="18"/>
        <v>0</v>
      </c>
      <c r="F342" s="59" t="str">
        <f t="shared" si="19"/>
        <v/>
      </c>
      <c r="G342" s="121"/>
      <c r="H342" s="62" t="s">
        <v>364</v>
      </c>
      <c r="I342" s="63"/>
      <c r="J342" s="63"/>
    </row>
    <row r="343" spans="1:10" ht="16.5" customHeight="1" thickBot="1" x14ac:dyDescent="0.9">
      <c r="A343" s="90" t="s">
        <v>879</v>
      </c>
      <c r="B343" s="160" t="s">
        <v>880</v>
      </c>
      <c r="C343" s="124" t="str">
        <f t="shared" si="17"/>
        <v>A.2.7.5 - Pharmacotherapy [Required]</v>
      </c>
      <c r="D343" s="92" t="s">
        <v>881</v>
      </c>
      <c r="E343" s="59">
        <f t="shared" si="18"/>
        <v>0</v>
      </c>
      <c r="F343" s="59" t="str">
        <f t="shared" si="19"/>
        <v>*</v>
      </c>
      <c r="G343" s="99"/>
      <c r="H343" s="93"/>
      <c r="I343" s="70" t="s">
        <v>131</v>
      </c>
      <c r="J343" s="70" t="s">
        <v>23</v>
      </c>
    </row>
    <row r="344" spans="1:10" ht="16.5" customHeight="1" thickBot="1" x14ac:dyDescent="0.9">
      <c r="A344" s="57"/>
      <c r="B344" s="162"/>
      <c r="C344" s="124" t="str">
        <f t="shared" si="17"/>
        <v xml:space="preserve"> -  []</v>
      </c>
      <c r="D344" s="94" t="s">
        <v>882</v>
      </c>
      <c r="E344" s="59">
        <f t="shared" si="18"/>
        <v>0</v>
      </c>
      <c r="F344" s="59" t="str">
        <f t="shared" si="19"/>
        <v/>
      </c>
      <c r="G344" s="121"/>
      <c r="H344" s="62"/>
      <c r="I344" s="63"/>
      <c r="J344" s="63"/>
    </row>
    <row r="345" spans="1:10" ht="16.5" customHeight="1" thickBot="1" x14ac:dyDescent="0.9">
      <c r="A345" s="70" t="s">
        <v>883</v>
      </c>
      <c r="B345" s="165" t="s">
        <v>884</v>
      </c>
      <c r="C345" s="124" t="str">
        <f t="shared" si="17"/>
        <v>A.2.7.5.1 - Medication reason [Required]</v>
      </c>
      <c r="D345" s="70" t="s">
        <v>885</v>
      </c>
      <c r="E345" s="59">
        <f t="shared" si="18"/>
        <v>0</v>
      </c>
      <c r="F345" s="59" t="str">
        <f t="shared" si="19"/>
        <v>1</v>
      </c>
      <c r="G345" s="130"/>
      <c r="H345" s="72" t="s">
        <v>309</v>
      </c>
      <c r="I345" s="70" t="s">
        <v>142</v>
      </c>
      <c r="J345" s="70" t="s">
        <v>23</v>
      </c>
    </row>
    <row r="346" spans="1:10" ht="16.5" thickBot="1" x14ac:dyDescent="0.9">
      <c r="A346" s="74"/>
      <c r="B346" s="166"/>
      <c r="C346" s="124" t="str">
        <f t="shared" si="17"/>
        <v xml:space="preserve"> -  []</v>
      </c>
      <c r="D346" s="74"/>
      <c r="E346" s="59">
        <f t="shared" si="18"/>
        <v>0</v>
      </c>
      <c r="F346" s="59" t="str">
        <f t="shared" si="19"/>
        <v/>
      </c>
      <c r="G346" s="130"/>
      <c r="H346" s="72" t="s">
        <v>326</v>
      </c>
      <c r="I346" s="74"/>
      <c r="J346" s="74"/>
    </row>
    <row r="347" spans="1:10" ht="16.5" thickBot="1" x14ac:dyDescent="0.9">
      <c r="A347" s="63"/>
      <c r="B347" s="167"/>
      <c r="C347" s="124" t="str">
        <f t="shared" si="17"/>
        <v xml:space="preserve"> -  []</v>
      </c>
      <c r="D347" s="63"/>
      <c r="E347" s="59">
        <f t="shared" si="18"/>
        <v>0</v>
      </c>
      <c r="F347" s="59" t="str">
        <f t="shared" si="19"/>
        <v/>
      </c>
      <c r="G347" s="121"/>
      <c r="H347" s="62" t="s">
        <v>364</v>
      </c>
      <c r="I347" s="63"/>
      <c r="J347" s="63"/>
    </row>
    <row r="348" spans="1:10" ht="32.25" thickBot="1" x14ac:dyDescent="0.9">
      <c r="A348" s="63" t="s">
        <v>886</v>
      </c>
      <c r="B348" s="67" t="s">
        <v>887</v>
      </c>
      <c r="C348" s="124" t="str">
        <f t="shared" si="17"/>
        <v>A.2.7.5.2 - Intended use [Required]</v>
      </c>
      <c r="D348" s="62" t="s">
        <v>888</v>
      </c>
      <c r="E348" s="59">
        <f t="shared" si="18"/>
        <v>0</v>
      </c>
      <c r="F348" s="59" t="str">
        <f t="shared" si="19"/>
        <v>*</v>
      </c>
      <c r="G348" s="121"/>
      <c r="H348" s="65"/>
      <c r="I348" s="62" t="s">
        <v>131</v>
      </c>
      <c r="J348" s="62" t="s">
        <v>23</v>
      </c>
    </row>
    <row r="349" spans="1:10" ht="32.25" thickBot="1" x14ac:dyDescent="0.9">
      <c r="A349" s="63" t="s">
        <v>889</v>
      </c>
      <c r="B349" s="67" t="s">
        <v>890</v>
      </c>
      <c r="C349" s="124" t="str">
        <f t="shared" si="17"/>
        <v>A.2.7.5.3 - Brand name [Required]</v>
      </c>
      <c r="D349" s="62" t="s">
        <v>891</v>
      </c>
      <c r="E349" s="59">
        <f t="shared" si="18"/>
        <v>1</v>
      </c>
      <c r="F349" s="59" t="str">
        <f t="shared" si="19"/>
        <v>1</v>
      </c>
      <c r="G349" s="121"/>
      <c r="H349" s="65"/>
      <c r="I349" s="62" t="s">
        <v>110</v>
      </c>
      <c r="J349" s="62" t="s">
        <v>23</v>
      </c>
    </row>
    <row r="350" spans="1:10" ht="48" thickBot="1" x14ac:dyDescent="0.9">
      <c r="A350" s="63" t="s">
        <v>892</v>
      </c>
      <c r="B350" s="85" t="s">
        <v>893</v>
      </c>
      <c r="C350" s="124" t="str">
        <f t="shared" si="17"/>
        <v>A.2.7.5.4 - Active ingredient list [Optional]</v>
      </c>
      <c r="D350" s="62" t="s">
        <v>894</v>
      </c>
      <c r="E350" s="59">
        <f t="shared" si="18"/>
        <v>0</v>
      </c>
      <c r="F350" s="59" t="str">
        <f t="shared" si="19"/>
        <v>*</v>
      </c>
      <c r="G350" s="121"/>
      <c r="H350" s="62" t="s">
        <v>601</v>
      </c>
      <c r="I350" s="62" t="s">
        <v>131</v>
      </c>
      <c r="J350" s="62" t="s">
        <v>139</v>
      </c>
    </row>
    <row r="351" spans="1:10" ht="16.5" customHeight="1" thickBot="1" x14ac:dyDescent="0.9">
      <c r="A351" s="70" t="s">
        <v>895</v>
      </c>
      <c r="B351" s="165" t="s">
        <v>896</v>
      </c>
      <c r="C351" s="124" t="str">
        <f t="shared" si="17"/>
        <v>A.2.7.5.5 - Strength [Optional]</v>
      </c>
      <c r="D351" s="70" t="s">
        <v>897</v>
      </c>
      <c r="E351" s="59">
        <f t="shared" si="18"/>
        <v>0</v>
      </c>
      <c r="F351" s="59" t="str">
        <f t="shared" si="19"/>
        <v>*</v>
      </c>
      <c r="G351" s="130"/>
      <c r="H351" s="72" t="s">
        <v>898</v>
      </c>
      <c r="I351" s="70" t="s">
        <v>131</v>
      </c>
      <c r="J351" s="70" t="s">
        <v>139</v>
      </c>
    </row>
    <row r="352" spans="1:10" ht="16.5" thickBot="1" x14ac:dyDescent="0.9">
      <c r="A352" s="63"/>
      <c r="B352" s="167"/>
      <c r="C352" s="124" t="str">
        <f t="shared" si="17"/>
        <v xml:space="preserve"> -  []</v>
      </c>
      <c r="D352" s="63"/>
      <c r="E352" s="59">
        <f t="shared" si="18"/>
        <v>0</v>
      </c>
      <c r="F352" s="59" t="str">
        <f t="shared" si="19"/>
        <v/>
      </c>
      <c r="G352" s="121"/>
      <c r="H352" s="62" t="s">
        <v>899</v>
      </c>
      <c r="I352" s="63"/>
      <c r="J352" s="63"/>
    </row>
    <row r="353" spans="1:10" ht="32.25" thickBot="1" x14ac:dyDescent="0.9">
      <c r="A353" s="63" t="s">
        <v>900</v>
      </c>
      <c r="B353" s="85" t="s">
        <v>901</v>
      </c>
      <c r="C353" s="124" t="str">
        <f t="shared" si="17"/>
        <v>A.2.7.5.6 - Pharmaceutical dose form [Optional]</v>
      </c>
      <c r="D353" s="62" t="s">
        <v>902</v>
      </c>
      <c r="E353" s="59">
        <f t="shared" si="18"/>
        <v>0</v>
      </c>
      <c r="F353" s="59" t="str">
        <f t="shared" si="19"/>
        <v>1</v>
      </c>
      <c r="G353" s="121"/>
      <c r="H353" s="62" t="s">
        <v>812</v>
      </c>
      <c r="I353" s="62" t="s">
        <v>142</v>
      </c>
      <c r="J353" s="62" t="s">
        <v>139</v>
      </c>
    </row>
    <row r="354" spans="1:10" ht="32.25" thickBot="1" x14ac:dyDescent="0.9">
      <c r="A354" s="63" t="s">
        <v>903</v>
      </c>
      <c r="B354" s="69" t="s">
        <v>904</v>
      </c>
      <c r="C354" s="124" t="str">
        <f t="shared" si="17"/>
        <v>A.2.7.5.7 - Dosage Regimen [Optional]</v>
      </c>
      <c r="D354" s="62" t="s">
        <v>905</v>
      </c>
      <c r="E354" s="59">
        <f t="shared" si="18"/>
        <v>0</v>
      </c>
      <c r="F354" s="59" t="str">
        <f t="shared" si="19"/>
        <v>*</v>
      </c>
      <c r="G354" s="121"/>
      <c r="H354" s="65"/>
      <c r="I354" s="62" t="s">
        <v>131</v>
      </c>
      <c r="J354" s="62" t="s">
        <v>139</v>
      </c>
    </row>
    <row r="355" spans="1:10" ht="32.25" thickBot="1" x14ac:dyDescent="0.9">
      <c r="A355" s="63" t="s">
        <v>906</v>
      </c>
      <c r="B355" s="69" t="s">
        <v>811</v>
      </c>
      <c r="C355" s="124" t="str">
        <f t="shared" si="17"/>
        <v>A.2.7.5.8 - Route of administration [Optional]</v>
      </c>
      <c r="D355" s="62" t="s">
        <v>907</v>
      </c>
      <c r="E355" s="59">
        <f t="shared" si="18"/>
        <v>0</v>
      </c>
      <c r="F355" s="59" t="str">
        <f t="shared" si="19"/>
        <v>1</v>
      </c>
      <c r="G355" s="121"/>
      <c r="H355" s="62" t="s">
        <v>812</v>
      </c>
      <c r="I355" s="62" t="s">
        <v>142</v>
      </c>
      <c r="J355" s="62" t="s">
        <v>139</v>
      </c>
    </row>
    <row r="356" spans="1:10" ht="32.25" thickBot="1" x14ac:dyDescent="0.9">
      <c r="A356" s="63" t="s">
        <v>908</v>
      </c>
      <c r="B356" s="69" t="s">
        <v>909</v>
      </c>
      <c r="C356" s="124" t="str">
        <f t="shared" si="17"/>
        <v>A.2.7.5.9 - Period of treatement [Required]</v>
      </c>
      <c r="D356" s="62" t="s">
        <v>910</v>
      </c>
      <c r="E356" s="59">
        <f t="shared" si="18"/>
        <v>0</v>
      </c>
      <c r="F356" s="59" t="str">
        <f t="shared" si="19"/>
        <v>1</v>
      </c>
      <c r="G356" s="121"/>
      <c r="H356" s="65"/>
      <c r="I356" s="62" t="s">
        <v>142</v>
      </c>
      <c r="J356" s="62" t="s">
        <v>23</v>
      </c>
    </row>
    <row r="357" spans="1:10" ht="16.5" customHeight="1" thickBot="1" x14ac:dyDescent="0.9">
      <c r="A357" s="57" t="s">
        <v>911</v>
      </c>
      <c r="B357" s="61" t="s">
        <v>912</v>
      </c>
      <c r="C357" s="124" t="str">
        <f t="shared" si="17"/>
        <v>A.2.7.6 - Significant  Observation Results [Required]</v>
      </c>
      <c r="D357" s="106" t="s">
        <v>913</v>
      </c>
      <c r="E357" s="59">
        <f t="shared" si="18"/>
        <v>0</v>
      </c>
      <c r="F357" s="59" t="str">
        <f t="shared" si="19"/>
        <v>*</v>
      </c>
      <c r="G357" s="59"/>
      <c r="H357" s="107"/>
      <c r="I357" s="62" t="s">
        <v>131</v>
      </c>
      <c r="J357" s="62" t="s">
        <v>23</v>
      </c>
    </row>
    <row r="358" spans="1:10" ht="16.5" thickBot="1" x14ac:dyDescent="0.9">
      <c r="A358" s="63" t="s">
        <v>914</v>
      </c>
      <c r="B358" s="67" t="s">
        <v>25</v>
      </c>
      <c r="C358" s="124" t="str">
        <f t="shared" si="17"/>
        <v>A.2.7.6.1 - Date [Required]</v>
      </c>
      <c r="D358" s="62" t="s">
        <v>915</v>
      </c>
      <c r="E358" s="59">
        <f t="shared" si="18"/>
        <v>1</v>
      </c>
      <c r="F358" s="59" t="str">
        <f t="shared" si="19"/>
        <v>1</v>
      </c>
      <c r="G358" s="121"/>
      <c r="H358" s="65"/>
      <c r="I358" s="62" t="s">
        <v>110</v>
      </c>
      <c r="J358" s="62" t="s">
        <v>23</v>
      </c>
    </row>
    <row r="359" spans="1:10" ht="16.5" thickBot="1" x14ac:dyDescent="0.9">
      <c r="A359" s="63" t="s">
        <v>916</v>
      </c>
      <c r="B359" s="67" t="s">
        <v>917</v>
      </c>
      <c r="C359" s="124" t="str">
        <f t="shared" si="17"/>
        <v>A.2.7.6.2 - Observation status [Required]</v>
      </c>
      <c r="D359" s="62" t="s">
        <v>918</v>
      </c>
      <c r="E359" s="59">
        <f t="shared" si="18"/>
        <v>1</v>
      </c>
      <c r="F359" s="59" t="str">
        <f t="shared" si="19"/>
        <v>1</v>
      </c>
      <c r="G359" s="121"/>
      <c r="H359" s="66" t="s">
        <v>919</v>
      </c>
      <c r="I359" s="62" t="s">
        <v>110</v>
      </c>
      <c r="J359" s="62" t="s">
        <v>23</v>
      </c>
    </row>
    <row r="360" spans="1:10" ht="16.5" thickBot="1" x14ac:dyDescent="0.9">
      <c r="A360" s="63" t="s">
        <v>920</v>
      </c>
      <c r="B360" s="67" t="s">
        <v>506</v>
      </c>
      <c r="C360" s="124" t="str">
        <f t="shared" si="17"/>
        <v>A.2.7.6.3 - Result description [Optional]</v>
      </c>
      <c r="D360" s="62" t="s">
        <v>507</v>
      </c>
      <c r="E360" s="59">
        <f t="shared" si="18"/>
        <v>0</v>
      </c>
      <c r="F360" s="59" t="str">
        <f t="shared" si="19"/>
        <v>1</v>
      </c>
      <c r="G360" s="121"/>
      <c r="H360" s="65"/>
      <c r="I360" s="62" t="s">
        <v>142</v>
      </c>
      <c r="J360" s="62" t="s">
        <v>139</v>
      </c>
    </row>
    <row r="361" spans="1:10" ht="16.5" customHeight="1" thickBot="1" x14ac:dyDescent="0.9">
      <c r="A361" s="70" t="s">
        <v>921</v>
      </c>
      <c r="B361" s="157" t="s">
        <v>508</v>
      </c>
      <c r="C361" s="124" t="str">
        <f t="shared" si="17"/>
        <v>A.2.7.6.4 - Observation details [Required]</v>
      </c>
      <c r="D361" s="70" t="s">
        <v>461</v>
      </c>
      <c r="E361" s="59">
        <f t="shared" si="18"/>
        <v>1</v>
      </c>
      <c r="F361" s="59" t="str">
        <f t="shared" si="19"/>
        <v>1</v>
      </c>
      <c r="G361" s="130"/>
      <c r="H361" s="72" t="s">
        <v>262</v>
      </c>
      <c r="I361" s="70" t="s">
        <v>110</v>
      </c>
      <c r="J361" s="70" t="s">
        <v>23</v>
      </c>
    </row>
    <row r="362" spans="1:10" ht="16.5" thickBot="1" x14ac:dyDescent="0.9">
      <c r="A362" s="74"/>
      <c r="B362" s="158"/>
      <c r="C362" s="124" t="str">
        <f t="shared" si="17"/>
        <v xml:space="preserve"> -  []</v>
      </c>
      <c r="D362" s="74"/>
      <c r="E362" s="59">
        <f t="shared" si="18"/>
        <v>0</v>
      </c>
      <c r="F362" s="59" t="str">
        <f t="shared" si="19"/>
        <v/>
      </c>
      <c r="G362" s="130"/>
      <c r="H362" s="72" t="s">
        <v>922</v>
      </c>
      <c r="I362" s="74"/>
      <c r="J362" s="74"/>
    </row>
    <row r="363" spans="1:10" ht="16.5" thickBot="1" x14ac:dyDescent="0.9">
      <c r="A363" s="74"/>
      <c r="B363" s="158"/>
      <c r="C363" s="124" t="str">
        <f t="shared" si="17"/>
        <v xml:space="preserve"> -  []</v>
      </c>
      <c r="D363" s="74"/>
      <c r="E363" s="59">
        <f t="shared" si="18"/>
        <v>0</v>
      </c>
      <c r="F363" s="59" t="str">
        <f t="shared" si="19"/>
        <v/>
      </c>
      <c r="G363" s="130"/>
      <c r="H363" s="72" t="s">
        <v>326</v>
      </c>
      <c r="I363" s="74"/>
      <c r="J363" s="74"/>
    </row>
    <row r="364" spans="1:10" ht="16.5" thickBot="1" x14ac:dyDescent="0.9">
      <c r="A364" s="63"/>
      <c r="B364" s="159"/>
      <c r="C364" s="124" t="str">
        <f t="shared" si="17"/>
        <v xml:space="preserve"> -  []</v>
      </c>
      <c r="D364" s="63"/>
      <c r="E364" s="59">
        <f t="shared" si="18"/>
        <v>0</v>
      </c>
      <c r="F364" s="59" t="str">
        <f t="shared" si="19"/>
        <v/>
      </c>
      <c r="G364" s="121"/>
      <c r="H364" s="62" t="s">
        <v>923</v>
      </c>
      <c r="I364" s="63"/>
      <c r="J364" s="63"/>
    </row>
    <row r="365" spans="1:10" ht="16.5" customHeight="1" thickBot="1" x14ac:dyDescent="0.9">
      <c r="A365" s="70" t="s">
        <v>924</v>
      </c>
      <c r="B365" s="163" t="s">
        <v>465</v>
      </c>
      <c r="C365" s="124" t="str">
        <f t="shared" si="17"/>
        <v>A.2.7.6.5 - Observation result [Required]</v>
      </c>
      <c r="D365" s="70" t="s">
        <v>925</v>
      </c>
      <c r="E365" s="59">
        <f t="shared" si="18"/>
        <v>0</v>
      </c>
      <c r="F365" s="59" t="str">
        <f t="shared" si="19"/>
        <v>1</v>
      </c>
      <c r="G365" s="130"/>
      <c r="H365" s="72" t="s">
        <v>326</v>
      </c>
      <c r="I365" s="70" t="s">
        <v>142</v>
      </c>
      <c r="J365" s="70" t="s">
        <v>23</v>
      </c>
    </row>
    <row r="366" spans="1:10" ht="16.5" thickBot="1" x14ac:dyDescent="0.9">
      <c r="A366" s="63"/>
      <c r="B366" s="164"/>
      <c r="C366" s="124" t="str">
        <f t="shared" si="17"/>
        <v xml:space="preserve"> -  []</v>
      </c>
      <c r="D366" s="63"/>
      <c r="E366" s="59">
        <f t="shared" si="18"/>
        <v>0</v>
      </c>
      <c r="F366" s="59" t="str">
        <f t="shared" si="19"/>
        <v/>
      </c>
      <c r="G366" s="121"/>
      <c r="H366" s="62" t="s">
        <v>898</v>
      </c>
      <c r="I366" s="63"/>
      <c r="J366" s="63"/>
    </row>
    <row r="367" spans="1:10" ht="48" thickBot="1" x14ac:dyDescent="0.9">
      <c r="A367" s="63" t="s">
        <v>926</v>
      </c>
      <c r="B367" s="67" t="s">
        <v>450</v>
      </c>
      <c r="C367" s="124" t="str">
        <f t="shared" si="17"/>
        <v>A.2.7.6.6 - Performer [Required]</v>
      </c>
      <c r="D367" s="62" t="s">
        <v>927</v>
      </c>
      <c r="E367" s="59">
        <f t="shared" si="18"/>
        <v>0</v>
      </c>
      <c r="F367" s="59" t="str">
        <f t="shared" si="19"/>
        <v>*</v>
      </c>
      <c r="G367" s="121"/>
      <c r="H367" s="65"/>
      <c r="I367" s="62" t="s">
        <v>131</v>
      </c>
      <c r="J367" s="62" t="s">
        <v>23</v>
      </c>
    </row>
    <row r="368" spans="1:10" ht="32.25" thickBot="1" x14ac:dyDescent="0.9">
      <c r="A368" s="63" t="s">
        <v>928</v>
      </c>
      <c r="B368" s="67" t="s">
        <v>929</v>
      </c>
      <c r="C368" s="124" t="str">
        <f t="shared" si="17"/>
        <v>A.2.7.6.7 - Reporter [Required]</v>
      </c>
      <c r="D368" s="62" t="s">
        <v>930</v>
      </c>
      <c r="E368" s="59">
        <f t="shared" si="18"/>
        <v>0</v>
      </c>
      <c r="F368" s="59" t="str">
        <f t="shared" si="19"/>
        <v>*</v>
      </c>
      <c r="G368" s="121"/>
      <c r="H368" s="65"/>
      <c r="I368" s="62" t="s">
        <v>131</v>
      </c>
      <c r="J368" s="62" t="s">
        <v>23</v>
      </c>
    </row>
    <row r="369" spans="1:10" ht="16.5" customHeight="1" thickBot="1" x14ac:dyDescent="0.9">
      <c r="A369" s="57" t="s">
        <v>931</v>
      </c>
      <c r="B369" s="61" t="s">
        <v>932</v>
      </c>
      <c r="C369" s="124" t="str">
        <f t="shared" si="17"/>
        <v>A.2.7.7 - Synthesis [Mandatory]</v>
      </c>
      <c r="D369" s="106" t="s">
        <v>933</v>
      </c>
      <c r="E369" s="59">
        <f t="shared" si="18"/>
        <v>1</v>
      </c>
      <c r="F369" s="59" t="str">
        <f t="shared" si="19"/>
        <v>1</v>
      </c>
      <c r="G369" s="59"/>
      <c r="H369" s="107"/>
      <c r="I369" s="62" t="s">
        <v>110</v>
      </c>
      <c r="J369" s="62" t="s">
        <v>111</v>
      </c>
    </row>
    <row r="370" spans="1:10" ht="32.25" thickBot="1" x14ac:dyDescent="0.9">
      <c r="A370" s="63" t="s">
        <v>934</v>
      </c>
      <c r="B370" s="67" t="s">
        <v>935</v>
      </c>
      <c r="C370" s="124" t="str">
        <f t="shared" si="17"/>
        <v>A.2.7.7.1 - Problem synthesis [Mandatory]</v>
      </c>
      <c r="D370" s="62" t="s">
        <v>936</v>
      </c>
      <c r="E370" s="59">
        <f t="shared" si="18"/>
        <v>1</v>
      </c>
      <c r="F370" s="59" t="str">
        <f t="shared" si="19"/>
        <v>*</v>
      </c>
      <c r="G370" s="121"/>
      <c r="H370" s="65"/>
      <c r="I370" s="62" t="s">
        <v>117</v>
      </c>
      <c r="J370" s="62" t="s">
        <v>111</v>
      </c>
    </row>
    <row r="371" spans="1:10" ht="32.25" thickBot="1" x14ac:dyDescent="0.9">
      <c r="A371" s="63" t="s">
        <v>937</v>
      </c>
      <c r="B371" s="64" t="s">
        <v>519</v>
      </c>
      <c r="C371" s="124" t="str">
        <f t="shared" si="17"/>
        <v>A.2.7.7.1.1 - Problem description [Mandatory]</v>
      </c>
      <c r="D371" s="62" t="s">
        <v>938</v>
      </c>
      <c r="E371" s="59">
        <f t="shared" si="18"/>
        <v>1</v>
      </c>
      <c r="F371" s="59" t="str">
        <f t="shared" si="19"/>
        <v>1</v>
      </c>
      <c r="G371" s="121"/>
      <c r="H371" s="65"/>
      <c r="I371" s="62" t="s">
        <v>110</v>
      </c>
      <c r="J371" s="62" t="s">
        <v>111</v>
      </c>
    </row>
    <row r="372" spans="1:10" ht="32.25" thickBot="1" x14ac:dyDescent="0.9">
      <c r="A372" s="63" t="s">
        <v>939</v>
      </c>
      <c r="B372" s="67" t="s">
        <v>940</v>
      </c>
      <c r="C372" s="124" t="str">
        <f t="shared" si="17"/>
        <v>A.2.7.7.1.2 - Reason and course of hospitalization [Mandatory]</v>
      </c>
      <c r="D372" s="62" t="s">
        <v>941</v>
      </c>
      <c r="E372" s="59">
        <f t="shared" si="18"/>
        <v>1</v>
      </c>
      <c r="F372" s="59" t="str">
        <f t="shared" si="19"/>
        <v>1</v>
      </c>
      <c r="G372" s="121"/>
      <c r="H372" s="65"/>
      <c r="I372" s="62" t="s">
        <v>110</v>
      </c>
      <c r="J372" s="62" t="s">
        <v>111</v>
      </c>
    </row>
    <row r="373" spans="1:10" ht="48" thickBot="1" x14ac:dyDescent="0.9">
      <c r="A373" s="63" t="s">
        <v>942</v>
      </c>
      <c r="B373" s="67" t="s">
        <v>943</v>
      </c>
      <c r="C373" s="124" t="str">
        <f t="shared" si="17"/>
        <v>A.2.7.7.2 - Clinical reasoning [Optional]</v>
      </c>
      <c r="D373" s="62" t="s">
        <v>944</v>
      </c>
      <c r="E373" s="59">
        <f t="shared" si="18"/>
        <v>0</v>
      </c>
      <c r="F373" s="59" t="str">
        <f t="shared" si="19"/>
        <v>1</v>
      </c>
      <c r="G373" s="121"/>
      <c r="H373" s="65"/>
      <c r="I373" s="62" t="s">
        <v>142</v>
      </c>
      <c r="J373" s="62" t="s">
        <v>139</v>
      </c>
    </row>
    <row r="374" spans="1:10" ht="31.75" thickBot="1" x14ac:dyDescent="0.9">
      <c r="A374" s="57" t="s">
        <v>945</v>
      </c>
      <c r="B374" s="58" t="s">
        <v>1084</v>
      </c>
      <c r="C374" s="124" t="str">
        <f t="shared" si="17"/>
        <v>A.2.8 - Discharge details [Mandatory]</v>
      </c>
      <c r="D374" s="59" t="s">
        <v>1085</v>
      </c>
      <c r="E374" s="59">
        <f t="shared" si="18"/>
        <v>1</v>
      </c>
      <c r="F374" s="59" t="str">
        <f t="shared" si="19"/>
        <v>1</v>
      </c>
      <c r="G374" s="59"/>
      <c r="H374" s="60"/>
      <c r="I374" s="62" t="s">
        <v>110</v>
      </c>
      <c r="J374" s="62" t="s">
        <v>111</v>
      </c>
    </row>
    <row r="375" spans="1:10" ht="16.5" thickBot="1" x14ac:dyDescent="0.9">
      <c r="A375" s="57" t="s">
        <v>947</v>
      </c>
      <c r="B375" s="58" t="s">
        <v>446</v>
      </c>
      <c r="C375" s="124" t="str">
        <f t="shared" si="17"/>
        <v>A.2.8.1 - Objective findings [Optional]</v>
      </c>
      <c r="D375" s="59"/>
      <c r="E375" s="59">
        <f t="shared" si="18"/>
        <v>0</v>
      </c>
      <c r="F375" s="59" t="str">
        <f t="shared" si="19"/>
        <v>1</v>
      </c>
      <c r="G375" s="59"/>
      <c r="H375" s="60"/>
      <c r="I375" s="62" t="s">
        <v>142</v>
      </c>
      <c r="J375" s="62" t="s">
        <v>139</v>
      </c>
    </row>
    <row r="376" spans="1:10" ht="16.5" thickBot="1" x14ac:dyDescent="0.9">
      <c r="A376" s="63" t="s">
        <v>948</v>
      </c>
      <c r="B376" s="67" t="s">
        <v>25</v>
      </c>
      <c r="C376" s="124" t="str">
        <f t="shared" si="17"/>
        <v>A.2.8.1.1 - Date [Required]</v>
      </c>
      <c r="D376" s="62" t="s">
        <v>949</v>
      </c>
      <c r="E376" s="59">
        <f t="shared" si="18"/>
        <v>1</v>
      </c>
      <c r="F376" s="59" t="str">
        <f t="shared" si="19"/>
        <v>1</v>
      </c>
      <c r="G376" s="121"/>
      <c r="H376" s="65"/>
      <c r="I376" s="62" t="s">
        <v>110</v>
      </c>
      <c r="J376" s="62" t="s">
        <v>23</v>
      </c>
    </row>
    <row r="377" spans="1:10" ht="48" thickBot="1" x14ac:dyDescent="0.9">
      <c r="A377" s="63" t="s">
        <v>950</v>
      </c>
      <c r="B377" s="67" t="s">
        <v>450</v>
      </c>
      <c r="C377" s="124" t="str">
        <f t="shared" si="17"/>
        <v>A.2.8.1.2 - Performer [Required]</v>
      </c>
      <c r="D377" s="62" t="s">
        <v>451</v>
      </c>
      <c r="E377" s="59">
        <f t="shared" si="18"/>
        <v>0</v>
      </c>
      <c r="F377" s="59" t="str">
        <f t="shared" si="19"/>
        <v>*</v>
      </c>
      <c r="G377" s="121"/>
      <c r="H377" s="65"/>
      <c r="I377" s="62" t="s">
        <v>131</v>
      </c>
      <c r="J377" s="62" t="s">
        <v>23</v>
      </c>
    </row>
    <row r="378" spans="1:10" ht="16.5" thickBot="1" x14ac:dyDescent="0.9">
      <c r="A378" s="90" t="s">
        <v>951</v>
      </c>
      <c r="B378" s="160" t="s">
        <v>453</v>
      </c>
      <c r="C378" s="124" t="str">
        <f t="shared" si="17"/>
        <v>A.2.8.1.3 - Anthropometric obsevations [Optional]</v>
      </c>
      <c r="D378" s="92" t="s">
        <v>952</v>
      </c>
      <c r="E378" s="59">
        <f t="shared" si="18"/>
        <v>0</v>
      </c>
      <c r="F378" s="59" t="str">
        <f t="shared" si="19"/>
        <v>*</v>
      </c>
      <c r="G378" s="99"/>
      <c r="H378" s="93"/>
      <c r="I378" s="70" t="s">
        <v>131</v>
      </c>
      <c r="J378" s="70" t="s">
        <v>139</v>
      </c>
    </row>
    <row r="379" spans="1:10" ht="16.5" thickBot="1" x14ac:dyDescent="0.9">
      <c r="A379" s="95"/>
      <c r="B379" s="161"/>
      <c r="C379" s="124" t="str">
        <f t="shared" si="17"/>
        <v xml:space="preserve"> -  []</v>
      </c>
      <c r="D379" s="96" t="s">
        <v>953</v>
      </c>
      <c r="E379" s="59">
        <f t="shared" si="18"/>
        <v>0</v>
      </c>
      <c r="F379" s="59" t="str">
        <f t="shared" si="19"/>
        <v/>
      </c>
      <c r="G379" s="130"/>
      <c r="H379" s="72"/>
      <c r="I379" s="74"/>
      <c r="J379" s="74"/>
    </row>
    <row r="380" spans="1:10" ht="16.5" customHeight="1" thickBot="1" x14ac:dyDescent="0.9">
      <c r="A380" s="57"/>
      <c r="B380" s="162"/>
      <c r="C380" s="124" t="str">
        <f t="shared" si="17"/>
        <v xml:space="preserve"> -  []</v>
      </c>
      <c r="D380" s="94" t="s">
        <v>954</v>
      </c>
      <c r="E380" s="59">
        <f t="shared" si="18"/>
        <v>0</v>
      </c>
      <c r="F380" s="59" t="str">
        <f t="shared" si="19"/>
        <v/>
      </c>
      <c r="G380" s="121"/>
      <c r="H380" s="62"/>
      <c r="I380" s="63"/>
      <c r="J380" s="63"/>
    </row>
    <row r="381" spans="1:10" ht="16.5" thickBot="1" x14ac:dyDescent="0.9">
      <c r="A381" s="63" t="s">
        <v>955</v>
      </c>
      <c r="B381" s="64" t="s">
        <v>506</v>
      </c>
      <c r="C381" s="124" t="str">
        <f t="shared" si="17"/>
        <v>A.2.8.1.3.1 - Result description [Optional]</v>
      </c>
      <c r="D381" s="62" t="s">
        <v>507</v>
      </c>
      <c r="E381" s="59">
        <f t="shared" si="18"/>
        <v>0</v>
      </c>
      <c r="F381" s="59" t="str">
        <f t="shared" si="19"/>
        <v>1</v>
      </c>
      <c r="G381" s="121"/>
      <c r="H381" s="65"/>
      <c r="I381" s="62" t="s">
        <v>142</v>
      </c>
      <c r="J381" s="62" t="s">
        <v>139</v>
      </c>
    </row>
    <row r="382" spans="1:10" ht="16.5" customHeight="1" thickBot="1" x14ac:dyDescent="0.9">
      <c r="A382" s="70" t="s">
        <v>956</v>
      </c>
      <c r="B382" s="163" t="s">
        <v>508</v>
      </c>
      <c r="C382" s="124" t="str">
        <f t="shared" si="17"/>
        <v>A.2.8.1.3.2 - Observation details [Mandatory]</v>
      </c>
      <c r="D382" s="70" t="s">
        <v>461</v>
      </c>
      <c r="E382" s="59">
        <f t="shared" si="18"/>
        <v>1</v>
      </c>
      <c r="F382" s="59" t="str">
        <f t="shared" si="19"/>
        <v>1</v>
      </c>
      <c r="G382" s="130"/>
      <c r="H382" s="78"/>
      <c r="I382" s="70" t="s">
        <v>110</v>
      </c>
      <c r="J382" s="70" t="s">
        <v>111</v>
      </c>
    </row>
    <row r="383" spans="1:10" ht="16.5" thickBot="1" x14ac:dyDescent="0.9">
      <c r="A383" s="63"/>
      <c r="B383" s="164"/>
      <c r="C383" s="124" t="str">
        <f t="shared" si="17"/>
        <v xml:space="preserve"> -  []</v>
      </c>
      <c r="D383" s="63"/>
      <c r="E383" s="59">
        <f t="shared" si="18"/>
        <v>0</v>
      </c>
      <c r="F383" s="59" t="str">
        <f t="shared" si="19"/>
        <v/>
      </c>
      <c r="G383" s="121"/>
      <c r="H383" s="62" t="s">
        <v>326</v>
      </c>
      <c r="I383" s="63"/>
      <c r="J383" s="63"/>
    </row>
    <row r="384" spans="1:10" ht="16.5" customHeight="1" thickBot="1" x14ac:dyDescent="0.9">
      <c r="A384" s="70" t="s">
        <v>957</v>
      </c>
      <c r="B384" s="163" t="s">
        <v>465</v>
      </c>
      <c r="C384" s="124" t="str">
        <f t="shared" si="17"/>
        <v>A.2.8.1.3.3 - Observation result [Required]</v>
      </c>
      <c r="D384" s="70" t="s">
        <v>925</v>
      </c>
      <c r="E384" s="59">
        <f t="shared" si="18"/>
        <v>1</v>
      </c>
      <c r="F384" s="59" t="str">
        <f t="shared" si="19"/>
        <v>1</v>
      </c>
      <c r="G384" s="130"/>
      <c r="H384" s="72" t="s">
        <v>326</v>
      </c>
      <c r="I384" s="70" t="s">
        <v>110</v>
      </c>
      <c r="J384" s="70" t="s">
        <v>23</v>
      </c>
    </row>
    <row r="385" spans="1:10" ht="16.5" thickBot="1" x14ac:dyDescent="0.9">
      <c r="A385" s="63"/>
      <c r="B385" s="164"/>
      <c r="C385" s="124" t="str">
        <f t="shared" si="17"/>
        <v xml:space="preserve"> -  []</v>
      </c>
      <c r="D385" s="63"/>
      <c r="E385" s="59">
        <f t="shared" si="18"/>
        <v>0</v>
      </c>
      <c r="F385" s="59" t="str">
        <f t="shared" si="19"/>
        <v/>
      </c>
      <c r="G385" s="121"/>
      <c r="H385" s="62" t="s">
        <v>898</v>
      </c>
      <c r="I385" s="63"/>
      <c r="J385" s="63"/>
    </row>
    <row r="386" spans="1:10" ht="48" thickBot="1" x14ac:dyDescent="0.9">
      <c r="A386" s="63" t="s">
        <v>958</v>
      </c>
      <c r="B386" s="67" t="s">
        <v>450</v>
      </c>
      <c r="C386" s="124" t="str">
        <f t="shared" si="17"/>
        <v>A.2.8.1.3.4 - Performer [Required]</v>
      </c>
      <c r="D386" s="62" t="s">
        <v>927</v>
      </c>
      <c r="E386" s="59">
        <f t="shared" si="18"/>
        <v>0</v>
      </c>
      <c r="F386" s="59" t="str">
        <f t="shared" si="19"/>
        <v>*</v>
      </c>
      <c r="G386" s="121"/>
      <c r="H386" s="65"/>
      <c r="I386" s="62" t="s">
        <v>131</v>
      </c>
      <c r="J386" s="62" t="s">
        <v>23</v>
      </c>
    </row>
    <row r="387" spans="1:10" ht="16.5" thickBot="1" x14ac:dyDescent="0.9">
      <c r="A387" s="90" t="s">
        <v>959</v>
      </c>
      <c r="B387" s="160" t="s">
        <v>471</v>
      </c>
      <c r="C387" s="124" t="str">
        <f t="shared" ref="C387:C448" si="20">CONCATENATE(A387," - ",B387," [",J387,"]")</f>
        <v>A.2.8.1.4 - Vital signs [Optional]</v>
      </c>
      <c r="D387" s="92" t="s">
        <v>960</v>
      </c>
      <c r="E387" s="59">
        <f t="shared" ref="E387:E448" si="21">_xlfn.NUMBERVALUE(MID(I387,1,1))</f>
        <v>0</v>
      </c>
      <c r="F387" s="59" t="str">
        <f t="shared" ref="F387:F448" si="22">MID(I387,4,1)</f>
        <v>*</v>
      </c>
      <c r="G387" s="99"/>
      <c r="H387" s="93"/>
      <c r="I387" s="70" t="s">
        <v>131</v>
      </c>
      <c r="J387" s="70" t="s">
        <v>139</v>
      </c>
    </row>
    <row r="388" spans="1:10" ht="16.5" customHeight="1" thickBot="1" x14ac:dyDescent="0.9">
      <c r="A388" s="95"/>
      <c r="B388" s="161"/>
      <c r="C388" s="124" t="str">
        <f t="shared" si="20"/>
        <v xml:space="preserve"> -  []</v>
      </c>
      <c r="D388" s="96" t="s">
        <v>961</v>
      </c>
      <c r="E388" s="59">
        <f t="shared" si="21"/>
        <v>0</v>
      </c>
      <c r="F388" s="59" t="str">
        <f t="shared" si="22"/>
        <v/>
      </c>
      <c r="G388" s="130"/>
      <c r="H388" s="72"/>
      <c r="I388" s="74"/>
      <c r="J388" s="74"/>
    </row>
    <row r="389" spans="1:10" ht="16.5" thickBot="1" x14ac:dyDescent="0.9">
      <c r="A389" s="57"/>
      <c r="B389" s="162"/>
      <c r="C389" s="124" t="str">
        <f t="shared" si="20"/>
        <v xml:space="preserve"> -  []</v>
      </c>
      <c r="D389" s="94" t="s">
        <v>962</v>
      </c>
      <c r="E389" s="59">
        <f t="shared" si="21"/>
        <v>0</v>
      </c>
      <c r="F389" s="59" t="str">
        <f t="shared" si="22"/>
        <v/>
      </c>
      <c r="G389" s="121"/>
      <c r="H389" s="62"/>
      <c r="I389" s="63"/>
      <c r="J389" s="63"/>
    </row>
    <row r="390" spans="1:10" ht="16.5" thickBot="1" x14ac:dyDescent="0.9">
      <c r="A390" s="63" t="s">
        <v>963</v>
      </c>
      <c r="B390" s="67" t="s">
        <v>506</v>
      </c>
      <c r="C390" s="124" t="str">
        <f t="shared" si="20"/>
        <v>A.2.8.1.4.1 - Result description [Optional]</v>
      </c>
      <c r="D390" s="62" t="s">
        <v>507</v>
      </c>
      <c r="E390" s="59">
        <f t="shared" si="21"/>
        <v>0</v>
      </c>
      <c r="F390" s="59" t="str">
        <f t="shared" si="22"/>
        <v>1</v>
      </c>
      <c r="G390" s="121"/>
      <c r="H390" s="65"/>
      <c r="I390" s="62" t="s">
        <v>142</v>
      </c>
      <c r="J390" s="62" t="s">
        <v>139</v>
      </c>
    </row>
    <row r="391" spans="1:10" ht="48" thickBot="1" x14ac:dyDescent="0.9">
      <c r="A391" s="63" t="s">
        <v>964</v>
      </c>
      <c r="B391" s="67" t="s">
        <v>508</v>
      </c>
      <c r="C391" s="124" t="str">
        <f t="shared" si="20"/>
        <v>A.2.8.1.4.2 - Observation details [Mandatory]</v>
      </c>
      <c r="D391" s="62" t="s">
        <v>461</v>
      </c>
      <c r="E391" s="59">
        <f t="shared" si="21"/>
        <v>1</v>
      </c>
      <c r="F391" s="59" t="str">
        <f t="shared" si="22"/>
        <v>1</v>
      </c>
      <c r="G391" s="121"/>
      <c r="H391" s="62" t="s">
        <v>326</v>
      </c>
      <c r="I391" s="62" t="s">
        <v>110</v>
      </c>
      <c r="J391" s="62" t="s">
        <v>111</v>
      </c>
    </row>
    <row r="392" spans="1:10" ht="16.5" customHeight="1" thickBot="1" x14ac:dyDescent="0.9">
      <c r="A392" s="70" t="s">
        <v>965</v>
      </c>
      <c r="B392" s="157" t="s">
        <v>465</v>
      </c>
      <c r="C392" s="124" t="str">
        <f t="shared" si="20"/>
        <v>A.2.8.1.4.3 - Observation result [Required]</v>
      </c>
      <c r="D392" s="70" t="s">
        <v>925</v>
      </c>
      <c r="E392" s="59">
        <f t="shared" si="21"/>
        <v>1</v>
      </c>
      <c r="F392" s="59" t="str">
        <f t="shared" si="22"/>
        <v>1</v>
      </c>
      <c r="G392" s="130"/>
      <c r="H392" s="72" t="s">
        <v>326</v>
      </c>
      <c r="I392" s="70" t="s">
        <v>110</v>
      </c>
      <c r="J392" s="70" t="s">
        <v>23</v>
      </c>
    </row>
    <row r="393" spans="1:10" ht="16.5" thickBot="1" x14ac:dyDescent="0.9">
      <c r="A393" s="63"/>
      <c r="B393" s="159"/>
      <c r="C393" s="124" t="str">
        <f t="shared" si="20"/>
        <v xml:space="preserve"> -  []</v>
      </c>
      <c r="D393" s="63"/>
      <c r="E393" s="59">
        <f t="shared" si="21"/>
        <v>0</v>
      </c>
      <c r="F393" s="59" t="str">
        <f t="shared" si="22"/>
        <v/>
      </c>
      <c r="G393" s="121"/>
      <c r="H393" s="62" t="s">
        <v>481</v>
      </c>
      <c r="I393" s="63"/>
      <c r="J393" s="63"/>
    </row>
    <row r="394" spans="1:10" ht="48" thickBot="1" x14ac:dyDescent="0.9">
      <c r="A394" s="63" t="s">
        <v>966</v>
      </c>
      <c r="B394" s="67" t="s">
        <v>450</v>
      </c>
      <c r="C394" s="124" t="str">
        <f t="shared" si="20"/>
        <v>A.2.8.1.4.4 - Performer [Required]</v>
      </c>
      <c r="D394" s="62" t="s">
        <v>927</v>
      </c>
      <c r="E394" s="59">
        <f t="shared" si="21"/>
        <v>0</v>
      </c>
      <c r="F394" s="59" t="str">
        <f t="shared" si="22"/>
        <v>*</v>
      </c>
      <c r="G394" s="121"/>
      <c r="H394" s="65"/>
      <c r="I394" s="62" t="s">
        <v>131</v>
      </c>
      <c r="J394" s="62" t="s">
        <v>23</v>
      </c>
    </row>
    <row r="395" spans="1:10" ht="16.5" customHeight="1" thickBot="1" x14ac:dyDescent="0.9">
      <c r="A395" s="57" t="s">
        <v>967</v>
      </c>
      <c r="B395" s="61" t="s">
        <v>484</v>
      </c>
      <c r="C395" s="124" t="str">
        <f t="shared" si="20"/>
        <v>A.2.8.1.5 - Physical examination [Optional]</v>
      </c>
      <c r="D395" s="106" t="s">
        <v>485</v>
      </c>
      <c r="E395" s="59">
        <f t="shared" si="21"/>
        <v>0</v>
      </c>
      <c r="F395" s="59" t="str">
        <f t="shared" si="22"/>
        <v>1</v>
      </c>
      <c r="G395" s="59"/>
      <c r="H395" s="107"/>
      <c r="I395" s="62" t="s">
        <v>142</v>
      </c>
      <c r="J395" s="62" t="s">
        <v>139</v>
      </c>
    </row>
    <row r="396" spans="1:10" ht="32.25" thickBot="1" x14ac:dyDescent="0.9">
      <c r="A396" s="63" t="s">
        <v>968</v>
      </c>
      <c r="B396" s="67" t="s">
        <v>487</v>
      </c>
      <c r="C396" s="124" t="str">
        <f t="shared" si="20"/>
        <v>A.2.8.1.5.1 - Observation Note [Required]</v>
      </c>
      <c r="D396" s="62" t="s">
        <v>969</v>
      </c>
      <c r="E396" s="59">
        <f t="shared" si="21"/>
        <v>1</v>
      </c>
      <c r="F396" s="59" t="str">
        <f t="shared" si="22"/>
        <v>1</v>
      </c>
      <c r="G396" s="121"/>
      <c r="H396" s="65"/>
      <c r="I396" s="62" t="s">
        <v>110</v>
      </c>
      <c r="J396" s="62" t="s">
        <v>23</v>
      </c>
    </row>
    <row r="397" spans="1:10" ht="48" thickBot="1" x14ac:dyDescent="0.9">
      <c r="A397" s="63" t="s">
        <v>970</v>
      </c>
      <c r="B397" s="67" t="s">
        <v>450</v>
      </c>
      <c r="C397" s="124" t="str">
        <f t="shared" si="20"/>
        <v>A.2.8.1.5.2 - Performer [Required]</v>
      </c>
      <c r="D397" s="62" t="s">
        <v>451</v>
      </c>
      <c r="E397" s="59">
        <f t="shared" si="21"/>
        <v>0</v>
      </c>
      <c r="F397" s="59" t="str">
        <f t="shared" si="22"/>
        <v>*</v>
      </c>
      <c r="G397" s="121"/>
      <c r="H397" s="65"/>
      <c r="I397" s="62" t="s">
        <v>131</v>
      </c>
      <c r="J397" s="62" t="s">
        <v>23</v>
      </c>
    </row>
    <row r="398" spans="1:10" ht="16.5" customHeight="1" thickBot="1" x14ac:dyDescent="0.9">
      <c r="A398" s="90" t="s">
        <v>971</v>
      </c>
      <c r="B398" s="160" t="s">
        <v>972</v>
      </c>
      <c r="C398" s="124" t="str">
        <f t="shared" si="20"/>
        <v>A.2.8.2 - Functional status at discharge [Required]</v>
      </c>
      <c r="D398" s="92" t="s">
        <v>492</v>
      </c>
      <c r="E398" s="59">
        <f t="shared" si="21"/>
        <v>0</v>
      </c>
      <c r="F398" s="59" t="str">
        <f t="shared" si="22"/>
        <v>1</v>
      </c>
      <c r="G398" s="99"/>
      <c r="H398" s="93"/>
      <c r="I398" s="70" t="s">
        <v>142</v>
      </c>
      <c r="J398" s="70" t="s">
        <v>23</v>
      </c>
    </row>
    <row r="399" spans="1:10" ht="16.5" thickBot="1" x14ac:dyDescent="0.9">
      <c r="A399" s="95"/>
      <c r="B399" s="161"/>
      <c r="C399" s="124" t="str">
        <f t="shared" si="20"/>
        <v xml:space="preserve"> -  []</v>
      </c>
      <c r="D399" s="101"/>
      <c r="E399" s="59">
        <f t="shared" si="21"/>
        <v>0</v>
      </c>
      <c r="F399" s="59" t="str">
        <f t="shared" si="22"/>
        <v/>
      </c>
      <c r="G399" s="130"/>
      <c r="H399" s="78"/>
      <c r="I399" s="74"/>
      <c r="J399" s="74"/>
    </row>
    <row r="400" spans="1:10" ht="16.5" thickBot="1" x14ac:dyDescent="0.9">
      <c r="A400" s="57"/>
      <c r="B400" s="162"/>
      <c r="C400" s="124" t="str">
        <f t="shared" si="20"/>
        <v xml:space="preserve"> -  []</v>
      </c>
      <c r="D400" s="102" t="s">
        <v>493</v>
      </c>
      <c r="E400" s="59">
        <f t="shared" si="21"/>
        <v>0</v>
      </c>
      <c r="F400" s="59" t="str">
        <f t="shared" si="22"/>
        <v/>
      </c>
      <c r="G400" s="121"/>
      <c r="H400" s="66"/>
      <c r="I400" s="63"/>
      <c r="J400" s="63"/>
    </row>
    <row r="401" spans="1:10" ht="16.5" thickBot="1" x14ac:dyDescent="0.9">
      <c r="A401" s="63" t="s">
        <v>973</v>
      </c>
      <c r="B401" s="67" t="s">
        <v>299</v>
      </c>
      <c r="C401" s="124" t="str">
        <f t="shared" si="20"/>
        <v>A.2.8.2.1 - Date and time [Required]</v>
      </c>
      <c r="D401" s="62" t="s">
        <v>448</v>
      </c>
      <c r="E401" s="59">
        <f t="shared" si="21"/>
        <v>1</v>
      </c>
      <c r="F401" s="59" t="str">
        <f t="shared" si="22"/>
        <v>1</v>
      </c>
      <c r="G401" s="121"/>
      <c r="H401" s="65"/>
      <c r="I401" s="62" t="s">
        <v>110</v>
      </c>
      <c r="J401" s="62" t="s">
        <v>23</v>
      </c>
    </row>
    <row r="402" spans="1:10" ht="48" thickBot="1" x14ac:dyDescent="0.9">
      <c r="A402" s="63" t="s">
        <v>974</v>
      </c>
      <c r="B402" s="67" t="s">
        <v>450</v>
      </c>
      <c r="C402" s="124" t="str">
        <f t="shared" si="20"/>
        <v>A.2.8.2.2 - Performer [Required]</v>
      </c>
      <c r="D402" s="62" t="s">
        <v>451</v>
      </c>
      <c r="E402" s="59">
        <f t="shared" si="21"/>
        <v>0</v>
      </c>
      <c r="F402" s="59" t="str">
        <f t="shared" si="22"/>
        <v>*</v>
      </c>
      <c r="G402" s="121"/>
      <c r="H402" s="65"/>
      <c r="I402" s="62" t="s">
        <v>131</v>
      </c>
      <c r="J402" s="62" t="s">
        <v>23</v>
      </c>
    </row>
    <row r="403" spans="1:10" ht="48" thickBot="1" x14ac:dyDescent="0.9">
      <c r="A403" s="63" t="s">
        <v>975</v>
      </c>
      <c r="B403" s="67" t="s">
        <v>3</v>
      </c>
      <c r="C403" s="124" t="str">
        <f t="shared" si="20"/>
        <v>A.2.8.2.3 - Description [Optional]</v>
      </c>
      <c r="D403" s="62" t="s">
        <v>497</v>
      </c>
      <c r="E403" s="59">
        <f t="shared" si="21"/>
        <v>0</v>
      </c>
      <c r="F403" s="59" t="str">
        <f t="shared" si="22"/>
        <v>1</v>
      </c>
      <c r="G403" s="121"/>
      <c r="H403" s="65"/>
      <c r="I403" s="62" t="s">
        <v>142</v>
      </c>
      <c r="J403" s="62" t="s">
        <v>139</v>
      </c>
    </row>
    <row r="404" spans="1:10" ht="16.5" thickBot="1" x14ac:dyDescent="0.9">
      <c r="A404" s="63" t="s">
        <v>976</v>
      </c>
      <c r="B404" s="67" t="s">
        <v>499</v>
      </c>
      <c r="C404" s="124" t="str">
        <f t="shared" si="20"/>
        <v>A.2.8.2.4 - Functional status assessment [Required]</v>
      </c>
      <c r="D404" s="62" t="s">
        <v>977</v>
      </c>
      <c r="E404" s="59">
        <f t="shared" si="21"/>
        <v>0</v>
      </c>
      <c r="F404" s="59" t="str">
        <f t="shared" si="22"/>
        <v>*</v>
      </c>
      <c r="G404" s="121"/>
      <c r="H404" s="65"/>
      <c r="I404" s="62" t="s">
        <v>131</v>
      </c>
      <c r="J404" s="62" t="s">
        <v>23</v>
      </c>
    </row>
    <row r="405" spans="1:10" ht="16.5" thickBot="1" x14ac:dyDescent="0.9">
      <c r="A405" s="63" t="s">
        <v>978</v>
      </c>
      <c r="B405" s="67" t="s">
        <v>504</v>
      </c>
      <c r="C405" s="124" t="str">
        <f t="shared" si="20"/>
        <v>A.2.8.2.4.1 - Onset Date [Required]</v>
      </c>
      <c r="D405" s="62" t="s">
        <v>505</v>
      </c>
      <c r="E405" s="59">
        <f t="shared" si="21"/>
        <v>0</v>
      </c>
      <c r="F405" s="59" t="str">
        <f t="shared" si="22"/>
        <v>1</v>
      </c>
      <c r="G405" s="121"/>
      <c r="H405" s="65"/>
      <c r="I405" s="62" t="s">
        <v>142</v>
      </c>
      <c r="J405" s="62" t="s">
        <v>23</v>
      </c>
    </row>
    <row r="406" spans="1:10" ht="16.5" thickBot="1" x14ac:dyDescent="0.9">
      <c r="A406" s="63" t="s">
        <v>979</v>
      </c>
      <c r="B406" s="67" t="s">
        <v>506</v>
      </c>
      <c r="C406" s="124" t="str">
        <f t="shared" si="20"/>
        <v>A.2.8.2.4.2 - Result description [Optional]</v>
      </c>
      <c r="D406" s="62" t="s">
        <v>507</v>
      </c>
      <c r="E406" s="59">
        <f t="shared" si="21"/>
        <v>0</v>
      </c>
      <c r="F406" s="59" t="str">
        <f t="shared" si="22"/>
        <v>1</v>
      </c>
      <c r="G406" s="121"/>
      <c r="H406" s="65"/>
      <c r="I406" s="62" t="s">
        <v>142</v>
      </c>
      <c r="J406" s="62" t="s">
        <v>139</v>
      </c>
    </row>
    <row r="407" spans="1:10" ht="48" thickBot="1" x14ac:dyDescent="0.9">
      <c r="A407" s="63" t="s">
        <v>980</v>
      </c>
      <c r="B407" s="67" t="s">
        <v>508</v>
      </c>
      <c r="C407" s="124" t="str">
        <f t="shared" si="20"/>
        <v>A.2.8.2.4.3 - Observation details [Required]</v>
      </c>
      <c r="D407" s="62" t="s">
        <v>461</v>
      </c>
      <c r="E407" s="59">
        <f t="shared" si="21"/>
        <v>1</v>
      </c>
      <c r="F407" s="59" t="str">
        <f t="shared" si="22"/>
        <v>1</v>
      </c>
      <c r="G407" s="121"/>
      <c r="H407" s="62" t="s">
        <v>509</v>
      </c>
      <c r="I407" s="62" t="s">
        <v>110</v>
      </c>
      <c r="J407" s="62" t="s">
        <v>23</v>
      </c>
    </row>
    <row r="408" spans="1:10" ht="79.5" thickBot="1" x14ac:dyDescent="0.9">
      <c r="A408" s="63" t="s">
        <v>981</v>
      </c>
      <c r="B408" s="67" t="s">
        <v>465</v>
      </c>
      <c r="C408" s="124" t="str">
        <f t="shared" si="20"/>
        <v>A.2.8.2.4.4 - Observation result [Required]</v>
      </c>
      <c r="D408" s="62" t="s">
        <v>466</v>
      </c>
      <c r="E408" s="59">
        <f t="shared" si="21"/>
        <v>1</v>
      </c>
      <c r="F408" s="59" t="str">
        <f t="shared" si="22"/>
        <v>1</v>
      </c>
      <c r="G408" s="121"/>
      <c r="H408" s="62" t="s">
        <v>509</v>
      </c>
      <c r="I408" s="62" t="s">
        <v>110</v>
      </c>
      <c r="J408" s="62" t="s">
        <v>23</v>
      </c>
    </row>
    <row r="409" spans="1:10" ht="16.5" thickBot="1" x14ac:dyDescent="0.9">
      <c r="A409" s="63" t="s">
        <v>982</v>
      </c>
      <c r="B409" s="62" t="s">
        <v>983</v>
      </c>
      <c r="C409" s="124" t="str">
        <f t="shared" si="20"/>
        <v>A.2.8.3 - Discharge note [Optional]</v>
      </c>
      <c r="D409" s="62" t="s">
        <v>984</v>
      </c>
      <c r="E409" s="59">
        <f t="shared" si="21"/>
        <v>0</v>
      </c>
      <c r="F409" s="59" t="str">
        <f t="shared" si="22"/>
        <v>1</v>
      </c>
      <c r="G409" s="121"/>
      <c r="H409" s="65"/>
      <c r="I409" s="62" t="s">
        <v>142</v>
      </c>
      <c r="J409" s="62" t="s">
        <v>139</v>
      </c>
    </row>
    <row r="410" spans="1:10" ht="16.5" thickBot="1" x14ac:dyDescent="0.9">
      <c r="A410" s="90" t="s">
        <v>985</v>
      </c>
      <c r="B410" s="98" t="s">
        <v>986</v>
      </c>
      <c r="C410" s="124" t="str">
        <f t="shared" si="20"/>
        <v>A.2.9 - Recommendations [Required]</v>
      </c>
      <c r="D410" s="99"/>
      <c r="E410" s="59">
        <f t="shared" si="21"/>
        <v>0</v>
      </c>
      <c r="F410" s="59" t="str">
        <f t="shared" si="22"/>
        <v>1</v>
      </c>
      <c r="G410" s="99"/>
      <c r="H410" s="100"/>
      <c r="I410" s="70" t="s">
        <v>142</v>
      </c>
      <c r="J410" s="70" t="s">
        <v>23</v>
      </c>
    </row>
    <row r="411" spans="1:10" ht="16.5" thickBot="1" x14ac:dyDescent="0.9">
      <c r="A411" s="57"/>
      <c r="B411" s="120" t="s">
        <v>987</v>
      </c>
      <c r="C411" s="124" t="str">
        <f t="shared" si="20"/>
        <v xml:space="preserve"> - Care plan and other recommendations after discharge. []</v>
      </c>
      <c r="D411" s="121"/>
      <c r="E411" s="59">
        <f t="shared" si="21"/>
        <v>0</v>
      </c>
      <c r="F411" s="59" t="str">
        <f t="shared" si="22"/>
        <v/>
      </c>
      <c r="G411" s="121"/>
      <c r="H411" s="61"/>
      <c r="I411" s="63"/>
      <c r="J411" s="63"/>
    </row>
    <row r="412" spans="1:10" ht="16.5" thickBot="1" x14ac:dyDescent="0.9">
      <c r="A412" s="57" t="s">
        <v>988</v>
      </c>
      <c r="B412" s="122" t="s">
        <v>989</v>
      </c>
      <c r="C412" s="124" t="str">
        <f t="shared" si="20"/>
        <v>A.2.9.1 - Care plan [Required]</v>
      </c>
      <c r="D412" s="106" t="s">
        <v>990</v>
      </c>
      <c r="E412" s="59">
        <f t="shared" si="21"/>
        <v>0</v>
      </c>
      <c r="F412" s="59" t="str">
        <f t="shared" si="22"/>
        <v>*</v>
      </c>
      <c r="G412" s="59"/>
      <c r="H412" s="107"/>
      <c r="I412" s="62" t="s">
        <v>131</v>
      </c>
      <c r="J412" s="62" t="s">
        <v>23</v>
      </c>
    </row>
    <row r="413" spans="1:10" ht="32.25" thickBot="1" x14ac:dyDescent="0.9">
      <c r="A413" s="63" t="s">
        <v>991</v>
      </c>
      <c r="B413" s="67" t="s">
        <v>10</v>
      </c>
      <c r="C413" s="124" t="str">
        <f t="shared" si="20"/>
        <v>A.2.9.1.1 - Title [Required]</v>
      </c>
      <c r="D413" s="62" t="s">
        <v>992</v>
      </c>
      <c r="E413" s="59">
        <f t="shared" si="21"/>
        <v>0</v>
      </c>
      <c r="F413" s="59" t="str">
        <f t="shared" si="22"/>
        <v>1</v>
      </c>
      <c r="G413" s="121"/>
      <c r="H413" s="65"/>
      <c r="I413" s="62" t="s">
        <v>142</v>
      </c>
      <c r="J413" s="62" t="s">
        <v>23</v>
      </c>
    </row>
    <row r="414" spans="1:10" ht="16.5" customHeight="1" thickBot="1" x14ac:dyDescent="0.9">
      <c r="A414" s="70" t="s">
        <v>993</v>
      </c>
      <c r="B414" s="157" t="s">
        <v>994</v>
      </c>
      <c r="C414" s="124" t="str">
        <f t="shared" si="20"/>
        <v>A.2.9.1.2 - Addresses [Required]</v>
      </c>
      <c r="D414" s="70" t="s">
        <v>995</v>
      </c>
      <c r="E414" s="59">
        <f t="shared" si="21"/>
        <v>0</v>
      </c>
      <c r="F414" s="59" t="str">
        <f t="shared" si="22"/>
        <v>*</v>
      </c>
      <c r="G414" s="130"/>
      <c r="H414" s="72" t="s">
        <v>562</v>
      </c>
      <c r="I414" s="70" t="s">
        <v>131</v>
      </c>
      <c r="J414" s="70" t="s">
        <v>23</v>
      </c>
    </row>
    <row r="415" spans="1:10" ht="16.5" thickBot="1" x14ac:dyDescent="0.9">
      <c r="A415" s="74"/>
      <c r="B415" s="158"/>
      <c r="C415" s="124" t="str">
        <f t="shared" si="20"/>
        <v xml:space="preserve"> -  []</v>
      </c>
      <c r="D415" s="74"/>
      <c r="E415" s="59">
        <f t="shared" si="21"/>
        <v>0</v>
      </c>
      <c r="F415" s="59" t="str">
        <f t="shared" si="22"/>
        <v/>
      </c>
      <c r="G415" s="130"/>
      <c r="H415" s="72" t="s">
        <v>326</v>
      </c>
      <c r="I415" s="74"/>
      <c r="J415" s="74"/>
    </row>
    <row r="416" spans="1:10" ht="16.5" thickBot="1" x14ac:dyDescent="0.9">
      <c r="A416" s="63"/>
      <c r="B416" s="159"/>
      <c r="C416" s="124" t="str">
        <f t="shared" si="20"/>
        <v xml:space="preserve"> -  []</v>
      </c>
      <c r="D416" s="63"/>
      <c r="E416" s="59">
        <f t="shared" si="21"/>
        <v>0</v>
      </c>
      <c r="F416" s="59" t="str">
        <f t="shared" si="22"/>
        <v/>
      </c>
      <c r="G416" s="121"/>
      <c r="H416" s="62" t="s">
        <v>364</v>
      </c>
      <c r="I416" s="63"/>
      <c r="J416" s="63"/>
    </row>
    <row r="417" spans="1:10" ht="16.5" thickBot="1" x14ac:dyDescent="0.9">
      <c r="A417" s="63" t="s">
        <v>996</v>
      </c>
      <c r="B417" s="64" t="s">
        <v>3</v>
      </c>
      <c r="C417" s="124" t="str">
        <f t="shared" si="20"/>
        <v>A.2.9.1.3 - Description [Required]</v>
      </c>
      <c r="D417" s="62" t="s">
        <v>997</v>
      </c>
      <c r="E417" s="59">
        <f t="shared" si="21"/>
        <v>0</v>
      </c>
      <c r="F417" s="59" t="str">
        <f t="shared" si="22"/>
        <v>1</v>
      </c>
      <c r="G417" s="121"/>
      <c r="H417" s="65"/>
      <c r="I417" s="62" t="s">
        <v>142</v>
      </c>
      <c r="J417" s="62" t="s">
        <v>23</v>
      </c>
    </row>
    <row r="418" spans="1:10" ht="32.25" thickBot="1" x14ac:dyDescent="0.9">
      <c r="A418" s="63" t="s">
        <v>998</v>
      </c>
      <c r="B418" s="67" t="s">
        <v>999</v>
      </c>
      <c r="C418" s="124" t="str">
        <f t="shared" si="20"/>
        <v>A.2.9.1.4 - PlanPeriod [Required]</v>
      </c>
      <c r="D418" s="62" t="s">
        <v>1000</v>
      </c>
      <c r="E418" s="59">
        <f t="shared" si="21"/>
        <v>0</v>
      </c>
      <c r="F418" s="59" t="str">
        <f t="shared" si="22"/>
        <v>1</v>
      </c>
      <c r="G418" s="121"/>
      <c r="H418" s="65"/>
      <c r="I418" s="62" t="s">
        <v>142</v>
      </c>
      <c r="J418" s="62" t="s">
        <v>23</v>
      </c>
    </row>
    <row r="419" spans="1:10" ht="16.5" thickBot="1" x14ac:dyDescent="0.9">
      <c r="A419" s="63" t="s">
        <v>1001</v>
      </c>
      <c r="B419" s="67" t="s">
        <v>1002</v>
      </c>
      <c r="C419" s="124" t="str">
        <f t="shared" si="20"/>
        <v>A.2.9.1.5 - Other details [Required]</v>
      </c>
      <c r="D419" s="62" t="s">
        <v>1003</v>
      </c>
      <c r="E419" s="59">
        <f t="shared" si="21"/>
        <v>0</v>
      </c>
      <c r="F419" s="59" t="str">
        <f t="shared" si="22"/>
        <v>*</v>
      </c>
      <c r="G419" s="121"/>
      <c r="H419" s="65"/>
      <c r="I419" s="62" t="s">
        <v>131</v>
      </c>
      <c r="J419" s="62" t="s">
        <v>23</v>
      </c>
    </row>
    <row r="420" spans="1:10" ht="16.5" thickBot="1" x14ac:dyDescent="0.9">
      <c r="A420" s="63" t="s">
        <v>1004</v>
      </c>
      <c r="B420" s="67" t="s">
        <v>1005</v>
      </c>
      <c r="C420" s="124" t="str">
        <f t="shared" si="20"/>
        <v>A.2.9.1.6 - Activity [Optional]</v>
      </c>
      <c r="D420" s="62" t="s">
        <v>1006</v>
      </c>
      <c r="E420" s="59">
        <f t="shared" si="21"/>
        <v>0</v>
      </c>
      <c r="F420" s="59" t="str">
        <f t="shared" si="22"/>
        <v>*</v>
      </c>
      <c r="G420" s="121"/>
      <c r="H420" s="65"/>
      <c r="I420" s="62" t="s">
        <v>131</v>
      </c>
      <c r="J420" s="62" t="s">
        <v>139</v>
      </c>
    </row>
    <row r="421" spans="1:10" ht="16.5" customHeight="1" thickBot="1" x14ac:dyDescent="0.9">
      <c r="A421" s="70" t="s">
        <v>1007</v>
      </c>
      <c r="B421" s="157" t="s">
        <v>1008</v>
      </c>
      <c r="C421" s="124" t="str">
        <f t="shared" si="20"/>
        <v>A.2.9.1.6.1 - Kind [Required]</v>
      </c>
      <c r="D421" s="70" t="s">
        <v>1009</v>
      </c>
      <c r="E421" s="59">
        <f t="shared" si="21"/>
        <v>0</v>
      </c>
      <c r="F421" s="59" t="str">
        <f t="shared" si="22"/>
        <v>1</v>
      </c>
      <c r="G421" s="130"/>
      <c r="H421" s="97" t="s">
        <v>1010</v>
      </c>
      <c r="I421" s="70" t="s">
        <v>142</v>
      </c>
      <c r="J421" s="70" t="s">
        <v>23</v>
      </c>
    </row>
    <row r="422" spans="1:10" ht="16.5" thickBot="1" x14ac:dyDescent="0.9">
      <c r="A422" s="74"/>
      <c r="B422" s="158"/>
      <c r="C422" s="124" t="str">
        <f t="shared" si="20"/>
        <v xml:space="preserve"> -  []</v>
      </c>
      <c r="D422" s="74"/>
      <c r="E422" s="59">
        <f t="shared" si="21"/>
        <v>0</v>
      </c>
      <c r="F422" s="59" t="str">
        <f t="shared" si="22"/>
        <v/>
      </c>
      <c r="G422" s="130"/>
      <c r="H422" s="97" t="s">
        <v>1011</v>
      </c>
      <c r="I422" s="74"/>
      <c r="J422" s="74"/>
    </row>
    <row r="423" spans="1:10" ht="16.5" thickBot="1" x14ac:dyDescent="0.9">
      <c r="A423" s="74"/>
      <c r="B423" s="158"/>
      <c r="C423" s="124" t="str">
        <f t="shared" si="20"/>
        <v xml:space="preserve"> -  []</v>
      </c>
      <c r="D423" s="74"/>
      <c r="E423" s="59">
        <f t="shared" si="21"/>
        <v>0</v>
      </c>
      <c r="F423" s="59" t="str">
        <f t="shared" si="22"/>
        <v/>
      </c>
      <c r="G423" s="130"/>
      <c r="H423" s="97" t="s">
        <v>1012</v>
      </c>
      <c r="I423" s="74"/>
      <c r="J423" s="74"/>
    </row>
    <row r="424" spans="1:10" ht="16.5" thickBot="1" x14ac:dyDescent="0.9">
      <c r="A424" s="74"/>
      <c r="B424" s="158"/>
      <c r="C424" s="124" t="str">
        <f t="shared" si="20"/>
        <v xml:space="preserve"> -  []</v>
      </c>
      <c r="D424" s="74"/>
      <c r="E424" s="59">
        <f t="shared" si="21"/>
        <v>0</v>
      </c>
      <c r="F424" s="59" t="str">
        <f t="shared" si="22"/>
        <v/>
      </c>
      <c r="G424" s="130"/>
      <c r="H424" s="97" t="s">
        <v>1013</v>
      </c>
      <c r="I424" s="74"/>
      <c r="J424" s="74"/>
    </row>
    <row r="425" spans="1:10" ht="16.5" thickBot="1" x14ac:dyDescent="0.9">
      <c r="A425" s="74"/>
      <c r="B425" s="158"/>
      <c r="C425" s="124" t="str">
        <f t="shared" si="20"/>
        <v xml:space="preserve"> -  []</v>
      </c>
      <c r="D425" s="74"/>
      <c r="E425" s="59">
        <f t="shared" si="21"/>
        <v>0</v>
      </c>
      <c r="F425" s="59" t="str">
        <f t="shared" si="22"/>
        <v/>
      </c>
      <c r="G425" s="130"/>
      <c r="H425" s="97" t="s">
        <v>1014</v>
      </c>
      <c r="I425" s="74"/>
      <c r="J425" s="74"/>
    </row>
    <row r="426" spans="1:10" ht="16.5" thickBot="1" x14ac:dyDescent="0.9">
      <c r="A426" s="74"/>
      <c r="B426" s="158"/>
      <c r="C426" s="124" t="str">
        <f t="shared" si="20"/>
        <v xml:space="preserve"> -  []</v>
      </c>
      <c r="D426" s="74"/>
      <c r="E426" s="59">
        <f t="shared" si="21"/>
        <v>0</v>
      </c>
      <c r="F426" s="59" t="str">
        <f t="shared" si="22"/>
        <v/>
      </c>
      <c r="G426" s="130"/>
      <c r="H426" s="97" t="s">
        <v>1015</v>
      </c>
      <c r="I426" s="74"/>
      <c r="J426" s="74"/>
    </row>
    <row r="427" spans="1:10" ht="16.5" thickBot="1" x14ac:dyDescent="0.9">
      <c r="A427" s="74"/>
      <c r="B427" s="158"/>
      <c r="C427" s="124" t="str">
        <f t="shared" si="20"/>
        <v xml:space="preserve"> -  []</v>
      </c>
      <c r="D427" s="74"/>
      <c r="E427" s="59">
        <f t="shared" si="21"/>
        <v>0</v>
      </c>
      <c r="F427" s="59" t="str">
        <f t="shared" si="22"/>
        <v/>
      </c>
      <c r="G427" s="130"/>
      <c r="H427" s="97" t="s">
        <v>1016</v>
      </c>
      <c r="I427" s="74"/>
      <c r="J427" s="74"/>
    </row>
    <row r="428" spans="1:10" ht="16.5" thickBot="1" x14ac:dyDescent="0.9">
      <c r="A428" s="74"/>
      <c r="B428" s="158"/>
      <c r="C428" s="124" t="str">
        <f t="shared" si="20"/>
        <v xml:space="preserve"> -  []</v>
      </c>
      <c r="D428" s="74"/>
      <c r="E428" s="59">
        <f t="shared" si="21"/>
        <v>0</v>
      </c>
      <c r="F428" s="59" t="str">
        <f t="shared" si="22"/>
        <v/>
      </c>
      <c r="G428" s="130"/>
      <c r="H428" s="97" t="s">
        <v>1017</v>
      </c>
      <c r="I428" s="74"/>
      <c r="J428" s="74"/>
    </row>
    <row r="429" spans="1:10" ht="16.5" thickBot="1" x14ac:dyDescent="0.9">
      <c r="A429" s="63"/>
      <c r="B429" s="159"/>
      <c r="C429" s="124" t="str">
        <f t="shared" si="20"/>
        <v xml:space="preserve"> -  []</v>
      </c>
      <c r="D429" s="63"/>
      <c r="E429" s="59">
        <f t="shared" si="21"/>
        <v>0</v>
      </c>
      <c r="F429" s="59" t="str">
        <f t="shared" si="22"/>
        <v/>
      </c>
      <c r="G429" s="121"/>
      <c r="H429" s="66" t="s">
        <v>1018</v>
      </c>
      <c r="I429" s="63"/>
      <c r="J429" s="63"/>
    </row>
    <row r="430" spans="1:10" ht="16.5" thickBot="1" x14ac:dyDescent="0.9">
      <c r="A430" s="63" t="s">
        <v>1019</v>
      </c>
      <c r="B430" s="67" t="s">
        <v>1020</v>
      </c>
      <c r="C430" s="124" t="str">
        <f t="shared" si="20"/>
        <v>A.2.9.1.6.2 - Activity description [Required]</v>
      </c>
      <c r="D430" s="62" t="s">
        <v>1021</v>
      </c>
      <c r="E430" s="59">
        <f t="shared" si="21"/>
        <v>0</v>
      </c>
      <c r="F430" s="59" t="str">
        <f t="shared" si="22"/>
        <v>1</v>
      </c>
      <c r="G430" s="121"/>
      <c r="H430" s="65"/>
      <c r="I430" s="62" t="s">
        <v>142</v>
      </c>
      <c r="J430" s="62" t="s">
        <v>23</v>
      </c>
    </row>
    <row r="431" spans="1:10" ht="32.25" thickBot="1" x14ac:dyDescent="0.9">
      <c r="A431" s="63" t="s">
        <v>1022</v>
      </c>
      <c r="B431" s="67" t="s">
        <v>1023</v>
      </c>
      <c r="C431" s="124" t="str">
        <f t="shared" si="20"/>
        <v>A.2.9.1.6.3 - Specific attributes [Required]</v>
      </c>
      <c r="D431" s="62" t="s">
        <v>1024</v>
      </c>
      <c r="E431" s="59">
        <f t="shared" si="21"/>
        <v>0</v>
      </c>
      <c r="F431" s="59" t="str">
        <f t="shared" si="22"/>
        <v>*</v>
      </c>
      <c r="G431" s="121"/>
      <c r="H431" s="65"/>
      <c r="I431" s="62" t="s">
        <v>131</v>
      </c>
      <c r="J431" s="62" t="s">
        <v>23</v>
      </c>
    </row>
    <row r="432" spans="1:10" ht="63.75" thickBot="1" x14ac:dyDescent="0.9">
      <c r="A432" s="63" t="s">
        <v>1025</v>
      </c>
      <c r="B432" s="69" t="s">
        <v>1026</v>
      </c>
      <c r="C432" s="124" t="str">
        <f t="shared" si="20"/>
        <v>A.2.9.2 - Medication summary [Mandatory]</v>
      </c>
      <c r="D432" s="62" t="s">
        <v>1027</v>
      </c>
      <c r="E432" s="59">
        <f t="shared" si="21"/>
        <v>0</v>
      </c>
      <c r="F432" s="59" t="str">
        <f t="shared" si="22"/>
        <v/>
      </c>
      <c r="G432" s="121"/>
      <c r="H432" s="65"/>
      <c r="I432" s="65"/>
      <c r="J432" s="62" t="s">
        <v>111</v>
      </c>
    </row>
    <row r="433" spans="1:10" ht="16.5" thickBot="1" x14ac:dyDescent="0.9">
      <c r="A433" s="63" t="s">
        <v>1028</v>
      </c>
      <c r="B433" s="67" t="s">
        <v>31</v>
      </c>
      <c r="C433" s="124" t="str">
        <f t="shared" si="20"/>
        <v>A.2.9.2.1 - Status [Required]</v>
      </c>
      <c r="D433" s="62" t="s">
        <v>1029</v>
      </c>
      <c r="E433" s="59">
        <f t="shared" si="21"/>
        <v>1</v>
      </c>
      <c r="F433" s="59" t="str">
        <f t="shared" si="22"/>
        <v>1</v>
      </c>
      <c r="G433" s="121"/>
      <c r="H433" s="66" t="s">
        <v>1030</v>
      </c>
      <c r="I433" s="62" t="s">
        <v>110</v>
      </c>
      <c r="J433" s="62" t="s">
        <v>23</v>
      </c>
    </row>
    <row r="434" spans="1:10" ht="16.5" thickBot="1" x14ac:dyDescent="0.9">
      <c r="A434" s="70" t="s">
        <v>1031</v>
      </c>
      <c r="B434" s="157" t="s">
        <v>884</v>
      </c>
      <c r="C434" s="124" t="str">
        <f t="shared" si="20"/>
        <v>A.2.9.2.2 - Medication reason [Required]</v>
      </c>
      <c r="D434" s="70" t="s">
        <v>1032</v>
      </c>
      <c r="E434" s="59">
        <f t="shared" si="21"/>
        <v>0</v>
      </c>
      <c r="F434" s="59" t="str">
        <f t="shared" si="22"/>
        <v>1</v>
      </c>
      <c r="G434" s="130"/>
      <c r="H434" s="72" t="s">
        <v>309</v>
      </c>
      <c r="I434" s="70" t="s">
        <v>142</v>
      </c>
      <c r="J434" s="70" t="s">
        <v>23</v>
      </c>
    </row>
    <row r="435" spans="1:10" ht="16.5" thickBot="1" x14ac:dyDescent="0.9">
      <c r="A435" s="74"/>
      <c r="B435" s="158"/>
      <c r="C435" s="124" t="str">
        <f t="shared" si="20"/>
        <v xml:space="preserve"> -  []</v>
      </c>
      <c r="D435" s="74"/>
      <c r="E435" s="59">
        <f t="shared" si="21"/>
        <v>0</v>
      </c>
      <c r="F435" s="59" t="str">
        <f t="shared" si="22"/>
        <v/>
      </c>
      <c r="G435" s="130"/>
      <c r="H435" s="72" t="s">
        <v>326</v>
      </c>
      <c r="I435" s="74"/>
      <c r="J435" s="74"/>
    </row>
    <row r="436" spans="1:10" ht="16.5" thickBot="1" x14ac:dyDescent="0.9">
      <c r="A436" s="63"/>
      <c r="B436" s="159"/>
      <c r="C436" s="124" t="str">
        <f t="shared" si="20"/>
        <v xml:space="preserve"> -  []</v>
      </c>
      <c r="D436" s="63"/>
      <c r="E436" s="59">
        <f t="shared" si="21"/>
        <v>0</v>
      </c>
      <c r="F436" s="59" t="str">
        <f t="shared" si="22"/>
        <v/>
      </c>
      <c r="G436" s="121"/>
      <c r="H436" s="62" t="s">
        <v>364</v>
      </c>
      <c r="I436" s="63"/>
      <c r="J436" s="63"/>
    </row>
    <row r="437" spans="1:10" ht="16.5" thickBot="1" x14ac:dyDescent="0.9">
      <c r="A437" s="63" t="s">
        <v>1033</v>
      </c>
      <c r="B437" s="67" t="s">
        <v>1034</v>
      </c>
      <c r="C437" s="124" t="str">
        <f t="shared" si="20"/>
        <v>A.2.9.2.3 - Reason for change [Required]</v>
      </c>
      <c r="D437" s="62" t="s">
        <v>1035</v>
      </c>
      <c r="E437" s="59">
        <f t="shared" si="21"/>
        <v>0</v>
      </c>
      <c r="F437" s="59" t="str">
        <f t="shared" si="22"/>
        <v>1</v>
      </c>
      <c r="G437" s="121"/>
      <c r="H437" s="66" t="s">
        <v>1036</v>
      </c>
      <c r="I437" s="62" t="s">
        <v>142</v>
      </c>
      <c r="J437" s="62" t="s">
        <v>23</v>
      </c>
    </row>
    <row r="438" spans="1:10" ht="16.5" thickBot="1" x14ac:dyDescent="0.9">
      <c r="A438" s="63" t="s">
        <v>1037</v>
      </c>
      <c r="B438" s="67" t="s">
        <v>27</v>
      </c>
      <c r="C438" s="124" t="str">
        <f t="shared" si="20"/>
        <v>A.2.9.2.4 - Code [Required]</v>
      </c>
      <c r="D438" s="62" t="s">
        <v>1038</v>
      </c>
      <c r="E438" s="59">
        <f t="shared" si="21"/>
        <v>1</v>
      </c>
      <c r="F438" s="59" t="str">
        <f t="shared" si="22"/>
        <v>1</v>
      </c>
      <c r="G438" s="121"/>
      <c r="H438" s="62" t="s">
        <v>1039</v>
      </c>
      <c r="I438" s="62" t="s">
        <v>110</v>
      </c>
      <c r="J438" s="62" t="s">
        <v>23</v>
      </c>
    </row>
    <row r="439" spans="1:10" ht="32.25" thickBot="1" x14ac:dyDescent="0.9">
      <c r="A439" s="63" t="s">
        <v>1040</v>
      </c>
      <c r="B439" s="67" t="s">
        <v>890</v>
      </c>
      <c r="C439" s="124" t="str">
        <f t="shared" si="20"/>
        <v>A.2.9.2.5 - Brand name [Required]</v>
      </c>
      <c r="D439" s="62" t="s">
        <v>891</v>
      </c>
      <c r="E439" s="59">
        <f t="shared" si="21"/>
        <v>1</v>
      </c>
      <c r="F439" s="59" t="str">
        <f t="shared" si="22"/>
        <v>1</v>
      </c>
      <c r="G439" s="121"/>
      <c r="H439" s="65"/>
      <c r="I439" s="62" t="s">
        <v>110</v>
      </c>
      <c r="J439" s="62" t="s">
        <v>23</v>
      </c>
    </row>
    <row r="440" spans="1:10" ht="48" thickBot="1" x14ac:dyDescent="0.9">
      <c r="A440" s="63" t="s">
        <v>1041</v>
      </c>
      <c r="B440" s="69" t="s">
        <v>893</v>
      </c>
      <c r="C440" s="124" t="str">
        <f t="shared" si="20"/>
        <v>A.2.9.2.6 - Active ingredient list [Required]</v>
      </c>
      <c r="D440" s="62" t="s">
        <v>894</v>
      </c>
      <c r="E440" s="59">
        <f t="shared" si="21"/>
        <v>0</v>
      </c>
      <c r="F440" s="59" t="str">
        <f t="shared" si="22"/>
        <v>*</v>
      </c>
      <c r="G440" s="121"/>
      <c r="H440" s="62" t="s">
        <v>601</v>
      </c>
      <c r="I440" s="62" t="s">
        <v>131</v>
      </c>
      <c r="J440" s="62" t="s">
        <v>23</v>
      </c>
    </row>
    <row r="441" spans="1:10" ht="16.5" customHeight="1" thickBot="1" x14ac:dyDescent="0.9">
      <c r="A441" s="70" t="s">
        <v>1042</v>
      </c>
      <c r="B441" s="155" t="s">
        <v>896</v>
      </c>
      <c r="C441" s="124" t="str">
        <f t="shared" si="20"/>
        <v>A.2.9.2.7 - Strength [Required]</v>
      </c>
      <c r="D441" s="70" t="s">
        <v>897</v>
      </c>
      <c r="E441" s="59">
        <f t="shared" si="21"/>
        <v>0</v>
      </c>
      <c r="F441" s="59" t="str">
        <f t="shared" si="22"/>
        <v>*</v>
      </c>
      <c r="G441" s="130"/>
      <c r="H441" s="72" t="s">
        <v>898</v>
      </c>
      <c r="I441" s="70" t="s">
        <v>131</v>
      </c>
      <c r="J441" s="70" t="s">
        <v>23</v>
      </c>
    </row>
    <row r="442" spans="1:10" ht="16.5" thickBot="1" x14ac:dyDescent="0.9">
      <c r="A442" s="63"/>
      <c r="B442" s="156"/>
      <c r="C442" s="124" t="str">
        <f t="shared" si="20"/>
        <v xml:space="preserve"> -  []</v>
      </c>
      <c r="D442" s="63"/>
      <c r="E442" s="59">
        <f t="shared" si="21"/>
        <v>0</v>
      </c>
      <c r="F442" s="59" t="str">
        <f t="shared" si="22"/>
        <v/>
      </c>
      <c r="G442" s="121"/>
      <c r="H442" s="62" t="s">
        <v>899</v>
      </c>
      <c r="I442" s="63"/>
      <c r="J442" s="63"/>
    </row>
    <row r="443" spans="1:10" ht="32.25" thickBot="1" x14ac:dyDescent="0.9">
      <c r="A443" s="63" t="s">
        <v>1043</v>
      </c>
      <c r="B443" s="69" t="s">
        <v>901</v>
      </c>
      <c r="C443" s="124" t="str">
        <f t="shared" si="20"/>
        <v>A.2.9.2.8 - Pharmaceutical dose form [Required]</v>
      </c>
      <c r="D443" s="62" t="s">
        <v>902</v>
      </c>
      <c r="E443" s="59">
        <f t="shared" si="21"/>
        <v>0</v>
      </c>
      <c r="F443" s="59" t="str">
        <f t="shared" si="22"/>
        <v>1</v>
      </c>
      <c r="G443" s="121"/>
      <c r="H443" s="62" t="s">
        <v>899</v>
      </c>
      <c r="I443" s="62" t="s">
        <v>142</v>
      </c>
      <c r="J443" s="62" t="s">
        <v>23</v>
      </c>
    </row>
    <row r="444" spans="1:10" ht="32.25" thickBot="1" x14ac:dyDescent="0.9">
      <c r="A444" s="70" t="s">
        <v>1044</v>
      </c>
      <c r="B444" s="155" t="s">
        <v>904</v>
      </c>
      <c r="C444" s="124" t="str">
        <f t="shared" si="20"/>
        <v>A.2.9.2.9 - Dosage Regimen [Required]</v>
      </c>
      <c r="D444" s="72" t="s">
        <v>1045</v>
      </c>
      <c r="E444" s="59">
        <f t="shared" si="21"/>
        <v>0</v>
      </c>
      <c r="F444" s="59" t="str">
        <f t="shared" si="22"/>
        <v>*</v>
      </c>
      <c r="G444" s="99"/>
      <c r="H444" s="73"/>
      <c r="I444" s="70" t="s">
        <v>131</v>
      </c>
      <c r="J444" s="70" t="s">
        <v>23</v>
      </c>
    </row>
    <row r="445" spans="1:10" ht="16.5" thickBot="1" x14ac:dyDescent="0.9">
      <c r="A445" s="63"/>
      <c r="B445" s="156"/>
      <c r="C445" s="124" t="str">
        <f t="shared" si="20"/>
        <v xml:space="preserve"> -  []</v>
      </c>
      <c r="D445" s="62" t="s">
        <v>1046</v>
      </c>
      <c r="E445" s="59">
        <f t="shared" si="21"/>
        <v>0</v>
      </c>
      <c r="F445" s="59" t="str">
        <f t="shared" si="22"/>
        <v/>
      </c>
      <c r="G445" s="121"/>
      <c r="H445" s="75"/>
      <c r="I445" s="63"/>
      <c r="J445" s="63"/>
    </row>
    <row r="446" spans="1:10" ht="32.25" thickBot="1" x14ac:dyDescent="0.9">
      <c r="A446" s="63" t="s">
        <v>1047</v>
      </c>
      <c r="B446" s="69" t="s">
        <v>811</v>
      </c>
      <c r="C446" s="124" t="str">
        <f t="shared" si="20"/>
        <v>A.2.9.2.10 - Route of administration [Required]</v>
      </c>
      <c r="D446" s="62" t="s">
        <v>1048</v>
      </c>
      <c r="E446" s="59">
        <f t="shared" si="21"/>
        <v>0</v>
      </c>
      <c r="F446" s="59" t="str">
        <f t="shared" si="22"/>
        <v>1</v>
      </c>
      <c r="G446" s="121"/>
      <c r="H446" s="62" t="s">
        <v>899</v>
      </c>
      <c r="I446" s="62" t="s">
        <v>142</v>
      </c>
      <c r="J446" s="62" t="s">
        <v>23</v>
      </c>
    </row>
    <row r="447" spans="1:10" ht="32.25" thickBot="1" x14ac:dyDescent="0.9">
      <c r="A447" s="63" t="s">
        <v>1049</v>
      </c>
      <c r="B447" s="69" t="s">
        <v>1050</v>
      </c>
      <c r="C447" s="124" t="str">
        <f t="shared" si="20"/>
        <v>A.2.9.2.11 - Period of treatment [Required]</v>
      </c>
      <c r="D447" s="62" t="s">
        <v>1051</v>
      </c>
      <c r="E447" s="59">
        <f t="shared" si="21"/>
        <v>0</v>
      </c>
      <c r="F447" s="59" t="str">
        <f t="shared" si="22"/>
        <v>1</v>
      </c>
      <c r="G447" s="121"/>
      <c r="H447" s="65"/>
      <c r="I447" s="62" t="s">
        <v>142</v>
      </c>
      <c r="J447" s="62" t="s">
        <v>23</v>
      </c>
    </row>
    <row r="448" spans="1:10" ht="79.5" thickBot="1" x14ac:dyDescent="0.9">
      <c r="A448" s="63" t="s">
        <v>1052</v>
      </c>
      <c r="B448" s="69" t="s">
        <v>1053</v>
      </c>
      <c r="C448" s="124" t="str">
        <f t="shared" si="20"/>
        <v>A.2.9.2.12 - Days supplied [Required]</v>
      </c>
      <c r="D448" s="62" t="s">
        <v>1054</v>
      </c>
      <c r="E448" s="59">
        <f t="shared" si="21"/>
        <v>1</v>
      </c>
      <c r="F448" s="59" t="str">
        <f t="shared" si="22"/>
        <v>1</v>
      </c>
      <c r="G448" s="121"/>
      <c r="H448" s="65"/>
      <c r="I448" s="62" t="s">
        <v>110</v>
      </c>
      <c r="J448" s="62" t="s">
        <v>23</v>
      </c>
    </row>
  </sheetData>
  <autoFilter ref="A1:J448" xr:uid="{B67F8582-4531-4786-B183-1819B312782F}"/>
  <mergeCells count="39">
    <mergeCell ref="B168:B169"/>
    <mergeCell ref="B129:B130"/>
    <mergeCell ref="B233:B234"/>
    <mergeCell ref="B242:B246"/>
    <mergeCell ref="B214:B220"/>
    <mergeCell ref="B221:B230"/>
    <mergeCell ref="B188:B190"/>
    <mergeCell ref="B298:B301"/>
    <mergeCell ref="B292:B295"/>
    <mergeCell ref="B265:B284"/>
    <mergeCell ref="B287:B288"/>
    <mergeCell ref="B250:B255"/>
    <mergeCell ref="B259:B263"/>
    <mergeCell ref="B314:B316"/>
    <mergeCell ref="B317:B320"/>
    <mergeCell ref="B311:B312"/>
    <mergeCell ref="B305:B306"/>
    <mergeCell ref="B307:B308"/>
    <mergeCell ref="B343:B344"/>
    <mergeCell ref="B337:B338"/>
    <mergeCell ref="B340:B342"/>
    <mergeCell ref="B331:B333"/>
    <mergeCell ref="B321:B323"/>
    <mergeCell ref="B326:B327"/>
    <mergeCell ref="B378:B380"/>
    <mergeCell ref="B365:B366"/>
    <mergeCell ref="B361:B364"/>
    <mergeCell ref="B345:B347"/>
    <mergeCell ref="B351:B352"/>
    <mergeCell ref="B398:B400"/>
    <mergeCell ref="B392:B393"/>
    <mergeCell ref="B384:B385"/>
    <mergeCell ref="B387:B389"/>
    <mergeCell ref="B382:B383"/>
    <mergeCell ref="B444:B445"/>
    <mergeCell ref="B434:B436"/>
    <mergeCell ref="B441:B442"/>
    <mergeCell ref="B414:B416"/>
    <mergeCell ref="B421:B429"/>
  </mergeCells>
  <conditionalFormatting sqref="A449:G1048576">
    <cfRule type="containsBlanks" dxfId="1" priority="1">
      <formula>LEN(TRIM(A449))=0</formula>
    </cfRule>
  </conditionalFormatting>
  <hyperlinks>
    <hyperlink ref="H8" r:id="rId1" display="https://terminology.hl7.org/4.0.0/ValueSet-v3-Country2.html" xr:uid="{5DC236B7-32DF-48B7-A34C-C663378DB929}"/>
    <hyperlink ref="H9" r:id="rId2" display="https://terminology.hl7.org/4.0.0/ValueSet-v3-AdministrativeGender.html" xr:uid="{88F9433D-9AC2-4C46-A8D5-B81D9E108DB1}"/>
    <hyperlink ref="H13" r:id="rId3" display="https://terminology.hl7.org/4.0.0/ValueSet-v3-Country2.html" xr:uid="{A121BDD1-0C92-4683-9011-01308189BB8B}"/>
    <hyperlink ref="H74" location="'Hospital Discharge Report '!A1" display="'Hospital Discharge Report '!A1" xr:uid="{47BECD87-CDC6-4F8B-9CEE-0D1F01BEBC46}"/>
    <hyperlink ref="H85" location="'Hospital Discharge Report '!A1" display="'Hospital Discharge Report '!A1" xr:uid="{1F21049C-127C-4032-8C89-C7AD96E3BDDC}"/>
    <hyperlink ref="H98" r:id="rId4" display="https://terminology.hl7.org/3.1.0/ValueSet-v3-ActEncounterCode.html" xr:uid="{7E8A73C8-890B-4DED-8D0B-913E5F6B561D}"/>
    <hyperlink ref="H101" r:id="rId5" xr:uid="{5A1CA1AB-2358-443E-BE08-52D313494829}"/>
    <hyperlink ref="H105" r:id="rId6" xr:uid="{FD94BB3F-81D4-43E4-8227-4CCB7703E6F7}"/>
    <hyperlink ref="H115" r:id="rId7" xr:uid="{8DC1F85C-5BA5-4F2D-9831-232262A0DAAA}"/>
    <hyperlink ref="H133" r:id="rId8" xr:uid="{324C56B7-18C0-43DD-A79B-2ED807AB94E3}"/>
    <hyperlink ref="H145" r:id="rId9" xr:uid="{CCE0AFD7-D674-4844-B4E3-158367C4A55E}"/>
    <hyperlink ref="H157" r:id="rId10" display="https://www.hl7.org/fhir/codesystem-condition-clinical.html" xr:uid="{0533818B-1F6A-4148-AADE-A8AB256871D7}"/>
    <hyperlink ref="H198" r:id="rId11" display="http://terminology.hl7.org/CodeSystem/v3-RoleCode" xr:uid="{0ABDEA59-F61D-47E1-9872-046858EA08E7}"/>
    <hyperlink ref="H201" r:id="rId12" display="https://www.hl7.org/fhir/v3/EducationLevel/cs.html" xr:uid="{FC8085FF-7315-4940-9A02-0A895FB6BFD6}"/>
    <hyperlink ref="H210" r:id="rId13" display="https://www.hl7.org/fhir/v3/EducationLevel/cs.html" xr:uid="{CA416418-CD73-4CA6-A999-5402FCB832EC}"/>
    <hyperlink ref="H235" r:id="rId14" display="https://www.hl7.org/fhir/valueset-marital-status.html" xr:uid="{AA136203-F3AD-4AE0-A345-1E6A5E6B489C}"/>
    <hyperlink ref="H304" r:id="rId15" display="https://www.hl7.org/fhir/valueset-condition-severity.html" xr:uid="{94D5D24D-7932-4CA6-9BDA-E108CB53792B}"/>
    <hyperlink ref="H326" r:id="rId16" display="https://ciselniky.dasta.mzcr.cz/ZobrazCiselnik?Ciselnik=ENAHRADY&amp;IdSadyDs=202240" xr:uid="{94A215DC-3CA8-464E-9588-DD1DBA806299}"/>
    <hyperlink ref="H327" r:id="rId17" display="https://ciselniky.dasta.mzcr.cz/ZobrazCiselnik?Ciselnik=ENAHRADY&amp;IdSadyDs=202240" xr:uid="{C7460381-64D8-45E0-9883-A03BD9D66309}"/>
    <hyperlink ref="H359" r:id="rId18" display="https://www.hl7.org/fhir/valueset-observation-status.html" xr:uid="{FB707E2A-E209-4525-8216-BDA45906A417}"/>
    <hyperlink ref="D400" r:id="rId19" display="https://paciowg.github.io/functional-status-ig/" xr:uid="{904222B9-4F4B-425E-87FE-F45B8F98003B}"/>
    <hyperlink ref="H421" r:id="rId20" display="http://hl7.org/fhir/resource-types" xr:uid="{12F192C2-695C-400B-A9CF-0DC9EE50D83E}"/>
    <hyperlink ref="H422" r:id="rId21" display="http://hl7.org/fhir/resource-types" xr:uid="{24E57DB1-1A15-4DB6-8D6C-7894F21AF8C2}"/>
    <hyperlink ref="H423" r:id="rId22" display="http://hl7.org/fhir/resource-types" xr:uid="{72446BAC-04D3-4C37-A4C0-2C01948E2A36}"/>
    <hyperlink ref="H424" r:id="rId23" display="http://hl7.org/fhir/resource-types" xr:uid="{22BD9373-F64F-444D-9592-9E809F235A35}"/>
    <hyperlink ref="H425" r:id="rId24" display="http://hl7.org/fhir/resource-types" xr:uid="{C34C7487-1AAA-4BE9-A8BE-7625C435FC0C}"/>
    <hyperlink ref="H426" r:id="rId25" display="http://hl7.org/fhir/resource-types" xr:uid="{120A7BA0-128E-4454-AA54-1E643F18B018}"/>
    <hyperlink ref="H427" r:id="rId26" display="http://hl7.org/fhir/resource-types" xr:uid="{AEC3E273-720E-412D-AB6D-7FF96A8EAB93}"/>
    <hyperlink ref="H428" r:id="rId27" display="http://hl7.org/fhir/resource-types" xr:uid="{BE57076F-C87B-4DBC-AA56-E8D42FACF5A7}"/>
    <hyperlink ref="H429" r:id="rId28" display="http://hl7.org/fhir/resource-types" xr:uid="{A5F63282-58CD-40A8-95D0-5C515E6548A8}"/>
    <hyperlink ref="H433" r:id="rId29" display="https://www.hl7.org/fhir/codesystem-medication-statement-status.html" xr:uid="{D50F4664-872C-4849-AC38-F6DE9008CAA0}"/>
    <hyperlink ref="H437" r:id="rId30" display="https://www.hl7.org/fhir/valueset-reason-medication-status-codes.html" xr:uid="{38143B2C-25B7-4DC8-BF7C-2B51CBC138C3}"/>
    <hyperlink ref="H24" r:id="rId31" display="https://ciselniky.dasta.mzcr.cz/ZobrazCiselnik?Ciselnik=EVZTAH&amp;IdSadyDs=202230" xr:uid="{4591A93D-4CA6-4EA4-9423-A8162E192690}"/>
    <hyperlink ref="H23" r:id="rId32" xr:uid="{DFFC01C9-7AA7-4ED5-BD8F-F1B9D2CD77BD}"/>
  </hyperlinks>
  <pageMargins left="0.7" right="0.7" top="0.75" bottom="0.75" header="0.3" footer="0.3"/>
  <pageSetup paperSize="9" orientation="portrait" horizontalDpi="300" verticalDpi="300" r:id="rId3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9A97B-13A2-4A61-A2A1-3198312EE21A}">
  <sheetPr codeName="Foglio28">
    <tabColor theme="7" tint="0.39997558519241921"/>
  </sheetPr>
  <dimension ref="A1:M89"/>
  <sheetViews>
    <sheetView zoomScale="115" zoomScaleNormal="115" workbookViewId="0">
      <selection activeCell="B7" sqref="B7"/>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97</v>
      </c>
      <c r="L1" s="23" t="s">
        <v>19</v>
      </c>
    </row>
    <row r="2" spans="1:12" x14ac:dyDescent="0.75">
      <c r="J2" s="24" t="s">
        <v>18</v>
      </c>
      <c r="L2" s="24" t="s">
        <v>96</v>
      </c>
    </row>
    <row r="3" spans="1:12" ht="17.75" customHeight="1" thickBot="1" x14ac:dyDescent="0.9">
      <c r="J3" s="24" t="str">
        <f>J1</f>
        <v>//===================================================</v>
      </c>
      <c r="L3" s="24" t="str">
        <f>L1</f>
        <v>// -------------------------------------------------------------------------------</v>
      </c>
    </row>
    <row r="4" spans="1:12" x14ac:dyDescent="0.75">
      <c r="A4" s="5" t="s">
        <v>11</v>
      </c>
      <c r="B4" s="30" t="s">
        <v>100</v>
      </c>
      <c r="J4" s="16" t="str">
        <f>CONCATENATE("Logical: ",B4)</f>
        <v>Logical: HospitalDischargeReportEHN</v>
      </c>
    </row>
    <row r="5" spans="1:12" x14ac:dyDescent="0.75">
      <c r="A5" s="14" t="s">
        <v>15</v>
      </c>
      <c r="B5" s="31" t="s">
        <v>101</v>
      </c>
      <c r="J5" s="16" t="str">
        <f>CONCATENATE("Id: ",B5)</f>
        <v>Id: HospitalDischargeReport</v>
      </c>
    </row>
    <row r="6" spans="1:12" x14ac:dyDescent="0.75">
      <c r="A6" s="14" t="s">
        <v>10</v>
      </c>
      <c r="B6" s="32" t="s">
        <v>1456</v>
      </c>
      <c r="J6" s="17" t="str">
        <f>CONCATENATE("Title: ##34#",B6,"##34#")</f>
        <v>Title: ##34#A - Hospital Discharge Report (eHN)##34#</v>
      </c>
    </row>
    <row r="7" spans="1:12" ht="30.25" thickBot="1" x14ac:dyDescent="0.9">
      <c r="A7" s="26" t="s">
        <v>3</v>
      </c>
      <c r="B7" s="33" t="s">
        <v>102</v>
      </c>
      <c r="C7" s="9" t="s">
        <v>4</v>
      </c>
      <c r="D7" s="1" t="s">
        <v>5</v>
      </c>
      <c r="E7" s="3" t="s">
        <v>6</v>
      </c>
      <c r="F7" s="3" t="s">
        <v>7</v>
      </c>
      <c r="G7" s="3" t="s">
        <v>8</v>
      </c>
      <c r="H7" s="52" t="s">
        <v>95</v>
      </c>
      <c r="J7" s="17" t="str">
        <f>CONCATENATE("Description: "," ##334#",B7,"##334#",)</f>
        <v>Description:  ##334#Hospital Discharge Report
Maturity Level: 0 Draft##334#</v>
      </c>
    </row>
    <row r="8" spans="1:12" ht="44.25" x14ac:dyDescent="0.75">
      <c r="A8" s="11">
        <v>0</v>
      </c>
      <c r="B8" s="11" t="s">
        <v>1117</v>
      </c>
      <c r="C8" s="12" t="s">
        <v>1252</v>
      </c>
      <c r="D8" s="12" t="s">
        <v>1099</v>
      </c>
      <c r="E8" s="11">
        <v>1</v>
      </c>
      <c r="F8" s="11">
        <v>1</v>
      </c>
      <c r="G8" s="11" t="s">
        <v>2</v>
      </c>
      <c r="H8" s="12"/>
      <c r="I8" s="25"/>
      <c r="J8" s="12" t="str">
        <f t="shared" ref="J8:J89" si="0">CONCATENATE("* ",B8, " ",E8,"..",F8," ",G8," ##34#",C8,"##34# ##334#",D8,"##334#")</f>
        <v>* header 1..1 BackboneElement ##34#A.1 - Report header data element [Mandatory]##34# ##334#A.1-Report header data element [Mandatory]##334#</v>
      </c>
      <c r="L8" s="12" t="str">
        <f>IF(H8="",IF(J8="*  ..  ##34###34# ##334###334#",J8,""),IF(J8="*  ..  ##34###34# ##334###334#",J8,CONCATENATE("* ",B8," ^comment = ##334#",H8,"##334#")))</f>
        <v/>
      </c>
    </row>
    <row r="9" spans="1:12" ht="44.25" x14ac:dyDescent="0.75">
      <c r="A9" s="11">
        <v>1</v>
      </c>
      <c r="B9" s="11" t="s">
        <v>1427</v>
      </c>
      <c r="C9" s="12" t="s">
        <v>1253</v>
      </c>
      <c r="D9" s="12" t="s">
        <v>1100</v>
      </c>
      <c r="E9" s="11">
        <v>1</v>
      </c>
      <c r="F9" s="11">
        <v>1</v>
      </c>
      <c r="G9" s="11" t="s">
        <v>2</v>
      </c>
      <c r="H9" s="12"/>
      <c r="I9" s="25"/>
      <c r="J9" s="12" t="str">
        <f t="shared" si="0"/>
        <v>* header.subjectIdentification 1..1 BackboneElement ##34#A.1.1 - Identification of the patient/subject [Mandatory]##34# ##334#A.1.1-Identification of the patient/subject [Mandatory]##334#</v>
      </c>
      <c r="L9" s="12" t="str">
        <f t="shared" ref="L9:L72" si="1">IF(H9="",IF(J9="*  ..  ##34###34# ##334###334#",J9,""),IF(J9="*  ..  ##34###34# ##334###334#",J9,CONCATENATE("* ",B9," ^comment = ##334#",H9,"##334#")))</f>
        <v/>
      </c>
    </row>
    <row r="10" spans="1:12" ht="59" x14ac:dyDescent="0.75">
      <c r="A10" s="11">
        <v>2</v>
      </c>
      <c r="B10" s="11" t="s">
        <v>1428</v>
      </c>
      <c r="C10" s="12" t="s">
        <v>1316</v>
      </c>
      <c r="D10" s="12" t="s">
        <v>1228</v>
      </c>
      <c r="E10" s="11">
        <v>1</v>
      </c>
      <c r="F10" s="11" t="s">
        <v>9</v>
      </c>
      <c r="G10" s="11" t="s">
        <v>1</v>
      </c>
      <c r="H10" s="12"/>
      <c r="I10" s="25"/>
      <c r="J10" s="12" t="str">
        <f t="shared" si="0"/>
        <v>* header.subjectIdentification.given 1..* string ##34#A.1.1.1 - Given name [Mandatory]##34# ##334#The given name/first name of the patient (also known as forename or first name). This field can contain more than one element.  ##334#</v>
      </c>
      <c r="L10" s="12" t="str">
        <f t="shared" si="1"/>
        <v/>
      </c>
    </row>
    <row r="11" spans="1:12" ht="59" x14ac:dyDescent="0.75">
      <c r="A11" s="11">
        <v>3</v>
      </c>
      <c r="B11" s="11" t="s">
        <v>1429</v>
      </c>
      <c r="C11" s="12" t="s">
        <v>1254</v>
      </c>
      <c r="D11" s="12" t="s">
        <v>1229</v>
      </c>
      <c r="E11" s="11">
        <v>1</v>
      </c>
      <c r="F11" s="11" t="s">
        <v>9</v>
      </c>
      <c r="G11" s="11" t="s">
        <v>1</v>
      </c>
      <c r="H11" s="12"/>
      <c r="I11" s="25"/>
      <c r="J11" s="12" t="str">
        <f t="shared" si="0"/>
        <v>* header.subjectIdentification.family 1..* string ##34#A.1.1.2 - 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1430</v>
      </c>
      <c r="C12" s="12" t="s">
        <v>1317</v>
      </c>
      <c r="D12" s="12" t="s">
        <v>123</v>
      </c>
      <c r="E12" s="11">
        <v>1</v>
      </c>
      <c r="F12" s="11">
        <v>1</v>
      </c>
      <c r="G12" s="11" t="s">
        <v>1146</v>
      </c>
      <c r="H12" s="12"/>
      <c r="I12" s="25"/>
      <c r="J12" s="12" t="str">
        <f t="shared" si="0"/>
        <v>* header.subjectIdentification.birthDate 1..1 dateTime ##34#A.1.1.3 - 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1431</v>
      </c>
      <c r="C13" s="12" t="s">
        <v>1318</v>
      </c>
      <c r="D13" s="12" t="s">
        <v>1230</v>
      </c>
      <c r="E13" s="11">
        <v>1</v>
      </c>
      <c r="F13" s="11" t="s">
        <v>9</v>
      </c>
      <c r="G13" s="11" t="s">
        <v>154</v>
      </c>
      <c r="H13" s="12"/>
      <c r="I13" s="25"/>
      <c r="J13" s="12" t="str">
        <f t="shared" si="0"/>
        <v>* header.subjectIdentification.identifier 1..* Identifier ##34#A.1.1.4 - 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1432</v>
      </c>
      <c r="C14" s="12" t="s">
        <v>1255</v>
      </c>
      <c r="D14" s="12" t="s">
        <v>129</v>
      </c>
      <c r="E14" s="11">
        <v>0</v>
      </c>
      <c r="F14" s="11" t="s">
        <v>9</v>
      </c>
      <c r="G14" s="11" t="s">
        <v>0</v>
      </c>
      <c r="H14" s="11" t="s">
        <v>130</v>
      </c>
      <c r="I14" s="25"/>
      <c r="J14" s="12" t="str">
        <f t="shared" si="0"/>
        <v>* header.subjectIdentification.nationality 0..* CodeableConcept ##34#A.1.1.5 - Nationality [Required]##34# ##334#Nationality of the patient.##334#</v>
      </c>
      <c r="L14" s="12" t="str">
        <f t="shared" si="1"/>
        <v>* header.subjectIdentification.nationality ^comment = ##334#eHDSICountry (ISO 3166)##334#</v>
      </c>
    </row>
    <row r="15" spans="1:12" ht="59" x14ac:dyDescent="0.75">
      <c r="A15" s="11">
        <v>7</v>
      </c>
      <c r="B15" s="11" t="s">
        <v>1433</v>
      </c>
      <c r="C15" s="12" t="s">
        <v>1256</v>
      </c>
      <c r="D15" s="12" t="s">
        <v>1244</v>
      </c>
      <c r="E15" s="11">
        <v>1</v>
      </c>
      <c r="F15" s="11">
        <v>1</v>
      </c>
      <c r="G15" s="11" t="s">
        <v>0</v>
      </c>
      <c r="H15" s="11" t="s">
        <v>1231</v>
      </c>
      <c r="I15" s="25"/>
      <c r="J15" s="12" t="str">
        <f t="shared" si="0"/>
        <v>* header.subjectIdentification.gender 1..1 CodeableConcept ##34#A.1.1.6 - 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1434</v>
      </c>
      <c r="C16" s="12" t="s">
        <v>1257</v>
      </c>
      <c r="D16" s="12" t="s">
        <v>1232</v>
      </c>
      <c r="E16" s="11">
        <v>0</v>
      </c>
      <c r="F16" s="11" t="s">
        <v>9</v>
      </c>
      <c r="G16" s="11" t="s">
        <v>0</v>
      </c>
      <c r="H16" s="11" t="s">
        <v>138</v>
      </c>
      <c r="I16" s="25"/>
      <c r="J16" s="12" t="str">
        <f t="shared" si="0"/>
        <v>* header.subjectIdentification.language 0..* CodeableConcept ##34#A.1.1.7 - 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1435</v>
      </c>
      <c r="C17" s="12" t="s">
        <v>1258</v>
      </c>
      <c r="D17" s="12" t="s">
        <v>1101</v>
      </c>
      <c r="E17" s="11">
        <v>0</v>
      </c>
      <c r="F17" s="11">
        <v>1</v>
      </c>
      <c r="G17" s="11" t="s">
        <v>2</v>
      </c>
      <c r="H17" s="12"/>
      <c r="I17" s="25"/>
      <c r="J17" s="12" t="str">
        <f t="shared" si="0"/>
        <v>* header.subjectContact 0..1 BackboneElement ##34#A.1.2 - Patient/subject related contact information [Required]##34# ##334#A.1.2-Patient/subject related contact information [Required]##334#</v>
      </c>
      <c r="L17" s="12" t="str">
        <f t="shared" si="1"/>
        <v/>
      </c>
    </row>
    <row r="18" spans="1:12" ht="29.5" x14ac:dyDescent="0.75">
      <c r="A18" s="11">
        <v>10</v>
      </c>
      <c r="B18" s="11" t="s">
        <v>1436</v>
      </c>
      <c r="C18" s="12" t="s">
        <v>1259</v>
      </c>
      <c r="D18" s="12" t="s">
        <v>1147</v>
      </c>
      <c r="E18" s="6">
        <v>0</v>
      </c>
      <c r="F18" s="6" t="s">
        <v>9</v>
      </c>
      <c r="G18" s="11" t="s">
        <v>2</v>
      </c>
      <c r="H18" s="12"/>
      <c r="I18" s="25"/>
      <c r="J18" s="12" t="str">
        <f t="shared" si="0"/>
        <v>* header.subjectContact.contactPoint 0..* BackboneElement ##34#A.1.2.1 - Patient address []##34# ##334#A.1.2.1-Patient address []##334#</v>
      </c>
      <c r="L18" s="12" t="str">
        <f t="shared" si="1"/>
        <v/>
      </c>
    </row>
    <row r="19" spans="1:12" ht="103.25" x14ac:dyDescent="0.75">
      <c r="A19" s="11">
        <v>11</v>
      </c>
      <c r="B19" s="11" t="s">
        <v>1437</v>
      </c>
      <c r="C19" s="12" t="s">
        <v>1260</v>
      </c>
      <c r="D19" s="12" t="s">
        <v>147</v>
      </c>
      <c r="E19" s="11">
        <v>0</v>
      </c>
      <c r="F19" s="11" t="s">
        <v>9</v>
      </c>
      <c r="G19" s="11" t="s">
        <v>146</v>
      </c>
      <c r="H19" s="11" t="s">
        <v>130</v>
      </c>
      <c r="I19" s="25"/>
      <c r="J19" s="12" t="str">
        <f t="shared" si="0"/>
        <v>* header.subjectContact.contactPoint.address 0..* Address ##34#A.1.2.1.1 - 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1438</v>
      </c>
      <c r="C20" s="12" t="s">
        <v>1261</v>
      </c>
      <c r="D20" s="12" t="s">
        <v>150</v>
      </c>
      <c r="E20" s="11">
        <v>0</v>
      </c>
      <c r="F20" s="11" t="s">
        <v>9</v>
      </c>
      <c r="G20" s="11" t="s">
        <v>1177</v>
      </c>
      <c r="H20" s="11"/>
      <c r="I20" s="25"/>
      <c r="J20" s="12" t="str">
        <f t="shared" si="0"/>
        <v>* header.subjectContact.contactPoint.telecom 0..* ContactPoint ##34#A.1.2.1.2 - Telecom [Required]##34# ##334#Telecommunication contact information (addresses) associated to a person. Multiple telecommunication addresses might be provided.##334#</v>
      </c>
      <c r="L20" s="12" t="str">
        <f t="shared" si="1"/>
        <v/>
      </c>
    </row>
    <row r="21" spans="1:12" ht="88.5" x14ac:dyDescent="0.75">
      <c r="A21" s="11">
        <v>13</v>
      </c>
      <c r="B21" s="11" t="s">
        <v>1439</v>
      </c>
      <c r="C21" s="12" t="s">
        <v>1262</v>
      </c>
      <c r="D21" s="12" t="s">
        <v>1056</v>
      </c>
      <c r="E21" s="11">
        <v>0</v>
      </c>
      <c r="F21" s="11" t="s">
        <v>9</v>
      </c>
      <c r="G21" s="11" t="s">
        <v>2</v>
      </c>
      <c r="H21" s="11"/>
      <c r="I21" s="25"/>
      <c r="J21" s="12" t="str">
        <f t="shared" si="0"/>
        <v>* header.subjectContact.contactPoint.preferredHP 0..* BackboneElement ##34#A.1.2.2 - 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1440</v>
      </c>
      <c r="C22" s="12" t="s">
        <v>1263</v>
      </c>
      <c r="D22" s="12" t="s">
        <v>1233</v>
      </c>
      <c r="E22" s="11">
        <v>0</v>
      </c>
      <c r="F22" s="11" t="s">
        <v>9</v>
      </c>
      <c r="G22" s="11" t="s">
        <v>154</v>
      </c>
      <c r="H22" s="11"/>
      <c r="I22" s="25"/>
      <c r="J22" s="12" t="str">
        <f t="shared" si="0"/>
        <v>* header.subjectContact.contactPoint.preferredHP.identifier 0..* Identifier ##34#A.1.2.2.1 - 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1441</v>
      </c>
      <c r="C23" s="12" t="s">
        <v>1264</v>
      </c>
      <c r="D23" s="12" t="s">
        <v>1057</v>
      </c>
      <c r="E23" s="11">
        <v>1</v>
      </c>
      <c r="F23" s="11" t="s">
        <v>35</v>
      </c>
      <c r="G23" s="11" t="s">
        <v>1176</v>
      </c>
      <c r="H23" s="11"/>
      <c r="I23" s="25"/>
      <c r="J23" s="12" t="str">
        <f t="shared" si="0"/>
        <v>* header.subjectContact.contactPoint.preferredHP.name 1..1 HumanName ##34#A.1.2.2.2 - 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1442</v>
      </c>
      <c r="C24" s="12" t="s">
        <v>1265</v>
      </c>
      <c r="D24" s="12" t="s">
        <v>163</v>
      </c>
      <c r="E24" s="11">
        <v>0</v>
      </c>
      <c r="F24" s="11" t="s">
        <v>9</v>
      </c>
      <c r="G24" s="11" t="s">
        <v>0</v>
      </c>
      <c r="H24" s="11" t="s">
        <v>164</v>
      </c>
      <c r="I24" s="25"/>
      <c r="J24" s="12" t="str">
        <f t="shared" si="0"/>
        <v>* header.subjectContact.contactPoint.preferredHP.role 0..* CodeableConcept ##34#A.1.2.2.3 - 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1443</v>
      </c>
      <c r="C25" s="12" t="s">
        <v>1266</v>
      </c>
      <c r="D25" s="12" t="s">
        <v>167</v>
      </c>
      <c r="E25" s="11">
        <v>0</v>
      </c>
      <c r="F25" s="11" t="s">
        <v>35</v>
      </c>
      <c r="G25" s="11" t="s">
        <v>2</v>
      </c>
      <c r="H25" s="11"/>
      <c r="I25" s="25"/>
      <c r="J25" s="12" t="str">
        <f t="shared" si="0"/>
        <v>* header.subjectContact.contactPoint.preferredHP.organization 0..1 BackboneElement ##34#A.1.2.2.4 - HP Organisation [Required]##34# ##334#Healthcare Professional Organisation##334#</v>
      </c>
      <c r="L25" s="12" t="str">
        <f t="shared" si="1"/>
        <v/>
      </c>
    </row>
    <row r="26" spans="1:12" ht="103.25" x14ac:dyDescent="0.75">
      <c r="A26" s="11">
        <v>18</v>
      </c>
      <c r="B26" s="11" t="s">
        <v>1444</v>
      </c>
      <c r="C26" s="12" t="s">
        <v>1267</v>
      </c>
      <c r="D26" s="12" t="s">
        <v>147</v>
      </c>
      <c r="E26" s="11">
        <v>0</v>
      </c>
      <c r="F26" s="11" t="s">
        <v>35</v>
      </c>
      <c r="G26" s="11" t="s">
        <v>146</v>
      </c>
      <c r="H26" s="11"/>
      <c r="I26" s="25"/>
      <c r="J26" s="12" t="str">
        <f t="shared" si="0"/>
        <v>* header.subjectContact.contactPoint.preferredHP.address 0..1 Address ##34#A.1.2.2.5 - 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1445</v>
      </c>
      <c r="C27" s="12" t="s">
        <v>1268</v>
      </c>
      <c r="D27" s="12" t="s">
        <v>150</v>
      </c>
      <c r="E27" s="11">
        <v>0</v>
      </c>
      <c r="F27" s="11" t="s">
        <v>9</v>
      </c>
      <c r="G27" s="11" t="s">
        <v>1177</v>
      </c>
      <c r="H27" s="11"/>
      <c r="I27" s="25"/>
      <c r="J27" s="12" t="str">
        <f t="shared" si="0"/>
        <v>* header.subjectContact.contactPoint.preferredHP.telecom 0..* ContactPoint ##34#A.1.2.2.6 - Telecom [Required]##34# ##334#Telecommunication contact information (addresses) associated to a person. Multiple telecommunication addresses might be provided.##334#</v>
      </c>
      <c r="L27" s="12" t="str">
        <f t="shared" si="1"/>
        <v/>
      </c>
    </row>
    <row r="28" spans="1:12" ht="44.25" x14ac:dyDescent="0.75">
      <c r="A28" s="11">
        <v>20</v>
      </c>
      <c r="B28" s="11" t="s">
        <v>1446</v>
      </c>
      <c r="C28" s="12" t="s">
        <v>1269</v>
      </c>
      <c r="D28" s="12" t="s">
        <v>1157</v>
      </c>
      <c r="E28" s="11">
        <v>0</v>
      </c>
      <c r="F28" s="11" t="s">
        <v>9</v>
      </c>
      <c r="G28" s="11" t="s">
        <v>2</v>
      </c>
      <c r="H28" s="11"/>
      <c r="I28" s="25"/>
      <c r="J28" s="12" t="str">
        <f t="shared" si="0"/>
        <v>* header.subjectContact.contactPoint.person 0..* BackboneElement ##34#A.1.2.3 - Contact person/ legal guardian [Required]##34# ##334#A.1.2.3-Contact person/ legal guardian [Required]##334#</v>
      </c>
      <c r="L28" s="12" t="str">
        <f t="shared" si="1"/>
        <v/>
      </c>
    </row>
    <row r="29" spans="1:12" ht="44.25" x14ac:dyDescent="0.75">
      <c r="A29" s="11">
        <v>21</v>
      </c>
      <c r="B29" s="11" t="s">
        <v>1447</v>
      </c>
      <c r="C29" s="12" t="s">
        <v>1270</v>
      </c>
      <c r="D29" s="12" t="s">
        <v>174</v>
      </c>
      <c r="E29" s="6">
        <v>0</v>
      </c>
      <c r="F29" s="6" t="s">
        <v>9</v>
      </c>
      <c r="G29" s="11" t="s">
        <v>0</v>
      </c>
      <c r="H29" s="11" t="s">
        <v>175</v>
      </c>
      <c r="I29" s="25"/>
      <c r="J29" s="12" t="str">
        <f t="shared" si="0"/>
        <v>* header.subjectContact.contactPoint.person.role 0..* CodeableConcept ##34#A.1.2.3.1 - 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1448</v>
      </c>
      <c r="C30" s="12" t="s">
        <v>1319</v>
      </c>
      <c r="D30" s="12" t="s">
        <v>178</v>
      </c>
      <c r="E30" s="11">
        <v>0</v>
      </c>
      <c r="F30" s="11" t="s">
        <v>35</v>
      </c>
      <c r="G30" s="11" t="s">
        <v>0</v>
      </c>
      <c r="H30" s="11" t="s">
        <v>179</v>
      </c>
      <c r="I30" s="25"/>
      <c r="J30" s="12" t="str">
        <f t="shared" si="0"/>
        <v>* header.subjectContact.contactPoint.person.relationship 0..1 CodeableConcept ##34#A.1.2.3.2 - 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1449</v>
      </c>
      <c r="C31" s="12" t="s">
        <v>1271</v>
      </c>
      <c r="D31" s="12" t="s">
        <v>1234</v>
      </c>
      <c r="E31" s="11">
        <v>0</v>
      </c>
      <c r="F31" s="11" t="s">
        <v>9</v>
      </c>
      <c r="G31" s="11" t="s">
        <v>154</v>
      </c>
      <c r="H31" s="12"/>
      <c r="I31" s="25"/>
      <c r="J31" s="12" t="str">
        <f t="shared" si="0"/>
        <v>* header.subjectContact.contactPoint.person.identifier 0..* Identifier ##34#A.1.2.3.3 - 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1450</v>
      </c>
      <c r="C32" s="12" t="s">
        <v>1272</v>
      </c>
      <c r="D32" s="12" t="s">
        <v>184</v>
      </c>
      <c r="E32" s="11">
        <v>1</v>
      </c>
      <c r="F32" s="11" t="s">
        <v>9</v>
      </c>
      <c r="G32" s="11" t="s">
        <v>1</v>
      </c>
      <c r="H32" s="12"/>
      <c r="I32" s="25"/>
      <c r="J32" s="12" t="str">
        <f t="shared" si="0"/>
        <v>* header.subjectContact.contactPoint.person.given 1..* string ##34#A.1.2.3.4 - Given name [Mandatory]##34# ##334#The first name of the contact person/guardian (example: Peter). This field can contain more than one element.##334#</v>
      </c>
      <c r="L32" s="12" t="str">
        <f t="shared" si="1"/>
        <v/>
      </c>
    </row>
    <row r="33" spans="1:12" ht="44.25" x14ac:dyDescent="0.75">
      <c r="A33" s="11">
        <v>25</v>
      </c>
      <c r="B33" s="11" t="s">
        <v>1451</v>
      </c>
      <c r="C33" s="12" t="s">
        <v>1273</v>
      </c>
      <c r="D33" s="12" t="s">
        <v>186</v>
      </c>
      <c r="E33" s="11">
        <v>1</v>
      </c>
      <c r="F33" s="11" t="s">
        <v>9</v>
      </c>
      <c r="G33" s="11" t="s">
        <v>1</v>
      </c>
      <c r="H33" s="12"/>
      <c r="I33" s="25"/>
      <c r="J33" s="12" t="str">
        <f t="shared" si="0"/>
        <v>* header.subjectContact.contactPoint.person.name 1..* string ##34#A.1.2.3.5 - Family name/surname [Mandatory]##34# ##334#This field can contain more than one element. Example: Español Smith##334#</v>
      </c>
      <c r="L33" s="12" t="str">
        <f t="shared" si="1"/>
        <v/>
      </c>
    </row>
    <row r="34" spans="1:12" ht="103.25" x14ac:dyDescent="0.75">
      <c r="A34" s="11">
        <v>26</v>
      </c>
      <c r="B34" s="11" t="s">
        <v>1452</v>
      </c>
      <c r="C34" s="12" t="s">
        <v>1274</v>
      </c>
      <c r="D34" s="12" t="s">
        <v>188</v>
      </c>
      <c r="E34" s="11">
        <v>0</v>
      </c>
      <c r="F34" s="11" t="s">
        <v>35</v>
      </c>
      <c r="G34" s="11" t="s">
        <v>146</v>
      </c>
      <c r="H34" s="12"/>
      <c r="I34" s="25"/>
      <c r="J34" s="12" t="str">
        <f t="shared" si="0"/>
        <v>* header.subjectContact.contactPoint.person.address 0..1 Address ##34#A.1.2.3.6 - 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1453</v>
      </c>
      <c r="C35" s="12" t="s">
        <v>1275</v>
      </c>
      <c r="D35" s="12" t="s">
        <v>150</v>
      </c>
      <c r="E35" s="11">
        <v>0</v>
      </c>
      <c r="F35" s="11" t="s">
        <v>9</v>
      </c>
      <c r="G35" s="11" t="s">
        <v>1177</v>
      </c>
      <c r="H35" s="12"/>
      <c r="I35" s="25"/>
      <c r="J35" s="12" t="str">
        <f t="shared" si="0"/>
        <v>* header.subjectContact.contactPoint.person.telecom 0..* ContactPoint ##34#A.1.2.3.7 - Telecom [Required]##34# ##334#Telecommunication contact information (addresses) associated to a person. Multiple telecommunication addresses might be provided.##334#</v>
      </c>
      <c r="L35" s="12" t="str">
        <f t="shared" si="1"/>
        <v/>
      </c>
    </row>
    <row r="36" spans="1:12" ht="73.75" x14ac:dyDescent="0.75">
      <c r="A36" s="11">
        <v>28</v>
      </c>
      <c r="B36" s="11" t="s">
        <v>1121</v>
      </c>
      <c r="C36" s="12" t="s">
        <v>1276</v>
      </c>
      <c r="D36" s="12" t="s">
        <v>1235</v>
      </c>
      <c r="E36" s="11">
        <v>0</v>
      </c>
      <c r="F36" s="11">
        <v>1</v>
      </c>
      <c r="G36" s="11" t="s">
        <v>2</v>
      </c>
      <c r="H36" s="12"/>
      <c r="I36" s="25"/>
      <c r="J36" s="12" t="str">
        <f t="shared" si="0"/>
        <v>* header.payer 0..1 BackboneElement ##34#A.1.3 - 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1169</v>
      </c>
      <c r="C37" s="12" t="s">
        <v>1277</v>
      </c>
      <c r="D37" s="12" t="s">
        <v>194</v>
      </c>
      <c r="E37" s="11">
        <v>0</v>
      </c>
      <c r="F37" s="11" t="s">
        <v>35</v>
      </c>
      <c r="G37" s="11" t="s">
        <v>154</v>
      </c>
      <c r="H37" s="12"/>
      <c r="I37" s="25"/>
      <c r="J37" s="12" t="str">
        <f t="shared" si="0"/>
        <v>* header.payer.insuranceCode 0..1 Identifier ##34#A.1.3.1 - Health insurance code [Mandatory]##34# ##334#Unique health insurance company identification code.##334#</v>
      </c>
      <c r="L37" s="12" t="str">
        <f t="shared" si="1"/>
        <v/>
      </c>
    </row>
    <row r="38" spans="1:12" ht="44.25" x14ac:dyDescent="0.75">
      <c r="A38" s="11">
        <v>30</v>
      </c>
      <c r="B38" s="11" t="s">
        <v>1171</v>
      </c>
      <c r="C38" s="12" t="s">
        <v>1278</v>
      </c>
      <c r="D38" s="12" t="s">
        <v>197</v>
      </c>
      <c r="E38" s="11">
        <v>0</v>
      </c>
      <c r="F38" s="11" t="s">
        <v>35</v>
      </c>
      <c r="G38" s="11" t="s">
        <v>1</v>
      </c>
      <c r="H38" s="12"/>
      <c r="I38" s="25"/>
      <c r="J38" s="12" t="str">
        <f t="shared" si="0"/>
        <v>* header.payer.insuranceName 0..1 string ##34#A.1.3.2 - Health insurance name [Required]##34# ##334#Full, official name of the healthcare insurance provider.##334#</v>
      </c>
      <c r="L38" s="12" t="str">
        <f t="shared" si="1"/>
        <v/>
      </c>
    </row>
    <row r="39" spans="1:12" ht="44.25" x14ac:dyDescent="0.75">
      <c r="A39" s="11">
        <v>31</v>
      </c>
      <c r="B39" s="11" t="s">
        <v>1170</v>
      </c>
      <c r="C39" s="12" t="s">
        <v>1279</v>
      </c>
      <c r="D39" s="12" t="s">
        <v>200</v>
      </c>
      <c r="E39" s="11">
        <v>0</v>
      </c>
      <c r="F39" s="11" t="s">
        <v>35</v>
      </c>
      <c r="G39" s="11" t="s">
        <v>154</v>
      </c>
      <c r="H39" s="12"/>
      <c r="I39" s="25"/>
      <c r="J39" s="12" t="str">
        <f t="shared" si="0"/>
        <v>* header.payer.insuranceNumber 0..1 Identifier ##34#A.1.3.3 - Health insurance number [Mandatory]##34# ##334#Number or code under which the insured person is registered at the insurance provider.##334#</v>
      </c>
      <c r="L39" s="12" t="str">
        <f t="shared" si="1"/>
        <v/>
      </c>
    </row>
    <row r="40" spans="1:12" ht="59" x14ac:dyDescent="0.75">
      <c r="A40" s="11">
        <v>32</v>
      </c>
      <c r="B40" s="11" t="s">
        <v>1122</v>
      </c>
      <c r="C40" s="12" t="s">
        <v>1280</v>
      </c>
      <c r="D40" s="12" t="s">
        <v>1118</v>
      </c>
      <c r="E40" s="11">
        <v>0</v>
      </c>
      <c r="F40" s="11" t="s">
        <v>9</v>
      </c>
      <c r="G40" s="11" t="s">
        <v>2</v>
      </c>
      <c r="H40" s="12"/>
      <c r="I40" s="25"/>
      <c r="J40" s="12" t="str">
        <f t="shared" si="0"/>
        <v>* header.informationRecipient 0..* BackboneElement ##34#A.1.4 - 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1173</v>
      </c>
      <c r="C41" s="12" t="s">
        <v>1281</v>
      </c>
      <c r="D41" s="12" t="s">
        <v>1236</v>
      </c>
      <c r="E41" s="11">
        <v>0</v>
      </c>
      <c r="F41" s="11" t="s">
        <v>35</v>
      </c>
      <c r="G41" s="11" t="s">
        <v>154</v>
      </c>
      <c r="H41" s="12"/>
      <c r="I41" s="25"/>
      <c r="J41" s="12" t="str">
        <f t="shared" si="0"/>
        <v>* header.informationRecipient.identifier 0..1 Identifier ##34#A.1.4.1 - 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1172</v>
      </c>
      <c r="C42" s="12" t="s">
        <v>1282</v>
      </c>
      <c r="D42" s="12" t="s">
        <v>208</v>
      </c>
      <c r="E42" s="11">
        <v>0</v>
      </c>
      <c r="F42" s="11" t="s">
        <v>35</v>
      </c>
      <c r="G42" s="11" t="s">
        <v>1176</v>
      </c>
      <c r="H42" s="12"/>
      <c r="I42" s="25"/>
      <c r="J42" s="12" t="str">
        <f t="shared" si="0"/>
        <v>* header.informationRecipient.name 0..1 HumanName ##34#A.1.4.2 - Recipient name [Required]##34# ##334#Person name.##334#</v>
      </c>
      <c r="L42" s="12" t="str">
        <f t="shared" si="1"/>
        <v/>
      </c>
    </row>
    <row r="43" spans="1:12" ht="73.75" x14ac:dyDescent="0.75">
      <c r="A43" s="11">
        <v>35</v>
      </c>
      <c r="B43" s="11" t="s">
        <v>1174</v>
      </c>
      <c r="C43" s="12" t="s">
        <v>1320</v>
      </c>
      <c r="D43" s="12" t="s">
        <v>1238</v>
      </c>
      <c r="E43" s="11">
        <v>0</v>
      </c>
      <c r="F43" s="11" t="s">
        <v>9</v>
      </c>
      <c r="G43" s="11" t="s">
        <v>154</v>
      </c>
      <c r="H43" s="12"/>
      <c r="I43" s="25"/>
      <c r="J43" s="12" t="str">
        <f t="shared" si="0"/>
        <v>* header.informationRecipient.organizationID 0..* Identifier ##34#A.1.4.3 - 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1175</v>
      </c>
      <c r="C44" s="12" t="s">
        <v>1321</v>
      </c>
      <c r="D44" s="12" t="s">
        <v>214</v>
      </c>
      <c r="E44" s="11">
        <v>0</v>
      </c>
      <c r="F44" s="11" t="s">
        <v>35</v>
      </c>
      <c r="G44" s="11" t="s">
        <v>2</v>
      </c>
      <c r="H44" s="12"/>
      <c r="I44" s="25"/>
      <c r="J44" s="12" t="str">
        <f t="shared" si="0"/>
        <v>* header.informationRecipient.organization 0..1 BackboneElement ##34#A.1.4.4 - Recipient organization [Required]##34# ##334#The healthcare provider organization information.##334#</v>
      </c>
      <c r="L44" s="12" t="str">
        <f t="shared" si="1"/>
        <v/>
      </c>
    </row>
    <row r="45" spans="1:12" ht="44.25" x14ac:dyDescent="0.75">
      <c r="A45" s="11">
        <v>37</v>
      </c>
      <c r="B45" s="11" t="s">
        <v>1123</v>
      </c>
      <c r="C45" s="12" t="s">
        <v>1283</v>
      </c>
      <c r="D45" s="12" t="s">
        <v>216</v>
      </c>
      <c r="E45" s="11">
        <v>1</v>
      </c>
      <c r="F45" s="11" t="s">
        <v>9</v>
      </c>
      <c r="G45" s="11" t="s">
        <v>2</v>
      </c>
      <c r="H45" s="12"/>
      <c r="I45" s="25"/>
      <c r="J45" s="12" t="str">
        <f t="shared" si="0"/>
        <v>* header.author 1..* BackboneElement ##34#A.1.5 - Author (by whom the Hospital discharge report was authored) [Mandatory]##34# ##334#Author (by whom the Hospital discharge report was authored)##334#</v>
      </c>
      <c r="L45" s="12" t="str">
        <f t="shared" si="1"/>
        <v/>
      </c>
    </row>
    <row r="46" spans="1:12" ht="73.75" x14ac:dyDescent="0.75">
      <c r="A46" s="11">
        <v>38</v>
      </c>
      <c r="B46" s="11" t="s">
        <v>1198</v>
      </c>
      <c r="C46" s="12" t="s">
        <v>1284</v>
      </c>
      <c r="D46" s="12" t="s">
        <v>1239</v>
      </c>
      <c r="E46" s="11">
        <v>1</v>
      </c>
      <c r="F46" s="11" t="s">
        <v>9</v>
      </c>
      <c r="G46" s="11" t="s">
        <v>154</v>
      </c>
      <c r="H46" s="12"/>
      <c r="I46" s="25"/>
      <c r="J46" s="12" t="str">
        <f t="shared" si="0"/>
        <v>* header.author.identifier 1..* Identifier ##34#A.1.5.1 - 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v>39</v>
      </c>
      <c r="B47" s="11" t="s">
        <v>1199</v>
      </c>
      <c r="C47" s="12" t="s">
        <v>1285</v>
      </c>
      <c r="D47" s="12" t="s">
        <v>208</v>
      </c>
      <c r="E47" s="11">
        <v>1</v>
      </c>
      <c r="F47" s="11" t="s">
        <v>35</v>
      </c>
      <c r="G47" s="11" t="s">
        <v>1176</v>
      </c>
      <c r="H47" s="12"/>
      <c r="I47" s="25"/>
      <c r="J47" s="12" t="str">
        <f t="shared" si="0"/>
        <v>* header.author.name 1..1 HumanName ##34#A.1.5.2 - Author name [Mandatory]##34# ##334#Person name.##334#</v>
      </c>
      <c r="L47" s="12" t="str">
        <f t="shared" si="1"/>
        <v/>
      </c>
    </row>
    <row r="48" spans="1:12" ht="44.25" x14ac:dyDescent="0.75">
      <c r="A48" s="11">
        <v>40</v>
      </c>
      <c r="B48" s="11" t="s">
        <v>1200</v>
      </c>
      <c r="C48" s="12" t="s">
        <v>1322</v>
      </c>
      <c r="D48" s="4" t="s">
        <v>214</v>
      </c>
      <c r="E48" s="11">
        <v>0</v>
      </c>
      <c r="F48" s="11" t="s">
        <v>9</v>
      </c>
      <c r="G48" s="11" t="s">
        <v>154</v>
      </c>
      <c r="H48" s="12"/>
      <c r="I48" s="25"/>
      <c r="J48" s="12" t="str">
        <f t="shared" si="0"/>
        <v>* header.author.organizationID 0..* Identifier ##34#A.1.5.3 - Author organization ID [Required]##34# ##334#The healthcare provider organization information.##334#</v>
      </c>
      <c r="L48" s="12" t="str">
        <f t="shared" si="1"/>
        <v/>
      </c>
    </row>
    <row r="49" spans="1:12" ht="73.75" x14ac:dyDescent="0.75">
      <c r="A49" s="11">
        <v>41</v>
      </c>
      <c r="B49" s="11" t="s">
        <v>1202</v>
      </c>
      <c r="C49" s="12" t="s">
        <v>1323</v>
      </c>
      <c r="D49" s="12" t="s">
        <v>1238</v>
      </c>
      <c r="E49" s="11">
        <v>1</v>
      </c>
      <c r="F49" s="11" t="s">
        <v>35</v>
      </c>
      <c r="G49" s="11" t="s">
        <v>2</v>
      </c>
      <c r="H49" s="12"/>
      <c r="I49" s="25"/>
      <c r="J49" s="12" t="str">
        <f t="shared" si="0"/>
        <v>* header.author.organization 1..1 BackboneElement ##34#A.1.5.4 - 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v>42</v>
      </c>
      <c r="B50" s="11" t="s">
        <v>1203</v>
      </c>
      <c r="C50" s="12" t="s">
        <v>1286</v>
      </c>
      <c r="D50" s="12" t="s">
        <v>228</v>
      </c>
      <c r="E50" s="11">
        <v>1</v>
      </c>
      <c r="F50" s="11" t="s">
        <v>35</v>
      </c>
      <c r="G50" s="11" t="s">
        <v>1146</v>
      </c>
      <c r="H50" s="12"/>
      <c r="I50" s="25"/>
      <c r="J50" s="12" t="str">
        <f t="shared" si="0"/>
        <v>* header.author.dateTime 1..1 dateTime ##34#A.1.5.5 - DateTime [Mandatory]##34# ##334#Date and time of the last modification of the document by its Author.##334#</v>
      </c>
      <c r="L50" s="12" t="str">
        <f t="shared" si="1"/>
        <v/>
      </c>
    </row>
    <row r="51" spans="1:12" ht="29.5" x14ac:dyDescent="0.75">
      <c r="A51" s="11">
        <v>43</v>
      </c>
      <c r="B51" s="11" t="s">
        <v>1124</v>
      </c>
      <c r="C51" s="12" t="s">
        <v>1324</v>
      </c>
      <c r="D51" s="12" t="s">
        <v>1225</v>
      </c>
      <c r="E51" s="11">
        <v>0</v>
      </c>
      <c r="F51" s="11" t="s">
        <v>9</v>
      </c>
      <c r="G51" s="11" t="s">
        <v>2</v>
      </c>
      <c r="H51" s="12"/>
      <c r="I51" s="25"/>
      <c r="J51" s="12" t="str">
        <f t="shared" si="0"/>
        <v>* header.attester 0..* BackboneElement ##34#A.1.6 - Attester [Required]##34# ##334#A.1.6-Attester [Required]##334#</v>
      </c>
      <c r="L51" s="12" t="str">
        <f t="shared" si="1"/>
        <v/>
      </c>
    </row>
    <row r="52" spans="1:12" ht="73.75" x14ac:dyDescent="0.75">
      <c r="A52" s="11">
        <v>44</v>
      </c>
      <c r="B52" s="11" t="s">
        <v>1204</v>
      </c>
      <c r="C52" s="12" t="s">
        <v>1287</v>
      </c>
      <c r="D52" s="12" t="s">
        <v>1239</v>
      </c>
      <c r="E52" s="11">
        <v>1</v>
      </c>
      <c r="F52" s="11" t="s">
        <v>9</v>
      </c>
      <c r="G52" s="11" t="s">
        <v>154</v>
      </c>
      <c r="H52" s="12"/>
      <c r="I52" s="25"/>
      <c r="J52" s="12" t="str">
        <f t="shared" si="0"/>
        <v>* header.attester.identifier 1..* Identifier ##34#A.1.6.1 - Attester identifier [Mandatory]##34# ##334#The health professional identification number. Either an internal identifier assigned by a healthcare provider institution or (preferably) a national health professional ID such as the license or registration number. ##334#</v>
      </c>
      <c r="L52" s="12" t="str">
        <f>IF(H52="",IF(J52="*  ..  ##34###34# ##334###334#",J52,""),IF(J52="*  ..  ##34###34# ##334###334#",J52,CONCATENATE("* ",B52," ^comment = ##334#",H52,"##334#")))</f>
        <v/>
      </c>
    </row>
    <row r="53" spans="1:12" ht="29.5" x14ac:dyDescent="0.75">
      <c r="A53" s="11">
        <v>45</v>
      </c>
      <c r="B53" s="11" t="s">
        <v>1205</v>
      </c>
      <c r="C53" s="12" t="s">
        <v>1288</v>
      </c>
      <c r="D53" s="12" t="s">
        <v>208</v>
      </c>
      <c r="E53" s="11">
        <v>1</v>
      </c>
      <c r="F53" s="11" t="s">
        <v>35</v>
      </c>
      <c r="G53" s="11" t="s">
        <v>1176</v>
      </c>
      <c r="H53" s="12"/>
      <c r="I53" s="25"/>
      <c r="J53" s="12" t="str">
        <f t="shared" si="0"/>
        <v>* header.attester.name 1..1 HumanName ##34#A.1.6.2 - Attester name [Mandatory]##34# ##334#Person name.##334#</v>
      </c>
      <c r="L53" s="12" t="str">
        <f t="shared" si="1"/>
        <v/>
      </c>
    </row>
    <row r="54" spans="1:12" ht="73.75" x14ac:dyDescent="0.75">
      <c r="A54" s="11">
        <v>46</v>
      </c>
      <c r="B54" s="132" t="s">
        <v>1201</v>
      </c>
      <c r="C54" s="12" t="s">
        <v>1325</v>
      </c>
      <c r="D54" s="12" t="s">
        <v>1238</v>
      </c>
      <c r="E54" s="11">
        <v>0</v>
      </c>
      <c r="F54" s="11" t="s">
        <v>9</v>
      </c>
      <c r="G54" s="11" t="s">
        <v>154</v>
      </c>
      <c r="H54" s="12"/>
      <c r="I54" s="25"/>
      <c r="J54" s="12" t="str">
        <f t="shared" si="0"/>
        <v>* header.attester.organizationID 0..* Identifier ##34#A.1.6.3 - 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v>47</v>
      </c>
      <c r="B55" s="11" t="s">
        <v>1206</v>
      </c>
      <c r="C55" s="12" t="s">
        <v>1326</v>
      </c>
      <c r="D55" s="12" t="s">
        <v>214</v>
      </c>
      <c r="E55" s="11">
        <v>1</v>
      </c>
      <c r="F55" s="11" t="s">
        <v>35</v>
      </c>
      <c r="G55" s="11" t="s">
        <v>2</v>
      </c>
      <c r="H55" s="12"/>
      <c r="I55" s="25"/>
      <c r="J55" s="12" t="str">
        <f t="shared" si="0"/>
        <v>* header.attester.organization 1..1 BackboneElement ##34#A.1.6.4 - Attester organization [Mandatory]##34# ##334#The healthcare provider organization information.##334#</v>
      </c>
      <c r="L55" s="12" t="str">
        <f t="shared" si="1"/>
        <v/>
      </c>
    </row>
    <row r="56" spans="1:12" ht="44.25" x14ac:dyDescent="0.75">
      <c r="A56" s="11">
        <v>48</v>
      </c>
      <c r="B56" s="11" t="s">
        <v>1207</v>
      </c>
      <c r="C56" s="12" t="s">
        <v>1289</v>
      </c>
      <c r="D56" s="12" t="s">
        <v>241</v>
      </c>
      <c r="E56" s="11">
        <v>1</v>
      </c>
      <c r="F56" s="11" t="s">
        <v>35</v>
      </c>
      <c r="G56" s="11" t="s">
        <v>1146</v>
      </c>
      <c r="H56" s="12"/>
      <c r="I56" s="25"/>
      <c r="J56" s="12" t="str">
        <f t="shared" si="0"/>
        <v>* header.attester.dateTime 1..1 dateTime ##34#A.1.6.5 - Approval date and time [Mandatory]##34# ##334#Date and time of the approval of the document by Attester.##334#</v>
      </c>
      <c r="L56" s="12" t="str">
        <f t="shared" si="1"/>
        <v/>
      </c>
    </row>
    <row r="57" spans="1:12" ht="44.25" x14ac:dyDescent="0.75">
      <c r="A57" s="11">
        <v>49</v>
      </c>
      <c r="B57" s="11" t="s">
        <v>1125</v>
      </c>
      <c r="C57" s="12" t="s">
        <v>1290</v>
      </c>
      <c r="D57" s="12" t="s">
        <v>1062</v>
      </c>
      <c r="E57" s="11">
        <v>0</v>
      </c>
      <c r="F57" s="11" t="s">
        <v>35</v>
      </c>
      <c r="G57" s="11" t="s">
        <v>2</v>
      </c>
      <c r="H57" s="12"/>
      <c r="I57" s="25"/>
      <c r="J57" s="12" t="str">
        <f t="shared" si="0"/>
        <v>* header.legalAuthenticator 0..1 BackboneElement ##34#A.1.7 - Legal authenticator [Required]##34# ##334#The person taking responsibility for the medical content of the document##334#</v>
      </c>
      <c r="L57" s="12" t="str">
        <f>IF(H57="",IF(J57="*  ..  ##34###34# ##334###334#",J57,""),IF(J57="*  ..  ##34###34# ##334###334#",J57,CONCATENATE("* ",B57," ^comment = ##334#",H57,"##334#")))</f>
        <v/>
      </c>
    </row>
    <row r="58" spans="1:12" ht="73.75" x14ac:dyDescent="0.75">
      <c r="A58" s="11">
        <v>50</v>
      </c>
      <c r="B58" s="11" t="s">
        <v>1247</v>
      </c>
      <c r="C58" s="12" t="s">
        <v>1291</v>
      </c>
      <c r="D58" s="12" t="s">
        <v>1239</v>
      </c>
      <c r="E58" s="11">
        <v>1</v>
      </c>
      <c r="F58" s="11" t="s">
        <v>9</v>
      </c>
      <c r="G58" s="11" t="s">
        <v>154</v>
      </c>
      <c r="H58" s="12"/>
      <c r="I58" s="25"/>
      <c r="J58" s="12" t="str">
        <f t="shared" si="0"/>
        <v>* header.legalAuthenticator.identifier 1..* Identifier ##34#A.1.7.1 - 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v>51</v>
      </c>
      <c r="B59" s="11" t="s">
        <v>1248</v>
      </c>
      <c r="C59" s="12" t="s">
        <v>1292</v>
      </c>
      <c r="D59" s="12" t="s">
        <v>208</v>
      </c>
      <c r="E59" s="11">
        <v>1</v>
      </c>
      <c r="F59" s="11" t="s">
        <v>35</v>
      </c>
      <c r="G59" s="11" t="s">
        <v>1176</v>
      </c>
      <c r="H59" s="12"/>
      <c r="I59" s="25"/>
      <c r="J59" s="12" t="str">
        <f t="shared" si="0"/>
        <v>* header.legalAuthenticator.name 1..1 HumanName ##34#A.1.7.2 - Legal authenticator name [Mandatory]##34# ##334#Person name.##334#</v>
      </c>
      <c r="L59" s="12" t="str">
        <f t="shared" si="1"/>
        <v/>
      </c>
    </row>
    <row r="60" spans="1:12" ht="73.75" x14ac:dyDescent="0.75">
      <c r="A60" s="11">
        <v>52</v>
      </c>
      <c r="B60" s="11" t="s">
        <v>1249</v>
      </c>
      <c r="C60" s="4" t="s">
        <v>1293</v>
      </c>
      <c r="D60" s="12" t="s">
        <v>211</v>
      </c>
      <c r="E60" s="11">
        <v>0</v>
      </c>
      <c r="F60" s="11" t="s">
        <v>9</v>
      </c>
      <c r="G60" s="11" t="s">
        <v>154</v>
      </c>
      <c r="H60" s="12"/>
      <c r="I60" s="25"/>
      <c r="J60" s="12" t="str">
        <f t="shared" si="0"/>
        <v>* header.legalAuthenticator.organizationID 0..* Identifier ##34# - 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v>53</v>
      </c>
      <c r="B61" s="11" t="s">
        <v>1250</v>
      </c>
      <c r="C61" s="12" t="s">
        <v>1327</v>
      </c>
      <c r="D61" s="12" t="s">
        <v>214</v>
      </c>
      <c r="E61" s="11">
        <v>1</v>
      </c>
      <c r="F61" s="11" t="s">
        <v>35</v>
      </c>
      <c r="G61" s="11" t="s">
        <v>2</v>
      </c>
      <c r="H61" s="12"/>
      <c r="I61" s="25"/>
      <c r="J61" s="12" t="str">
        <f t="shared" si="0"/>
        <v>* header.legalAuthenticator.organization 1..1 BackboneElement ##34#A.1.7.3 - Legal authenticator organization [Mandatory]##34# ##334#The healthcare provider organization information.##334#</v>
      </c>
      <c r="L61" s="12" t="str">
        <f t="shared" si="1"/>
        <v/>
      </c>
    </row>
    <row r="62" spans="1:12" ht="44.25" x14ac:dyDescent="0.75">
      <c r="A62" s="11">
        <v>54</v>
      </c>
      <c r="B62" s="11" t="s">
        <v>1251</v>
      </c>
      <c r="C62" s="12" t="s">
        <v>1294</v>
      </c>
      <c r="D62" s="12" t="s">
        <v>253</v>
      </c>
      <c r="E62" s="11">
        <v>1</v>
      </c>
      <c r="F62" s="11" t="s">
        <v>35</v>
      </c>
      <c r="G62" s="11" t="s">
        <v>1146</v>
      </c>
      <c r="H62" s="12"/>
      <c r="I62" s="25"/>
      <c r="J62" s="12" t="str">
        <f t="shared" si="0"/>
        <v>* header.legalAuthenticator.dateTime 1..1 dateTime ##34#A.1.7.4 - Authentication date and time [Mandatory]##34# ##334#Date and time when the document was authorized.##334#</v>
      </c>
      <c r="L62" s="12" t="str">
        <f t="shared" si="1"/>
        <v/>
      </c>
    </row>
    <row r="63" spans="1:12" ht="44.25" x14ac:dyDescent="0.75">
      <c r="A63" s="11">
        <v>55</v>
      </c>
      <c r="B63" s="11" t="s">
        <v>1126</v>
      </c>
      <c r="C63" s="12" t="s">
        <v>1295</v>
      </c>
      <c r="D63" s="12" t="s">
        <v>1106</v>
      </c>
      <c r="E63" s="11">
        <v>1</v>
      </c>
      <c r="F63" s="11" t="s">
        <v>35</v>
      </c>
      <c r="G63" s="11" t="s">
        <v>2</v>
      </c>
      <c r="H63" s="12"/>
      <c r="I63" s="25"/>
      <c r="J63" s="12" t="str">
        <f t="shared" si="0"/>
        <v>* header.documentMetadata 1..1 BackboneElement ##34#A.1.8 - Document metadata [Mandatory]##34# ##334#A.1.8-Document metadata [Mandatory]##334#</v>
      </c>
      <c r="L63" s="12" t="str">
        <f t="shared" si="1"/>
        <v/>
      </c>
    </row>
    <row r="64" spans="1:12" ht="29.5" x14ac:dyDescent="0.75">
      <c r="A64" s="11">
        <v>56</v>
      </c>
      <c r="B64" s="11" t="s">
        <v>1208</v>
      </c>
      <c r="C64" s="12" t="s">
        <v>1296</v>
      </c>
      <c r="D64" s="12" t="s">
        <v>258</v>
      </c>
      <c r="E64" s="11">
        <v>1</v>
      </c>
      <c r="F64" s="11" t="s">
        <v>35</v>
      </c>
      <c r="G64" s="11" t="s">
        <v>154</v>
      </c>
      <c r="H64" s="12"/>
      <c r="I64" s="25"/>
      <c r="J64" s="12" t="str">
        <f t="shared" si="0"/>
        <v>* header.documentMetadata.identifier 1..1 Identifier ##34#A.1.8.1 - Document ID [Mandatory]##34# ##334#Unique identifier of the document##334#</v>
      </c>
      <c r="L64" s="12" t="str">
        <f t="shared" si="1"/>
        <v/>
      </c>
    </row>
    <row r="65" spans="1:13" ht="44.25" x14ac:dyDescent="0.75">
      <c r="A65" s="11">
        <v>57</v>
      </c>
      <c r="B65" s="11" t="s">
        <v>1209</v>
      </c>
      <c r="C65" s="12" t="s">
        <v>1297</v>
      </c>
      <c r="D65" s="12" t="s">
        <v>1245</v>
      </c>
      <c r="E65" s="11">
        <v>1</v>
      </c>
      <c r="F65" s="11" t="s">
        <v>35</v>
      </c>
      <c r="G65" s="11" t="s">
        <v>0</v>
      </c>
      <c r="H65" s="12" t="s">
        <v>262</v>
      </c>
      <c r="I65" s="25"/>
      <c r="J65" s="12" t="str">
        <f t="shared" si="0"/>
        <v>* header.documentMetadata.type 1..1 CodeableConcept ##34#A.1.8.2 - Document type [Mandatory]##34# ##334#A coded type of the document. Fixed value 'Hospital dicharge summary'##334#</v>
      </c>
      <c r="L65" s="12" t="str">
        <f t="shared" si="1"/>
        <v>* header.documentMetadata.type ^comment = ##334#LOINC##334#</v>
      </c>
    </row>
    <row r="66" spans="1:13" ht="44.25" x14ac:dyDescent="0.75">
      <c r="A66" s="11">
        <v>58</v>
      </c>
      <c r="B66" s="11" t="s">
        <v>1210</v>
      </c>
      <c r="C66" s="12" t="s">
        <v>1298</v>
      </c>
      <c r="D66" s="12" t="s">
        <v>265</v>
      </c>
      <c r="E66" s="11">
        <v>1</v>
      </c>
      <c r="F66" s="11" t="s">
        <v>35</v>
      </c>
      <c r="G66" s="11" t="s">
        <v>0</v>
      </c>
      <c r="H66" s="12" t="s">
        <v>1242</v>
      </c>
      <c r="I66" s="25"/>
      <c r="J66" s="12" t="str">
        <f t="shared" si="0"/>
        <v>* header.documentMetadata.status 1..1 CodeableConcept ##34#A.1.8.3 - Document status [Mandatory]##34# ##334#The status of the Hospital discharge report. E.g., preliminary, final.##334#</v>
      </c>
      <c r="L66" s="12" t="str">
        <f t="shared" si="1"/>
        <v>* header.documentMetadata.status ^comment = ##334#hl7:CompositionStatus ##334#</v>
      </c>
    </row>
    <row r="67" spans="1:13" ht="44.25" x14ac:dyDescent="0.75">
      <c r="A67" s="11">
        <v>59</v>
      </c>
      <c r="B67" s="11" t="s">
        <v>1211</v>
      </c>
      <c r="C67" s="12" t="s">
        <v>1299</v>
      </c>
      <c r="D67" s="12" t="s">
        <v>269</v>
      </c>
      <c r="E67" s="11">
        <v>1</v>
      </c>
      <c r="F67" s="11" t="s">
        <v>35</v>
      </c>
      <c r="G67" s="11" t="s">
        <v>1146</v>
      </c>
      <c r="H67" s="12"/>
      <c r="I67" s="25"/>
      <c r="J67" s="12" t="str">
        <f t="shared" si="0"/>
        <v>* header.documentMetadata.dateTime 1..1 dateTime ##34#A.1.8.4 - Report date and time [Mandatory]##34# ##334#Date and time of the result report creation.##334#</v>
      </c>
      <c r="L67" s="12" t="str">
        <f t="shared" si="1"/>
        <v/>
      </c>
    </row>
    <row r="68" spans="1:13" ht="44.25" x14ac:dyDescent="0.75">
      <c r="A68" s="11">
        <v>60</v>
      </c>
      <c r="B68" s="11" t="s">
        <v>1212</v>
      </c>
      <c r="C68" s="12" t="s">
        <v>1300</v>
      </c>
      <c r="D68" s="12" t="s">
        <v>1246</v>
      </c>
      <c r="E68" s="11">
        <v>1</v>
      </c>
      <c r="F68" s="11" t="s">
        <v>35</v>
      </c>
      <c r="G68" s="11" t="s">
        <v>1</v>
      </c>
      <c r="H68" s="12"/>
      <c r="I68" s="25"/>
      <c r="J68" s="12" t="str">
        <f t="shared" si="0"/>
        <v>* header.documentMetadata.title 1..1 string ##34#A.1.8.5 - Document title [Mandatory]##34# ##334#Document title, e.g. 'Hospital discharge report'##334#</v>
      </c>
      <c r="L68" s="12" t="str">
        <f t="shared" si="1"/>
        <v/>
      </c>
    </row>
    <row r="69" spans="1:13" ht="44.25" x14ac:dyDescent="0.75">
      <c r="A69" s="11">
        <v>61</v>
      </c>
      <c r="B69" s="11" t="s">
        <v>1213</v>
      </c>
      <c r="C69" s="12" t="s">
        <v>1301</v>
      </c>
      <c r="D69" s="12" t="s">
        <v>275</v>
      </c>
      <c r="E69" s="132">
        <v>1</v>
      </c>
      <c r="F69" s="132" t="s">
        <v>35</v>
      </c>
      <c r="G69" s="11" t="s">
        <v>2</v>
      </c>
      <c r="H69" s="12"/>
      <c r="I69" s="25"/>
      <c r="J69" s="12" t="str">
        <f t="shared" si="0"/>
        <v>* header.documentMetadata.custodian 1..1 BackboneElement ##34#A.1.8.6 - Report custodian [Optional]##34# ##334#Organisation that is in charge of maintaining the report##334#</v>
      </c>
      <c r="L69" s="12" t="str">
        <f t="shared" si="1"/>
        <v/>
      </c>
    </row>
    <row r="70" spans="1:13" ht="44.25" x14ac:dyDescent="0.75">
      <c r="A70" s="11">
        <v>62</v>
      </c>
      <c r="B70" s="11" t="s">
        <v>1214</v>
      </c>
      <c r="C70" s="12" t="s">
        <v>1302</v>
      </c>
      <c r="D70" s="12" t="s">
        <v>278</v>
      </c>
      <c r="E70" s="132">
        <v>1</v>
      </c>
      <c r="F70" s="132" t="s">
        <v>35</v>
      </c>
      <c r="G70" s="11" t="s">
        <v>0</v>
      </c>
      <c r="H70" s="12" t="s">
        <v>279</v>
      </c>
      <c r="I70" s="25"/>
      <c r="J70" s="12" t="str">
        <f t="shared" si="0"/>
        <v>* header.documentMetadata.confidentiality 1..1 CodeableConcept ##34#A.1.8.7 - Confidentiality [Mandatory]##34# ##334#Level of confidentiality of the document. Implicit value is normal.##334#</v>
      </c>
      <c r="L70" s="12" t="str">
        <f t="shared" si="1"/>
        <v>* header.documentMetadata.confidentiality ^comment = ##334#hl7:confidentiality##334#</v>
      </c>
    </row>
    <row r="71" spans="1:13" ht="44.25" x14ac:dyDescent="0.75">
      <c r="A71" s="11">
        <v>63</v>
      </c>
      <c r="B71" s="11" t="s">
        <v>1215</v>
      </c>
      <c r="C71" s="12" t="s">
        <v>1303</v>
      </c>
      <c r="D71" s="12" t="s">
        <v>282</v>
      </c>
      <c r="E71" s="11">
        <v>1</v>
      </c>
      <c r="F71" s="11" t="s">
        <v>35</v>
      </c>
      <c r="G71" s="11" t="s">
        <v>0</v>
      </c>
      <c r="H71" s="12" t="s">
        <v>138</v>
      </c>
      <c r="I71" s="25"/>
      <c r="J71" s="12" t="str">
        <f t="shared" si="0"/>
        <v>* header.documentMetadata.language 1..1 CodeableConcept ##34#A.1.8.8 - Language [Required]##34# ##334#Language in which the document is written. Language is expressed by the ISO language code.##334#</v>
      </c>
      <c r="L71" s="12" t="str">
        <f t="shared" si="1"/>
        <v>* header.documentMetadata.language ^comment = ##334#BCP 47##334#</v>
      </c>
    </row>
    <row r="72" spans="1:13" ht="29.5" x14ac:dyDescent="0.75">
      <c r="A72" s="11">
        <v>64</v>
      </c>
      <c r="B72" s="11" t="s">
        <v>1216</v>
      </c>
      <c r="C72" s="12" t="s">
        <v>1304</v>
      </c>
      <c r="D72" s="12" t="s">
        <v>284</v>
      </c>
      <c r="E72" s="11">
        <v>0</v>
      </c>
      <c r="F72" s="11" t="s">
        <v>35</v>
      </c>
      <c r="G72" s="11" t="s">
        <v>1</v>
      </c>
      <c r="H72" s="12"/>
      <c r="I72" s="25"/>
      <c r="J72" s="12" t="str">
        <f t="shared" si="0"/>
        <v>* header.documentMetadata.version 0..1 string ##34#A.1.8.9 - Version [Required]##34# ##334#Version of the document##334#</v>
      </c>
      <c r="L72" s="12" t="str">
        <f t="shared" si="1"/>
        <v/>
      </c>
    </row>
    <row r="73" spans="1:13" ht="29.5" x14ac:dyDescent="0.75">
      <c r="A73" s="11">
        <v>65</v>
      </c>
      <c r="B73" s="11" t="s">
        <v>1127</v>
      </c>
      <c r="C73" s="12" t="s">
        <v>1305</v>
      </c>
      <c r="D73" s="12" t="s">
        <v>1107</v>
      </c>
      <c r="E73" s="11">
        <v>0</v>
      </c>
      <c r="F73" s="11">
        <v>1</v>
      </c>
      <c r="G73" s="11" t="s">
        <v>2</v>
      </c>
      <c r="H73" s="12"/>
      <c r="I73" s="25"/>
      <c r="J73" s="12" t="str">
        <f t="shared" si="0"/>
        <v>* header.digitalSignature 0..1 BackboneElement ##34#A.1.9 - Digital signatures [Required]##34# ##334#A.1.9-Digital signatures [Required]##334#</v>
      </c>
      <c r="L73" s="12" t="str">
        <f t="shared" ref="L73:L89" si="2">IF(H73="",IF(J73="*  ..  ##34###34# ##334###334#",J73,""),IF(J73="*  ..  ##34###34# ##334###334#",J73,CONCATENATE("* ",B73," ^comment = ##334#",H73,"##334#")))</f>
        <v/>
      </c>
    </row>
    <row r="74" spans="1:13" ht="44.25" x14ac:dyDescent="0.75">
      <c r="A74" s="11">
        <v>66</v>
      </c>
      <c r="B74" s="11" t="s">
        <v>1217</v>
      </c>
      <c r="C74" s="12" t="s">
        <v>1306</v>
      </c>
      <c r="D74" s="12" t="s">
        <v>289</v>
      </c>
      <c r="E74" s="11">
        <v>0</v>
      </c>
      <c r="F74" s="11" t="s">
        <v>9</v>
      </c>
      <c r="G74" s="133" t="s">
        <v>2</v>
      </c>
      <c r="H74" s="12"/>
      <c r="I74" s="25"/>
      <c r="J74" s="12" t="str">
        <f t="shared" si="0"/>
        <v>* header.digitalSignature.signature 0..* BackboneElement ##34#A.1.9.1 - Digital signature [Required]##34# ##334#Digital signature of the document##334#</v>
      </c>
      <c r="L74" s="12" t="str">
        <f t="shared" si="2"/>
        <v/>
      </c>
    </row>
    <row r="75" spans="1:13" ht="29.5" x14ac:dyDescent="0.75">
      <c r="A75" s="11">
        <v>67</v>
      </c>
      <c r="B75" s="11" t="s">
        <v>1218</v>
      </c>
      <c r="C75" s="12" t="s">
        <v>1307</v>
      </c>
      <c r="D75" s="12" t="s">
        <v>292</v>
      </c>
      <c r="E75" s="11">
        <v>0</v>
      </c>
      <c r="F75" s="11" t="s">
        <v>35</v>
      </c>
      <c r="G75" s="11" t="s">
        <v>1146</v>
      </c>
      <c r="H75" s="12"/>
      <c r="I75" s="25"/>
      <c r="J75" s="12" t="str">
        <f t="shared" si="0"/>
        <v>* header.digitalSignature.timeStamp 0..1 dateTime ##34#A.1.9.2 - Time stamp [Required]##34# ##334#An electronic time stamp##334#</v>
      </c>
      <c r="L75" s="12" t="str">
        <f t="shared" si="2"/>
        <v/>
      </c>
    </row>
    <row r="76" spans="1:13" ht="29.5" x14ac:dyDescent="0.75">
      <c r="A76" s="11">
        <v>68</v>
      </c>
      <c r="B76" s="11" t="s">
        <v>1120</v>
      </c>
      <c r="C76" s="12" t="s">
        <v>1308</v>
      </c>
      <c r="D76" s="12" t="s">
        <v>1097</v>
      </c>
      <c r="E76" s="11">
        <v>1</v>
      </c>
      <c r="F76" s="11">
        <v>1</v>
      </c>
      <c r="G76" s="11" t="s">
        <v>2</v>
      </c>
      <c r="H76" s="12"/>
      <c r="J76" s="12" t="str">
        <f t="shared" si="0"/>
        <v>* body 1..1 BackboneElement ##34#A.2 - Body (missing elementy ?) [Mandatory]##34# ##334#Missing element ?##334#</v>
      </c>
      <c r="L76" s="12" t="str">
        <f t="shared" si="2"/>
        <v/>
      </c>
    </row>
    <row r="77" spans="1:13" ht="29.5" x14ac:dyDescent="0.75">
      <c r="A77" s="11">
        <v>69</v>
      </c>
      <c r="B77" s="11" t="s">
        <v>1128</v>
      </c>
      <c r="C77" s="12" t="s">
        <v>1309</v>
      </c>
      <c r="D77" s="12" t="s">
        <v>1109</v>
      </c>
      <c r="E77" s="11">
        <v>0</v>
      </c>
      <c r="F77" s="11">
        <v>1</v>
      </c>
      <c r="G77" s="11" t="s">
        <v>2</v>
      </c>
      <c r="H77" s="12"/>
      <c r="J77" s="12" t="str">
        <f t="shared" si="0"/>
        <v>* body.advanceDirectives 0..1 BackboneElement ##34#A.2.1 - Advance directives [Required]##34# ##334#A.2.1-Advance directives [Required]##334#</v>
      </c>
      <c r="L77" s="12" t="str">
        <f t="shared" si="2"/>
        <v/>
      </c>
    </row>
    <row r="78" spans="1:13" ht="44.25" x14ac:dyDescent="0.75">
      <c r="A78" s="11">
        <v>70</v>
      </c>
      <c r="B78" s="11" t="s">
        <v>1129</v>
      </c>
      <c r="C78" s="12" t="s">
        <v>1310</v>
      </c>
      <c r="D78" s="12" t="s">
        <v>1110</v>
      </c>
      <c r="E78" s="11">
        <v>1</v>
      </c>
      <c r="F78" s="11">
        <v>1</v>
      </c>
      <c r="G78" s="11" t="s">
        <v>2</v>
      </c>
      <c r="H78" s="12"/>
      <c r="J78" s="12" t="str">
        <f t="shared" si="0"/>
        <v>* body.emergencyInfos 1..1 BackboneElement ##34#A.2.2 - Emergency information [Mandatory]##34# ##334#A.2.2-Emergency information [Mandatory]##334#</v>
      </c>
      <c r="L78" s="12" t="str">
        <f t="shared" si="2"/>
        <v/>
      </c>
    </row>
    <row r="79" spans="1:13" ht="29.5" x14ac:dyDescent="0.75">
      <c r="A79" s="11">
        <v>71</v>
      </c>
      <c r="B79" s="11" t="s">
        <v>1130</v>
      </c>
      <c r="C79" s="12" t="s">
        <v>1311</v>
      </c>
      <c r="D79" s="12" t="s">
        <v>1111</v>
      </c>
      <c r="E79" s="11">
        <v>1</v>
      </c>
      <c r="F79" s="11">
        <v>1</v>
      </c>
      <c r="G79" s="11" t="s">
        <v>2</v>
      </c>
      <c r="H79" s="12"/>
      <c r="J79" s="12" t="str">
        <f t="shared" si="0"/>
        <v>* body.encounter 1..1 BackboneElement ##34#A.2.3 - Encounter [Mandatory]##34# ##334#A.2.3-Encounter [Mandatory]##334#</v>
      </c>
      <c r="L79" s="12" t="str">
        <f t="shared" si="2"/>
        <v/>
      </c>
      <c r="M79"/>
    </row>
    <row r="80" spans="1:13" ht="73.75" x14ac:dyDescent="0.75">
      <c r="A80" s="11">
        <v>72</v>
      </c>
      <c r="B80" s="11" t="s">
        <v>1131</v>
      </c>
      <c r="C80" s="12" t="s">
        <v>1328</v>
      </c>
      <c r="D80" s="12" t="s">
        <v>1112</v>
      </c>
      <c r="E80" s="11">
        <v>0</v>
      </c>
      <c r="F80" s="11">
        <v>1</v>
      </c>
      <c r="G80" s="11" t="s">
        <v>2</v>
      </c>
      <c r="H80" s="12"/>
      <c r="J80" s="12" t="str">
        <f t="shared" si="0"/>
        <v>* body.admissionEvaluation 0..1 BackboneElement ##34#A.2.4 - 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2"/>
        <v/>
      </c>
      <c r="M80"/>
    </row>
    <row r="81" spans="1:13" ht="29.5" x14ac:dyDescent="0.75">
      <c r="A81" s="11">
        <v>73</v>
      </c>
      <c r="B81" s="11" t="s">
        <v>1132</v>
      </c>
      <c r="C81" s="12" t="s">
        <v>1312</v>
      </c>
      <c r="D81" s="12" t="s">
        <v>1113</v>
      </c>
      <c r="E81" s="11">
        <v>0</v>
      </c>
      <c r="F81" s="11">
        <v>1</v>
      </c>
      <c r="G81" s="11" t="s">
        <v>2</v>
      </c>
      <c r="H81" s="12"/>
      <c r="J81" s="12" t="str">
        <f t="shared" si="0"/>
        <v>* body.patientHistory 0..1 BackboneElement ##34#A.2.6 - Patient history [Optional]##34# ##334#A.2.6-Patient history [Optional]##334#</v>
      </c>
      <c r="L81" s="12" t="str">
        <f t="shared" si="2"/>
        <v/>
      </c>
      <c r="M81"/>
    </row>
    <row r="82" spans="1:13" ht="29.5" x14ac:dyDescent="0.75">
      <c r="A82" s="11">
        <v>74</v>
      </c>
      <c r="B82" s="11" t="s">
        <v>1133</v>
      </c>
      <c r="C82" s="12" t="s">
        <v>1313</v>
      </c>
      <c r="D82" s="12" t="s">
        <v>1114</v>
      </c>
      <c r="E82" s="11">
        <v>1</v>
      </c>
      <c r="F82" s="11">
        <v>1</v>
      </c>
      <c r="G82" s="11" t="s">
        <v>2</v>
      </c>
      <c r="H82" s="12"/>
      <c r="J82" s="12" t="str">
        <f t="shared" si="0"/>
        <v>* body.hospitalStay 1..1 BackboneElement ##34#A.2.7 - Hospital stay [Mandatory]##34# ##334#A.2.7-Hospital stay [Mandatory]##334#</v>
      </c>
      <c r="L82" s="12" t="str">
        <f t="shared" si="2"/>
        <v/>
      </c>
      <c r="M82"/>
    </row>
    <row r="83" spans="1:13" ht="44.25" x14ac:dyDescent="0.75">
      <c r="A83" s="11">
        <v>75</v>
      </c>
      <c r="B83" s="11" t="s">
        <v>1134</v>
      </c>
      <c r="C83" s="12" t="s">
        <v>1314</v>
      </c>
      <c r="D83" s="12" t="s">
        <v>1119</v>
      </c>
      <c r="E83" s="11">
        <v>1</v>
      </c>
      <c r="F83" s="11">
        <v>1</v>
      </c>
      <c r="G83" s="11" t="s">
        <v>2</v>
      </c>
      <c r="H83" s="12"/>
      <c r="J83" s="12" t="str">
        <f t="shared" si="0"/>
        <v>* body.dischargeDetails 1..1 BackboneElement ##34#A.2.8 - Discharge details [Mandatory]##34# ##334#structured information should be provided, however if not available, at least a summary note should be present##334#</v>
      </c>
      <c r="L83" s="12" t="str">
        <f t="shared" si="2"/>
        <v/>
      </c>
      <c r="M83"/>
    </row>
    <row r="84" spans="1:13" ht="44.25" x14ac:dyDescent="0.75">
      <c r="A84" s="11">
        <v>76</v>
      </c>
      <c r="B84" s="11" t="s">
        <v>1135</v>
      </c>
      <c r="C84" s="12" t="s">
        <v>1315</v>
      </c>
      <c r="D84" s="12" t="s">
        <v>1116</v>
      </c>
      <c r="E84" s="11">
        <v>0</v>
      </c>
      <c r="F84" s="11">
        <v>1</v>
      </c>
      <c r="G84" s="11" t="s">
        <v>2</v>
      </c>
      <c r="H84" s="12"/>
      <c r="J84" s="12" t="str">
        <f t="shared" si="0"/>
        <v>* body.recommendations 0..1 BackboneElement ##34#A.2.9 - Recommendations [Required]##34# ##334#A.2.9-Recommendations [Required]##334#</v>
      </c>
      <c r="L84" s="12" t="str">
        <f t="shared" si="2"/>
        <v/>
      </c>
      <c r="M84"/>
    </row>
    <row r="85" spans="1:13" x14ac:dyDescent="0.75">
      <c r="J85" s="12" t="str">
        <f t="shared" si="0"/>
        <v>*  ..  ##34###34# ##334###334#</v>
      </c>
      <c r="L85" s="12" t="str">
        <f t="shared" si="2"/>
        <v>*  ..  ##34###34# ##334###334#</v>
      </c>
    </row>
    <row r="86" spans="1:13" x14ac:dyDescent="0.75">
      <c r="J86" s="12" t="str">
        <f t="shared" si="0"/>
        <v>*  ..  ##34###34# ##334###334#</v>
      </c>
      <c r="L86" s="12" t="str">
        <f t="shared" si="2"/>
        <v>*  ..  ##34###34# ##334###334#</v>
      </c>
    </row>
    <row r="87" spans="1:13" x14ac:dyDescent="0.75">
      <c r="J87" s="12" t="str">
        <f t="shared" si="0"/>
        <v>*  ..  ##34###34# ##334###334#</v>
      </c>
      <c r="L87" s="12" t="str">
        <f t="shared" si="2"/>
        <v>*  ..  ##34###34# ##334###334#</v>
      </c>
    </row>
    <row r="88" spans="1:13" x14ac:dyDescent="0.75">
      <c r="J88" s="12" t="str">
        <f t="shared" si="0"/>
        <v>*  ..  ##34###34# ##334###334#</v>
      </c>
      <c r="L88" s="12" t="str">
        <f t="shared" si="2"/>
        <v>*  ..  ##34###34# ##334###334#</v>
      </c>
    </row>
    <row r="89" spans="1:13" x14ac:dyDescent="0.75">
      <c r="J89" s="12" t="str">
        <f t="shared" si="0"/>
        <v>*  ..  ##34###34# ##334###334#</v>
      </c>
      <c r="L89" s="12" t="str">
        <f t="shared" si="2"/>
        <v>*  ..  ##34###34# ##334###334#</v>
      </c>
    </row>
  </sheetData>
  <autoFilter ref="A7:M84" xr:uid="{8509A97B-13A2-4A61-A2A1-3198312EE21A}"/>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C506-E670-4EC1-BE09-A870303F350C}">
  <sheetPr codeName="Foglio44"/>
  <dimension ref="A1:O99"/>
  <sheetViews>
    <sheetView workbookViewId="0">
      <selection activeCell="D35" sqref="D35"/>
    </sheetView>
  </sheetViews>
  <sheetFormatPr defaultRowHeight="14.75" x14ac:dyDescent="0.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CONCATENATE(HospitalDischargeReport!B4,"2FHIR")</f>
        <v>HospitalDischargeReportEHN2FHIR</v>
      </c>
      <c r="E4" s="19" t="str">
        <f>CONCATENATE("Mapping: ",C4)</f>
        <v>Mapping: HospitalDischargeReportEHN2FHIR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1141</v>
      </c>
      <c r="E6" s="20" t="str">
        <f>CONCATENATE("Title: ##34#",C6,"##34#")</f>
        <v>Title: ##34#Hospital Discharge Report model to FHIR R4 Map##34#</v>
      </c>
      <c r="H6" s="7"/>
      <c r="I6" s="7"/>
      <c r="J6" s="7"/>
      <c r="K6" s="7"/>
      <c r="L6" s="7"/>
      <c r="M6" s="7"/>
      <c r="N6" s="7"/>
      <c r="O6" s="7"/>
    </row>
    <row r="7" spans="1:15" ht="15.5" thickBot="1" x14ac:dyDescent="0.9">
      <c r="B7" s="10" t="s">
        <v>17</v>
      </c>
      <c r="C7" s="8" t="str">
        <f>B9</f>
        <v>HospitalDischargeReport</v>
      </c>
      <c r="E7" s="20" t="str">
        <f>CONCATENATE("Source: ",C7)</f>
        <v>Source: HospitalDischargeReport</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HospitalDischargeReport!B5</f>
        <v>HospitalDischargeReport</v>
      </c>
      <c r="C9" s="6" t="s">
        <v>94</v>
      </c>
      <c r="E9" s="27" t="str">
        <f>CONCATENATE("* -&gt; ##34#",C9,"##34#")</f>
        <v>* -&gt; ##34#TBD##34#</v>
      </c>
      <c r="H9" s="7"/>
      <c r="I9" s="7"/>
      <c r="J9" s="7"/>
      <c r="K9" s="7"/>
      <c r="L9" s="7"/>
      <c r="M9" s="7"/>
      <c r="N9" s="7"/>
      <c r="O9" s="7"/>
    </row>
    <row r="10" spans="1:15" x14ac:dyDescent="0.75">
      <c r="A10" s="11"/>
      <c r="B10" s="11" t="str">
        <f>HospitalDischargeReport!B8</f>
        <v>header</v>
      </c>
      <c r="C10" s="11" t="s">
        <v>94</v>
      </c>
      <c r="E10" s="12" t="str">
        <f t="shared" ref="E10:E73" si="0">IF(B10=0,"*  -&gt; ##34###34#",CONCATENATE("* ",B10," -&gt; ##34#",C10,"##34#"))</f>
        <v>* header -&gt; ##34#TBD##34#</v>
      </c>
      <c r="H10" s="7"/>
      <c r="I10" s="7"/>
      <c r="J10" s="7"/>
      <c r="K10" s="7"/>
      <c r="L10" s="7"/>
      <c r="M10" s="7"/>
      <c r="N10" s="7"/>
      <c r="O10" s="7"/>
    </row>
    <row r="11" spans="1:15" x14ac:dyDescent="0.75">
      <c r="A11" s="11"/>
      <c r="B11" s="11" t="str">
        <f>HospitalDischargeReport!B9</f>
        <v>header.subjectIdentification</v>
      </c>
      <c r="C11" s="11" t="s">
        <v>94</v>
      </c>
      <c r="E11" s="12" t="str">
        <f t="shared" si="0"/>
        <v>* header.subjectIdentification -&gt; ##34#TBD##34#</v>
      </c>
      <c r="H11" s="7"/>
      <c r="I11" s="7"/>
      <c r="J11" s="7"/>
      <c r="K11" s="7"/>
      <c r="L11" s="7"/>
      <c r="M11" s="7"/>
      <c r="N11" s="7"/>
      <c r="O11" s="7"/>
    </row>
    <row r="12" spans="1:15" x14ac:dyDescent="0.75">
      <c r="A12" s="11"/>
      <c r="B12" s="11" t="str">
        <f>HospitalDischargeReport!B10</f>
        <v>header.subjectIdentification.given</v>
      </c>
      <c r="C12" s="11" t="s">
        <v>94</v>
      </c>
      <c r="E12" s="12" t="str">
        <f t="shared" si="0"/>
        <v>* header.subjectIdentification.given -&gt; ##34#TBD##34#</v>
      </c>
      <c r="H12" s="7"/>
      <c r="I12" s="7"/>
      <c r="J12" s="7"/>
      <c r="K12" s="7"/>
      <c r="L12" s="7"/>
      <c r="M12" s="7"/>
      <c r="N12" s="7"/>
      <c r="O12" s="7"/>
    </row>
    <row r="13" spans="1:15" x14ac:dyDescent="0.75">
      <c r="A13" s="11"/>
      <c r="B13" s="11" t="str">
        <f>HospitalDischargeReport!B11</f>
        <v>header.subjectIdentification.family</v>
      </c>
      <c r="C13" s="11" t="s">
        <v>94</v>
      </c>
      <c r="E13" s="12" t="str">
        <f t="shared" si="0"/>
        <v>* header.subjectIdentification.family -&gt; ##34#TBD##34#</v>
      </c>
      <c r="H13" s="7"/>
      <c r="I13" s="7"/>
      <c r="J13" s="7"/>
      <c r="K13" s="7"/>
      <c r="L13" s="7"/>
      <c r="M13" s="7"/>
      <c r="N13" s="7"/>
      <c r="O13" s="7"/>
    </row>
    <row r="14" spans="1:15" x14ac:dyDescent="0.75">
      <c r="A14" s="11"/>
      <c r="B14" s="11" t="str">
        <f>HospitalDischargeReport!B12</f>
        <v>header.subjectIdentification.birthDate</v>
      </c>
      <c r="C14" s="11" t="s">
        <v>94</v>
      </c>
      <c r="E14" s="12" t="str">
        <f t="shared" si="0"/>
        <v>* header.subjectIdentification.birthDate -&gt; ##34#TBD##34#</v>
      </c>
      <c r="H14" s="7"/>
      <c r="I14" s="7"/>
      <c r="J14" s="7"/>
      <c r="K14" s="7"/>
      <c r="L14" s="7"/>
      <c r="M14" s="7"/>
      <c r="N14" s="7"/>
      <c r="O14" s="7"/>
    </row>
    <row r="15" spans="1:15" x14ac:dyDescent="0.75">
      <c r="A15" s="11"/>
      <c r="B15" s="11" t="str">
        <f>HospitalDischargeReport!B13</f>
        <v>header.subjectIdentification.identifier</v>
      </c>
      <c r="C15" s="11" t="s">
        <v>94</v>
      </c>
      <c r="E15" s="12" t="str">
        <f t="shared" si="0"/>
        <v>* header.subjectIdentification.identifier -&gt; ##34#TBD##34#</v>
      </c>
      <c r="H15" s="7"/>
      <c r="I15" s="7"/>
      <c r="J15" s="7"/>
      <c r="K15" s="7"/>
      <c r="L15" s="7"/>
      <c r="M15" s="7"/>
      <c r="N15" s="7"/>
      <c r="O15" s="7"/>
    </row>
    <row r="16" spans="1:15" x14ac:dyDescent="0.75">
      <c r="A16" s="11"/>
      <c r="B16" s="11" t="str">
        <f>HospitalDischargeReport!B14</f>
        <v>header.subjectIdentification.nationality</v>
      </c>
      <c r="C16" s="11" t="s">
        <v>94</v>
      </c>
      <c r="E16" s="12" t="str">
        <f t="shared" si="0"/>
        <v>* header.subjectIdentification.nationality -&gt; ##34#TBD##34#</v>
      </c>
      <c r="H16" s="7"/>
      <c r="I16" s="7"/>
      <c r="J16" s="7"/>
      <c r="K16" s="7"/>
      <c r="L16" s="7"/>
      <c r="M16" s="7"/>
      <c r="N16" s="7"/>
      <c r="O16" s="7"/>
    </row>
    <row r="17" spans="1:5" x14ac:dyDescent="0.75">
      <c r="A17" s="11"/>
      <c r="B17" s="11" t="str">
        <f>HospitalDischargeReport!B15</f>
        <v>header.subjectIdentification.gender</v>
      </c>
      <c r="C17" s="11" t="s">
        <v>94</v>
      </c>
      <c r="E17" s="12" t="str">
        <f t="shared" si="0"/>
        <v>* header.subjectIdentification.gender -&gt; ##34#TBD##34#</v>
      </c>
    </row>
    <row r="18" spans="1:5" x14ac:dyDescent="0.75">
      <c r="A18" s="11"/>
      <c r="B18" s="11" t="str">
        <f>HospitalDischargeReport!B16</f>
        <v>header.subjectIdentification.language</v>
      </c>
      <c r="C18" s="11" t="s">
        <v>94</v>
      </c>
      <c r="E18" s="12" t="str">
        <f t="shared" si="0"/>
        <v>* header.subjectIdentification.language -&gt; ##34#TBD##34#</v>
      </c>
    </row>
    <row r="19" spans="1:5" x14ac:dyDescent="0.75">
      <c r="A19" s="11"/>
      <c r="B19" s="11" t="str">
        <f>HospitalDischargeReport!B17</f>
        <v>header.subjectContact</v>
      </c>
      <c r="C19" s="11" t="s">
        <v>94</v>
      </c>
      <c r="E19" s="12" t="str">
        <f t="shared" si="0"/>
        <v>* header.subjectContact -&gt; ##34#TBD##34#</v>
      </c>
    </row>
    <row r="20" spans="1:5" x14ac:dyDescent="0.75">
      <c r="A20" s="11"/>
      <c r="B20" s="11" t="str">
        <f>HospitalDischargeReport!B18</f>
        <v>header.subjectContact.contactPoint</v>
      </c>
      <c r="C20" s="11" t="s">
        <v>94</v>
      </c>
      <c r="E20" s="12" t="str">
        <f t="shared" si="0"/>
        <v>* header.subjectContact.contactPoint -&gt; ##34#TBD##34#</v>
      </c>
    </row>
    <row r="21" spans="1:5" x14ac:dyDescent="0.75">
      <c r="B21" s="11" t="str">
        <f>HospitalDischargeReport!B19</f>
        <v>header.subjectContact.contactPoint.address</v>
      </c>
      <c r="C21" s="11" t="s">
        <v>94</v>
      </c>
      <c r="E21" s="12" t="str">
        <f t="shared" si="0"/>
        <v>* header.subjectContact.contactPoint.address -&gt; ##34#TBD##34#</v>
      </c>
    </row>
    <row r="22" spans="1:5" x14ac:dyDescent="0.75">
      <c r="B22" s="11" t="str">
        <f>HospitalDischargeReport!B20</f>
        <v>header.subjectContact.contactPoint.telecom</v>
      </c>
      <c r="C22" s="11" t="s">
        <v>94</v>
      </c>
      <c r="E22" s="12" t="str">
        <f t="shared" si="0"/>
        <v>* header.subjectContact.contactPoint.telecom -&gt; ##34#TBD##34#</v>
      </c>
    </row>
    <row r="23" spans="1:5" x14ac:dyDescent="0.75">
      <c r="B23" s="11" t="str">
        <f>HospitalDischargeReport!B21</f>
        <v>header.subjectContact.contactPoint.preferredHP</v>
      </c>
      <c r="C23" s="11" t="s">
        <v>94</v>
      </c>
      <c r="E23" s="12" t="str">
        <f t="shared" si="0"/>
        <v>* header.subjectContact.contactPoint.preferredHP -&gt; ##34#TBD##34#</v>
      </c>
    </row>
    <row r="24" spans="1:5" x14ac:dyDescent="0.75">
      <c r="B24" s="11" t="str">
        <f>HospitalDischargeReport!B22</f>
        <v>header.subjectContact.contactPoint.preferredHP.identifier</v>
      </c>
      <c r="C24" s="11" t="s">
        <v>94</v>
      </c>
      <c r="E24" s="12" t="str">
        <f t="shared" si="0"/>
        <v>* header.subjectContact.contactPoint.preferredHP.identifier -&gt; ##34#TBD##34#</v>
      </c>
    </row>
    <row r="25" spans="1:5" x14ac:dyDescent="0.75">
      <c r="B25" s="11" t="str">
        <f>HospitalDischargeReport!B23</f>
        <v>header.subjectContact.contactPoint.preferredHP.name</v>
      </c>
      <c r="C25" s="11" t="s">
        <v>94</v>
      </c>
      <c r="E25" s="12" t="str">
        <f t="shared" si="0"/>
        <v>* header.subjectContact.contactPoint.preferredHP.name -&gt; ##34#TBD##34#</v>
      </c>
    </row>
    <row r="26" spans="1:5" x14ac:dyDescent="0.75">
      <c r="B26" s="11" t="str">
        <f>HospitalDischargeReport!B24</f>
        <v>header.subjectContact.contactPoint.preferredHP.role</v>
      </c>
      <c r="C26" s="11" t="s">
        <v>94</v>
      </c>
      <c r="E26" s="12" t="str">
        <f t="shared" si="0"/>
        <v>* header.subjectContact.contactPoint.preferredHP.role -&gt; ##34#TBD##34#</v>
      </c>
    </row>
    <row r="27" spans="1:5" x14ac:dyDescent="0.75">
      <c r="B27" s="11" t="str">
        <f>HospitalDischargeReport!B25</f>
        <v>header.subjectContact.contactPoint.preferredHP.organization</v>
      </c>
      <c r="C27" s="11" t="s">
        <v>94</v>
      </c>
      <c r="E27" s="12" t="str">
        <f t="shared" si="0"/>
        <v>* header.subjectContact.contactPoint.preferredHP.organization -&gt; ##34#TBD##34#</v>
      </c>
    </row>
    <row r="28" spans="1:5" x14ac:dyDescent="0.75">
      <c r="B28" s="11" t="str">
        <f>HospitalDischargeReport!B26</f>
        <v>header.subjectContact.contactPoint.preferredHP.address</v>
      </c>
      <c r="C28" s="11" t="s">
        <v>94</v>
      </c>
      <c r="E28" s="12" t="str">
        <f t="shared" si="0"/>
        <v>* header.subjectContact.contactPoint.preferredHP.address -&gt; ##34#TBD##34#</v>
      </c>
    </row>
    <row r="29" spans="1:5" x14ac:dyDescent="0.75">
      <c r="B29" s="11" t="str">
        <f>HospitalDischargeReport!B27</f>
        <v>header.subjectContact.contactPoint.preferredHP.telecom</v>
      </c>
      <c r="C29" s="11" t="s">
        <v>94</v>
      </c>
      <c r="E29" s="12" t="str">
        <f t="shared" si="0"/>
        <v>* header.subjectContact.contactPoint.preferredHP.telecom -&gt; ##34#TBD##34#</v>
      </c>
    </row>
    <row r="30" spans="1:5" x14ac:dyDescent="0.75">
      <c r="B30" s="11" t="str">
        <f>HospitalDischargeReport!B28</f>
        <v>header.subjectContact.contactPoint.person</v>
      </c>
      <c r="C30" s="11" t="s">
        <v>94</v>
      </c>
      <c r="E30" s="12" t="str">
        <f t="shared" si="0"/>
        <v>* header.subjectContact.contactPoint.person -&gt; ##34#TBD##34#</v>
      </c>
    </row>
    <row r="31" spans="1:5" x14ac:dyDescent="0.75">
      <c r="B31" s="11" t="str">
        <f>HospitalDischargeReport!B29</f>
        <v>header.subjectContact.contactPoint.person.role</v>
      </c>
      <c r="C31" s="11" t="s">
        <v>94</v>
      </c>
      <c r="E31" s="12" t="str">
        <f t="shared" si="0"/>
        <v>* header.subjectContact.contactPoint.person.role -&gt; ##34#TBD##34#</v>
      </c>
    </row>
    <row r="32" spans="1:5" x14ac:dyDescent="0.75">
      <c r="B32" s="11" t="str">
        <f>HospitalDischargeReport!B30</f>
        <v>header.subjectContact.contactPoint.person.relationship</v>
      </c>
      <c r="C32" s="11" t="s">
        <v>94</v>
      </c>
      <c r="E32" s="12" t="str">
        <f t="shared" si="0"/>
        <v>* header.subjectContact.contactPoint.person.relationship -&gt; ##34#TBD##34#</v>
      </c>
    </row>
    <row r="33" spans="2:5" x14ac:dyDescent="0.75">
      <c r="B33" s="11" t="str">
        <f>HospitalDischargeReport!B31</f>
        <v>header.subjectContact.contactPoint.person.identifier</v>
      </c>
      <c r="C33" s="11" t="s">
        <v>94</v>
      </c>
      <c r="E33" s="12" t="str">
        <f t="shared" si="0"/>
        <v>* header.subjectContact.contactPoint.person.identifier -&gt; ##34#TBD##34#</v>
      </c>
    </row>
    <row r="34" spans="2:5" x14ac:dyDescent="0.75">
      <c r="B34" s="11" t="str">
        <f>HospitalDischargeReport!B32</f>
        <v>header.subjectContact.contactPoint.person.given</v>
      </c>
      <c r="C34" s="11" t="s">
        <v>94</v>
      </c>
      <c r="E34" s="12" t="str">
        <f t="shared" si="0"/>
        <v>* header.subjectContact.contactPoint.person.given -&gt; ##34#TBD##34#</v>
      </c>
    </row>
    <row r="35" spans="2:5" x14ac:dyDescent="0.75">
      <c r="B35" s="11" t="str">
        <f>HospitalDischargeReport!B33</f>
        <v>header.subjectContact.contactPoint.person.name</v>
      </c>
      <c r="C35" s="11" t="s">
        <v>94</v>
      </c>
      <c r="E35" s="12" t="str">
        <f t="shared" si="0"/>
        <v>* header.subjectContact.contactPoint.person.name -&gt; ##34#TBD##34#</v>
      </c>
    </row>
    <row r="36" spans="2:5" x14ac:dyDescent="0.75">
      <c r="B36" s="11" t="str">
        <f>HospitalDischargeReport!B34</f>
        <v>header.subjectContact.contactPoint.person.address</v>
      </c>
      <c r="C36" s="11" t="s">
        <v>94</v>
      </c>
      <c r="E36" s="12" t="str">
        <f t="shared" si="0"/>
        <v>* header.subjectContact.contactPoint.person.address -&gt; ##34#TBD##34#</v>
      </c>
    </row>
    <row r="37" spans="2:5" x14ac:dyDescent="0.75">
      <c r="B37" s="11" t="str">
        <f>HospitalDischargeReport!B35</f>
        <v>header.subjectContact.contactPoint.person.telecom</v>
      </c>
      <c r="C37" s="11" t="s">
        <v>94</v>
      </c>
      <c r="E37" s="12" t="str">
        <f t="shared" si="0"/>
        <v>* header.subjectContact.contactPoint.person.telecom -&gt; ##34#TBD##34#</v>
      </c>
    </row>
    <row r="38" spans="2:5" x14ac:dyDescent="0.75">
      <c r="B38" s="11" t="str">
        <f>HospitalDischargeReport!B36</f>
        <v>header.payer</v>
      </c>
      <c r="C38" s="11" t="s">
        <v>94</v>
      </c>
      <c r="E38" s="12" t="str">
        <f t="shared" si="0"/>
        <v>* header.payer -&gt; ##34#TBD##34#</v>
      </c>
    </row>
    <row r="39" spans="2:5" x14ac:dyDescent="0.75">
      <c r="B39" s="11" t="str">
        <f>HospitalDischargeReport!B37</f>
        <v>header.payer.insuranceCode</v>
      </c>
      <c r="C39" s="11" t="s">
        <v>94</v>
      </c>
      <c r="E39" s="12" t="str">
        <f t="shared" si="0"/>
        <v>* header.payer.insuranceCode -&gt; ##34#TBD##34#</v>
      </c>
    </row>
    <row r="40" spans="2:5" x14ac:dyDescent="0.75">
      <c r="B40" s="11" t="str">
        <f>HospitalDischargeReport!B38</f>
        <v>header.payer.insuranceName</v>
      </c>
      <c r="C40" s="11" t="s">
        <v>94</v>
      </c>
      <c r="E40" s="12" t="str">
        <f t="shared" si="0"/>
        <v>* header.payer.insuranceName -&gt; ##34#TBD##34#</v>
      </c>
    </row>
    <row r="41" spans="2:5" x14ac:dyDescent="0.75">
      <c r="B41" s="11" t="str">
        <f>HospitalDischargeReport!B39</f>
        <v>header.payer.insuranceNumber</v>
      </c>
      <c r="C41" s="11" t="s">
        <v>94</v>
      </c>
      <c r="E41" s="12" t="str">
        <f t="shared" si="0"/>
        <v>* header.payer.insuranceNumber -&gt; ##34#TBD##34#</v>
      </c>
    </row>
    <row r="42" spans="2:5" x14ac:dyDescent="0.75">
      <c r="B42" s="11" t="str">
        <f>HospitalDischargeReport!B40</f>
        <v>header.informationRecipient</v>
      </c>
      <c r="C42" s="11" t="s">
        <v>94</v>
      </c>
      <c r="E42" s="12" t="str">
        <f t="shared" si="0"/>
        <v>* header.informationRecipient -&gt; ##34#TBD##34#</v>
      </c>
    </row>
    <row r="43" spans="2:5" x14ac:dyDescent="0.75">
      <c r="B43" s="11" t="str">
        <f>HospitalDischargeReport!B41</f>
        <v>header.informationRecipient.identifier</v>
      </c>
      <c r="C43" s="11" t="s">
        <v>94</v>
      </c>
      <c r="E43" s="12" t="str">
        <f t="shared" si="0"/>
        <v>* header.informationRecipient.identifier -&gt; ##34#TBD##34#</v>
      </c>
    </row>
    <row r="44" spans="2:5" x14ac:dyDescent="0.75">
      <c r="B44" s="11" t="str">
        <f>HospitalDischargeReport!B42</f>
        <v>header.informationRecipient.name</v>
      </c>
      <c r="C44" s="11" t="s">
        <v>94</v>
      </c>
      <c r="E44" s="12" t="str">
        <f t="shared" si="0"/>
        <v>* header.informationRecipient.name -&gt; ##34#TBD##34#</v>
      </c>
    </row>
    <row r="45" spans="2:5" x14ac:dyDescent="0.75">
      <c r="B45" s="11" t="str">
        <f>HospitalDischargeReport!B43</f>
        <v>header.informationRecipient.organizationID</v>
      </c>
      <c r="C45" s="11" t="s">
        <v>94</v>
      </c>
      <c r="E45" s="12" t="str">
        <f t="shared" si="0"/>
        <v>* header.informationRecipient.organizationID -&gt; ##34#TBD##34#</v>
      </c>
    </row>
    <row r="46" spans="2:5" x14ac:dyDescent="0.75">
      <c r="B46" s="11" t="str">
        <f>HospitalDischargeReport!B44</f>
        <v>header.informationRecipient.organization</v>
      </c>
      <c r="C46" s="11" t="s">
        <v>94</v>
      </c>
      <c r="E46" s="12" t="str">
        <f t="shared" si="0"/>
        <v>* header.informationRecipient.organization -&gt; ##34#TBD##34#</v>
      </c>
    </row>
    <row r="47" spans="2:5" x14ac:dyDescent="0.75">
      <c r="B47" s="11" t="str">
        <f>HospitalDischargeReport!B45</f>
        <v>header.author</v>
      </c>
      <c r="C47" s="11" t="s">
        <v>94</v>
      </c>
      <c r="E47" s="12" t="str">
        <f t="shared" si="0"/>
        <v>* header.author -&gt; ##34#TBD##34#</v>
      </c>
    </row>
    <row r="48" spans="2:5" x14ac:dyDescent="0.75">
      <c r="B48" s="11" t="str">
        <f>HospitalDischargeReport!B46</f>
        <v>header.author.identifier</v>
      </c>
      <c r="C48" s="11" t="s">
        <v>94</v>
      </c>
      <c r="E48" s="12" t="str">
        <f t="shared" si="0"/>
        <v>* header.author.identifier -&gt; ##34#TBD##34#</v>
      </c>
    </row>
    <row r="49" spans="2:5" x14ac:dyDescent="0.75">
      <c r="B49" s="11" t="str">
        <f>HospitalDischargeReport!B47</f>
        <v>header.author.name</v>
      </c>
      <c r="C49" s="11" t="s">
        <v>94</v>
      </c>
      <c r="E49" s="12" t="str">
        <f t="shared" si="0"/>
        <v>* header.author.name -&gt; ##34#TBD##34#</v>
      </c>
    </row>
    <row r="50" spans="2:5" x14ac:dyDescent="0.75">
      <c r="B50" s="11" t="str">
        <f>HospitalDischargeReport!B48</f>
        <v>header.author.organizationID</v>
      </c>
      <c r="C50" s="11" t="s">
        <v>94</v>
      </c>
      <c r="E50" s="12" t="str">
        <f t="shared" si="0"/>
        <v>* header.author.organizationID -&gt; ##34#TBD##34#</v>
      </c>
    </row>
    <row r="51" spans="2:5" x14ac:dyDescent="0.75">
      <c r="B51" s="11" t="str">
        <f>HospitalDischargeReport!B49</f>
        <v>header.author.organization</v>
      </c>
      <c r="C51" s="11" t="s">
        <v>94</v>
      </c>
      <c r="E51" s="12" t="str">
        <f t="shared" si="0"/>
        <v>* header.author.organization -&gt; ##34#TBD##34#</v>
      </c>
    </row>
    <row r="52" spans="2:5" x14ac:dyDescent="0.75">
      <c r="B52" s="11" t="str">
        <f>HospitalDischargeReport!B50</f>
        <v>header.author.dateTime</v>
      </c>
      <c r="C52" s="11" t="s">
        <v>94</v>
      </c>
      <c r="E52" s="12" t="str">
        <f t="shared" si="0"/>
        <v>* header.author.dateTime -&gt; ##34#TBD##34#</v>
      </c>
    </row>
    <row r="53" spans="2:5" x14ac:dyDescent="0.75">
      <c r="B53" s="11" t="str">
        <f>HospitalDischargeReport!B51</f>
        <v>header.attester</v>
      </c>
      <c r="C53" s="11" t="s">
        <v>94</v>
      </c>
      <c r="E53" s="12" t="str">
        <f t="shared" si="0"/>
        <v>* header.attester -&gt; ##34#TBD##34#</v>
      </c>
    </row>
    <row r="54" spans="2:5" x14ac:dyDescent="0.75">
      <c r="B54" s="11" t="str">
        <f>HospitalDischargeReport!B52</f>
        <v>header.attester.identifier</v>
      </c>
      <c r="C54" s="11" t="s">
        <v>94</v>
      </c>
      <c r="E54" s="12" t="str">
        <f t="shared" si="0"/>
        <v>* header.attester.identifier -&gt; ##34#TBD##34#</v>
      </c>
    </row>
    <row r="55" spans="2:5" x14ac:dyDescent="0.75">
      <c r="B55" s="11" t="str">
        <f>HospitalDischargeReport!B53</f>
        <v>header.attester.name</v>
      </c>
      <c r="C55" s="11" t="s">
        <v>94</v>
      </c>
      <c r="E55" s="12" t="str">
        <f t="shared" si="0"/>
        <v>* header.attester.name -&gt; ##34#TBD##34#</v>
      </c>
    </row>
    <row r="56" spans="2:5" x14ac:dyDescent="0.75">
      <c r="B56" s="11" t="str">
        <f>HospitalDischargeReport!B54</f>
        <v>header.attester.organizationID</v>
      </c>
      <c r="C56" s="11" t="s">
        <v>94</v>
      </c>
      <c r="E56" s="12" t="str">
        <f t="shared" si="0"/>
        <v>* header.attester.organizationID -&gt; ##34#TBD##34#</v>
      </c>
    </row>
    <row r="57" spans="2:5" x14ac:dyDescent="0.75">
      <c r="B57" s="11" t="str">
        <f>HospitalDischargeReport!B55</f>
        <v>header.attester.organization</v>
      </c>
      <c r="C57" s="11" t="s">
        <v>94</v>
      </c>
      <c r="E57" s="12" t="str">
        <f t="shared" si="0"/>
        <v>* header.attester.organization -&gt; ##34#TBD##34#</v>
      </c>
    </row>
    <row r="58" spans="2:5" x14ac:dyDescent="0.75">
      <c r="B58" s="11" t="str">
        <f>HospitalDischargeReport!B56</f>
        <v>header.attester.dateTime</v>
      </c>
      <c r="C58" s="11" t="s">
        <v>94</v>
      </c>
      <c r="E58" s="12" t="str">
        <f t="shared" si="0"/>
        <v>* header.attester.dateTime -&gt; ##34#TBD##34#</v>
      </c>
    </row>
    <row r="59" spans="2:5" x14ac:dyDescent="0.75">
      <c r="B59" s="11" t="str">
        <f>HospitalDischargeReport!B57</f>
        <v>header.legalAuthenticator</v>
      </c>
      <c r="C59" s="11" t="s">
        <v>94</v>
      </c>
      <c r="E59" s="12" t="str">
        <f t="shared" si="0"/>
        <v>* header.legalAuthenticator -&gt; ##34#TBD##34#</v>
      </c>
    </row>
    <row r="60" spans="2:5" x14ac:dyDescent="0.75">
      <c r="B60" s="11" t="str">
        <f>HospitalDischargeReport!B58</f>
        <v>header.legalAuthenticator.identifier</v>
      </c>
      <c r="C60" s="11" t="s">
        <v>94</v>
      </c>
      <c r="E60" s="12" t="str">
        <f t="shared" si="0"/>
        <v>* header.legalAuthenticator.identifier -&gt; ##34#TBD##34#</v>
      </c>
    </row>
    <row r="61" spans="2:5" x14ac:dyDescent="0.75">
      <c r="B61" s="11" t="str">
        <f>HospitalDischargeReport!B59</f>
        <v>header.legalAuthenticator.name</v>
      </c>
      <c r="C61" s="11" t="s">
        <v>94</v>
      </c>
      <c r="E61" s="12" t="str">
        <f t="shared" si="0"/>
        <v>* header.legalAuthenticator.name -&gt; ##34#TBD##34#</v>
      </c>
    </row>
    <row r="62" spans="2:5" x14ac:dyDescent="0.75">
      <c r="B62" s="11" t="str">
        <f>HospitalDischargeReport!B60</f>
        <v>header.legalAuthenticator.organizationID</v>
      </c>
      <c r="C62" s="11" t="s">
        <v>94</v>
      </c>
      <c r="E62" s="12" t="str">
        <f t="shared" si="0"/>
        <v>* header.legalAuthenticator.organizationID -&gt; ##34#TBD##34#</v>
      </c>
    </row>
    <row r="63" spans="2:5" x14ac:dyDescent="0.75">
      <c r="B63" s="11" t="str">
        <f>HospitalDischargeReport!B61</f>
        <v>header.legalAuthenticator.organization</v>
      </c>
      <c r="C63" s="11" t="s">
        <v>94</v>
      </c>
      <c r="E63" s="12" t="str">
        <f t="shared" si="0"/>
        <v>* header.legalAuthenticator.organization -&gt; ##34#TBD##34#</v>
      </c>
    </row>
    <row r="64" spans="2:5" x14ac:dyDescent="0.75">
      <c r="B64" s="11" t="str">
        <f>HospitalDischargeReport!B62</f>
        <v>header.legalAuthenticator.dateTime</v>
      </c>
      <c r="C64" s="11" t="s">
        <v>94</v>
      </c>
      <c r="E64" s="12" t="str">
        <f t="shared" si="0"/>
        <v>* header.legalAuthenticator.dateTime -&gt; ##34#TBD##34#</v>
      </c>
    </row>
    <row r="65" spans="2:5" x14ac:dyDescent="0.75">
      <c r="B65" s="11" t="str">
        <f>HospitalDischargeReport!B63</f>
        <v>header.documentMetadata</v>
      </c>
      <c r="C65" s="11" t="s">
        <v>94</v>
      </c>
      <c r="E65" s="12" t="str">
        <f t="shared" si="0"/>
        <v>* header.documentMetadata -&gt; ##34#TBD##34#</v>
      </c>
    </row>
    <row r="66" spans="2:5" x14ac:dyDescent="0.75">
      <c r="B66" s="11" t="str">
        <f>HospitalDischargeReport!B64</f>
        <v>header.documentMetadata.identifier</v>
      </c>
      <c r="C66" s="11" t="s">
        <v>94</v>
      </c>
      <c r="E66" s="12" t="str">
        <f t="shared" si="0"/>
        <v>* header.documentMetadata.identifier -&gt; ##34#TBD##34#</v>
      </c>
    </row>
    <row r="67" spans="2:5" x14ac:dyDescent="0.75">
      <c r="B67" s="11" t="str">
        <f>HospitalDischargeReport!B65</f>
        <v>header.documentMetadata.type</v>
      </c>
      <c r="C67" s="11" t="s">
        <v>94</v>
      </c>
      <c r="E67" s="12" t="str">
        <f t="shared" si="0"/>
        <v>* header.documentMetadata.type -&gt; ##34#TBD##34#</v>
      </c>
    </row>
    <row r="68" spans="2:5" x14ac:dyDescent="0.75">
      <c r="B68" s="11" t="str">
        <f>HospitalDischargeReport!B66</f>
        <v>header.documentMetadata.status</v>
      </c>
      <c r="C68" s="11" t="s">
        <v>94</v>
      </c>
      <c r="E68" s="12" t="str">
        <f t="shared" si="0"/>
        <v>* header.documentMetadata.status -&gt; ##34#TBD##34#</v>
      </c>
    </row>
    <row r="69" spans="2:5" x14ac:dyDescent="0.75">
      <c r="B69" s="11" t="str">
        <f>HospitalDischargeReport!B67</f>
        <v>header.documentMetadata.dateTime</v>
      </c>
      <c r="C69" s="11" t="s">
        <v>94</v>
      </c>
      <c r="E69" s="12" t="str">
        <f t="shared" si="0"/>
        <v>* header.documentMetadata.dateTime -&gt; ##34#TBD##34#</v>
      </c>
    </row>
    <row r="70" spans="2:5" x14ac:dyDescent="0.75">
      <c r="B70" s="11" t="str">
        <f>HospitalDischargeReport!B68</f>
        <v>header.documentMetadata.title</v>
      </c>
      <c r="C70" s="11" t="s">
        <v>94</v>
      </c>
      <c r="E70" s="12" t="str">
        <f t="shared" si="0"/>
        <v>* header.documentMetadata.title -&gt; ##34#TBD##34#</v>
      </c>
    </row>
    <row r="71" spans="2:5" x14ac:dyDescent="0.75">
      <c r="B71" s="11" t="str">
        <f>HospitalDischargeReport!B69</f>
        <v>header.documentMetadata.custodian</v>
      </c>
      <c r="C71" s="11" t="s">
        <v>94</v>
      </c>
      <c r="E71" s="12" t="str">
        <f t="shared" si="0"/>
        <v>* header.documentMetadata.custodian -&gt; ##34#TBD##34#</v>
      </c>
    </row>
    <row r="72" spans="2:5" x14ac:dyDescent="0.75">
      <c r="B72" s="11" t="str">
        <f>HospitalDischargeReport!B70</f>
        <v>header.documentMetadata.confidentiality</v>
      </c>
      <c r="C72" s="11" t="s">
        <v>94</v>
      </c>
      <c r="E72" s="12" t="str">
        <f t="shared" si="0"/>
        <v>* header.documentMetadata.confidentiality -&gt; ##34#TBD##34#</v>
      </c>
    </row>
    <row r="73" spans="2:5" x14ac:dyDescent="0.75">
      <c r="B73" s="11" t="str">
        <f>HospitalDischargeReport!B71</f>
        <v>header.documentMetadata.language</v>
      </c>
      <c r="C73" s="11" t="s">
        <v>94</v>
      </c>
      <c r="E73" s="12" t="str">
        <f t="shared" si="0"/>
        <v>* header.documentMetadata.language -&gt; ##34#TBD##34#</v>
      </c>
    </row>
    <row r="74" spans="2:5" x14ac:dyDescent="0.75">
      <c r="B74" s="11" t="str">
        <f>HospitalDischargeReport!B72</f>
        <v>header.documentMetadata.version</v>
      </c>
      <c r="C74" s="11" t="s">
        <v>94</v>
      </c>
      <c r="E74" s="12" t="str">
        <f t="shared" ref="E74:E90" si="1">IF(B74=0,"*  -&gt; ##34###34#",CONCATENATE("* ",B74," -&gt; ##34#",C74,"##34#"))</f>
        <v>* header.documentMetadata.version -&gt; ##34#TBD##34#</v>
      </c>
    </row>
    <row r="75" spans="2:5" x14ac:dyDescent="0.75">
      <c r="B75" s="11" t="str">
        <f>HospitalDischargeReport!B73</f>
        <v>header.digitalSignature</v>
      </c>
      <c r="C75" s="11" t="s">
        <v>94</v>
      </c>
      <c r="E75" s="12" t="str">
        <f t="shared" si="1"/>
        <v>* header.digitalSignature -&gt; ##34#TBD##34#</v>
      </c>
    </row>
    <row r="76" spans="2:5" x14ac:dyDescent="0.75">
      <c r="B76" s="11" t="str">
        <f>HospitalDischargeReport!B74</f>
        <v>header.digitalSignature.signature</v>
      </c>
      <c r="C76" s="11" t="s">
        <v>94</v>
      </c>
      <c r="E76" s="12" t="str">
        <f t="shared" si="1"/>
        <v>* header.digitalSignature.signature -&gt; ##34#TBD##34#</v>
      </c>
    </row>
    <row r="77" spans="2:5" x14ac:dyDescent="0.75">
      <c r="B77" s="11" t="str">
        <f>HospitalDischargeReport!B75</f>
        <v>header.digitalSignature.timeStamp</v>
      </c>
      <c r="C77" s="11" t="s">
        <v>94</v>
      </c>
      <c r="E77" s="12" t="str">
        <f t="shared" si="1"/>
        <v>* header.digitalSignature.timeStamp -&gt; ##34#TBD##34#</v>
      </c>
    </row>
    <row r="78" spans="2:5" x14ac:dyDescent="0.75">
      <c r="B78" s="11" t="str">
        <f>HospitalDischargeReport!B76</f>
        <v>body</v>
      </c>
      <c r="C78" s="11" t="s">
        <v>94</v>
      </c>
      <c r="E78" s="12" t="str">
        <f t="shared" si="1"/>
        <v>* body -&gt; ##34#TBD##34#</v>
      </c>
    </row>
    <row r="79" spans="2:5" x14ac:dyDescent="0.75">
      <c r="B79" s="11" t="str">
        <f>HospitalDischargeReport!B77</f>
        <v>body.advanceDirectives</v>
      </c>
      <c r="C79" s="11" t="s">
        <v>94</v>
      </c>
      <c r="E79" s="12" t="str">
        <f t="shared" si="1"/>
        <v>* body.advanceDirectives -&gt; ##34#TBD##34#</v>
      </c>
    </row>
    <row r="80" spans="2:5" x14ac:dyDescent="0.75">
      <c r="B80" s="11" t="str">
        <f>HospitalDischargeReport!B78</f>
        <v>body.emergencyInfos</v>
      </c>
      <c r="C80" s="11" t="s">
        <v>94</v>
      </c>
      <c r="E80" s="12" t="str">
        <f t="shared" si="1"/>
        <v>* body.emergencyInfos -&gt; ##34#TBD##34#</v>
      </c>
    </row>
    <row r="81" spans="2:5" x14ac:dyDescent="0.75">
      <c r="B81" s="11" t="str">
        <f>HospitalDischargeReport!B79</f>
        <v>body.encounter</v>
      </c>
      <c r="C81" s="11" t="s">
        <v>94</v>
      </c>
      <c r="E81" s="12" t="str">
        <f t="shared" si="1"/>
        <v>* body.encounter -&gt; ##34#TBD##34#</v>
      </c>
    </row>
    <row r="82" spans="2:5" x14ac:dyDescent="0.75">
      <c r="B82" s="11" t="str">
        <f>HospitalDischargeReport!B80</f>
        <v>body.admissionEvaluation</v>
      </c>
      <c r="C82" s="11" t="s">
        <v>94</v>
      </c>
      <c r="E82" s="12" t="str">
        <f t="shared" si="1"/>
        <v>* body.admissionEvaluation -&gt; ##34#TBD##34#</v>
      </c>
    </row>
    <row r="83" spans="2:5" x14ac:dyDescent="0.75">
      <c r="B83" s="11" t="str">
        <f>HospitalDischargeReport!B81</f>
        <v>body.patientHistory</v>
      </c>
      <c r="C83" s="11" t="s">
        <v>94</v>
      </c>
      <c r="E83" s="12" t="str">
        <f t="shared" si="1"/>
        <v>* body.patientHistory -&gt; ##34#TBD##34#</v>
      </c>
    </row>
    <row r="84" spans="2:5" x14ac:dyDescent="0.75">
      <c r="B84" s="11" t="str">
        <f>HospitalDischargeReport!B82</f>
        <v>body.hospitalStay</v>
      </c>
      <c r="C84" s="11" t="s">
        <v>94</v>
      </c>
      <c r="E84" s="12" t="str">
        <f t="shared" si="1"/>
        <v>* body.hospitalStay -&gt; ##34#TBD##34#</v>
      </c>
    </row>
    <row r="85" spans="2:5" x14ac:dyDescent="0.75">
      <c r="B85" s="11" t="str">
        <f>HospitalDischargeReport!B83</f>
        <v>body.dischargeDetails</v>
      </c>
      <c r="C85" s="11" t="s">
        <v>94</v>
      </c>
      <c r="E85" s="12" t="str">
        <f t="shared" si="1"/>
        <v>* body.dischargeDetails -&gt; ##34#TBD##34#</v>
      </c>
    </row>
    <row r="86" spans="2:5" x14ac:dyDescent="0.75">
      <c r="B86" s="11" t="str">
        <f>HospitalDischargeReport!B84</f>
        <v>body.recommendations</v>
      </c>
      <c r="C86" s="11" t="s">
        <v>94</v>
      </c>
      <c r="E86" s="12" t="str">
        <f t="shared" si="1"/>
        <v>* body.recommendations -&gt; ##34#TBD##34#</v>
      </c>
    </row>
    <row r="87" spans="2:5" x14ac:dyDescent="0.75">
      <c r="B87" s="11"/>
      <c r="E87" s="12" t="str">
        <f t="shared" si="1"/>
        <v>*  -&gt; ##34###34#</v>
      </c>
    </row>
    <row r="88" spans="2:5" x14ac:dyDescent="0.75">
      <c r="B88" s="11"/>
      <c r="E88" s="12" t="str">
        <f t="shared" si="1"/>
        <v>*  -&gt; ##34###34#</v>
      </c>
    </row>
    <row r="89" spans="2:5" x14ac:dyDescent="0.75">
      <c r="B89" s="11"/>
      <c r="E89" s="12" t="str">
        <f t="shared" si="1"/>
        <v>*  -&gt; ##34###34#</v>
      </c>
    </row>
    <row r="90" spans="2:5" x14ac:dyDescent="0.75">
      <c r="B90" s="11"/>
      <c r="E90" s="12" t="str">
        <f t="shared" si="1"/>
        <v>*  -&gt; ##34###34#</v>
      </c>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row r="97" spans="2:2" x14ac:dyDescent="0.75">
      <c r="B97" s="11"/>
    </row>
    <row r="98" spans="2:2" x14ac:dyDescent="0.75">
      <c r="B98" s="11"/>
    </row>
    <row r="99" spans="2:2" x14ac:dyDescent="0.75">
      <c r="B99"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D105-0B43-4F6F-A013-8D74590B3D40}">
  <sheetPr codeName="Foglio19">
    <tabColor theme="8" tint="-0.249977111117893"/>
  </sheetPr>
  <dimension ref="C1:G269"/>
  <sheetViews>
    <sheetView tabSelected="1" workbookViewId="0">
      <selection activeCell="D35" sqref="D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HospitalDischargeReport!J1</f>
        <v>//===================================================</v>
      </c>
    </row>
    <row r="2" spans="3:7" ht="16.75" thickBot="1" x14ac:dyDescent="0.9">
      <c r="C2" s="24" t="str">
        <f>HospitalDischargeReport!J2</f>
        <v>//  Logical Model</v>
      </c>
      <c r="G2" s="29" t="s">
        <v>1136</v>
      </c>
    </row>
    <row r="3" spans="3:7" x14ac:dyDescent="0.75">
      <c r="C3" s="24" t="str">
        <f>HospitalDischargeReport!J3</f>
        <v>//===================================================</v>
      </c>
    </row>
    <row r="4" spans="3:7" x14ac:dyDescent="0.75">
      <c r="C4" s="16" t="str">
        <f>HospitalDischargeReport!J4</f>
        <v>Logical: HospitalDischargeReportEHN</v>
      </c>
    </row>
    <row r="5" spans="3:7" x14ac:dyDescent="0.75">
      <c r="C5" s="16" t="str">
        <f>HospitalDischargeReport!J5</f>
        <v>Id: HospitalDischargeReport</v>
      </c>
    </row>
    <row r="6" spans="3:7" x14ac:dyDescent="0.75">
      <c r="C6" s="16" t="str">
        <f>HospitalDischargeReport!J6</f>
        <v>Title: ##34#A - Hospital Discharge Report (eHN)##34#</v>
      </c>
    </row>
    <row r="7" spans="3:7" ht="29.5" x14ac:dyDescent="0.75">
      <c r="C7" s="16" t="str">
        <f>HospitalDischargeReport!J7</f>
        <v>Description:  ##334#Hospital Discharge Report
Maturity Level: 0 Draft##334#</v>
      </c>
    </row>
    <row r="8" spans="3:7" ht="29.5" x14ac:dyDescent="0.75">
      <c r="C8" s="12" t="str">
        <f>IF(HospitalDischargeReport!J8="*  ..  ##34###34# ##334###334#","//--- END",HospitalDischargeReport!J8)</f>
        <v>* header 1..1 BackboneElement ##34#A.1 - Report header data element [Mandatory]##34# ##334#A.1-Report header data element [Mandatory]##334#</v>
      </c>
    </row>
    <row r="9" spans="3:7" x14ac:dyDescent="0.75">
      <c r="C9" s="12" t="str">
        <f>IF(HospitalDischargeReport!J9="*  ..  ##34###34# ##334###334#","//--- END",HospitalDischargeReport!J9)</f>
        <v>* header.subjectIdentification 1..1 BackboneElement ##34#A.1.1 - Identification of the patient/subject [Mandatory]##34# ##334#A.1.1-Identification of the patient/subject [Mandatory]##334#</v>
      </c>
    </row>
    <row r="10" spans="3:7" ht="29.5" x14ac:dyDescent="0.75">
      <c r="C10" s="12" t="str">
        <f>IF(HospitalDischargeReport!J10="*  ..  ##34###34# ##334###334#","//--- END",HospitalDischargeReport!J10)</f>
        <v>* header.subjectIdentification.given 1..* string ##34#A.1.1.1 - Given name [Mandatory]##34# ##334#The given name/first name of the patient (also known as forename or first name). This field can contain more than one element.  ##334#</v>
      </c>
    </row>
    <row r="11" spans="3:7" ht="29.5" x14ac:dyDescent="0.75">
      <c r="C11" s="12" t="str">
        <f>IF(HospitalDischargeReport!J11="*  ..  ##34###34# ##334###334#","//--- END",HospitalDischargeReport!J11)</f>
        <v>* header.subjectIdentification.family 1..* string ##34#A.1.1.2 - Family name/surname [Mandatory]##34# ##334#The family name/surname/last name of the patient. This field can contain more than one element or multiple fields could be present. ##334#</v>
      </c>
    </row>
    <row r="12" spans="3:7" ht="29.5" x14ac:dyDescent="0.75">
      <c r="C12" s="12" t="str">
        <f>IF(HospitalDischargeReport!J12="*  ..  ##34###34# ##334###334#","//--- END",HospitalDischargeReport!J12)</f>
        <v>* header.subjectIdentification.birthDate 1..1 dateTime ##34#A.1.1.3 - 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IF(HospitalDischargeReport!J13="*  ..  ##34###34# ##334###334#","//--- END",HospitalDischargeReport!J13)</f>
        <v>* header.subjectIdentification.identifier 1..* Identifier ##34#A.1.1.4 - 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IF(HospitalDischargeReport!J14="*  ..  ##34###34# ##334###334#","//--- END",HospitalDischargeReport!J14)</f>
        <v>* header.subjectIdentification.nationality 0..* CodeableConcept ##34#A.1.1.5 - Nationality [Required]##34# ##334#Nationality of the patient.##334#</v>
      </c>
    </row>
    <row r="15" spans="3:7" ht="29.5" x14ac:dyDescent="0.75">
      <c r="C15" s="12" t="str">
        <f>IF(HospitalDischargeReport!J15="*  ..  ##34###34# ##334###334#","//--- END",HospitalDischargeReport!J15)</f>
        <v>* header.subjectIdentification.gender 1..1 CodeableConcept ##34#A.1.1.6 - Gender [Mandatory]##34# ##334#This field must contain a recognised valid value for 'administrative gender'. If different, 'physiological gender' should be communicated elsewhere.##334#</v>
      </c>
    </row>
    <row r="16" spans="3:7" ht="29.5" x14ac:dyDescent="0.75">
      <c r="C16" s="12" t="str">
        <f>IF(HospitalDischargeReport!J16="*  ..  ##34###34# ##334###334#","//--- END",HospitalDischargeReport!J16)</f>
        <v>* header.subjectIdentification.language 0..* CodeableConcept ##34#A.1.1.7 - Language communication [Optional]##34# ##334#Patient communication language. Multiple communication languages might be provided.  ##334#</v>
      </c>
    </row>
    <row r="17" spans="3:3" ht="29.5" x14ac:dyDescent="0.75">
      <c r="C17" s="12" t="str">
        <f>IF(HospitalDischargeReport!J17="*  ..  ##34###34# ##334###334#","//--- END",HospitalDischargeReport!J17)</f>
        <v>* header.subjectContact 0..1 BackboneElement ##34#A.1.2 - Patient/subject related contact information [Required]##34# ##334#A.1.2-Patient/subject related contact information [Required]##334#</v>
      </c>
    </row>
    <row r="18" spans="3:3" ht="29.5" x14ac:dyDescent="0.75">
      <c r="C18" s="12" t="str">
        <f>IF(HospitalDischargeReport!J18="*  ..  ##34###34# ##334###334#","//--- END",HospitalDischargeReport!J18)</f>
        <v>* header.subjectContact.contactPoint 0..* BackboneElement ##34#A.1.2.1 - Patient address []##34# ##334#A.1.2.1-Patient address []##334#</v>
      </c>
    </row>
    <row r="19" spans="3:3" ht="29.5" x14ac:dyDescent="0.75">
      <c r="C19" s="12" t="str">
        <f>IF(HospitalDischargeReport!J19="*  ..  ##34###34# ##334###334#","//--- END",HospitalDischargeReport!J19)</f>
        <v>* header.subjectContact.contactPoint.address 0..* Address ##34#A.1.2.1.1 - 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IF(HospitalDischargeReport!J20="*  ..  ##34###34# ##334###334#","//--- END",HospitalDischargeReport!J20)</f>
        <v>* header.subjectContact.contactPoint.telecom 0..* ContactPoint ##34#A.1.2.1.2 - Telecom [Required]##34# ##334#Telecommunication contact information (addresses) associated to a person. Multiple telecommunication addresses might be provided.##334#</v>
      </c>
    </row>
    <row r="21" spans="3:3" ht="29.5" x14ac:dyDescent="0.75">
      <c r="C21" s="12" t="str">
        <f>IF(HospitalDischargeReport!J21="*  ..  ##34###34# ##334###334#","//--- END",HospitalDischargeReport!J21)</f>
        <v>* header.subjectContact.contactPoint.preferredHP 0..* BackboneElement ##34#A.1.2.2 - 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29.5" x14ac:dyDescent="0.75">
      <c r="C22" s="12" t="str">
        <f>IF(HospitalDischargeReport!J22="*  ..  ##34###34# ##334###334#","//--- END",HospitalDischargeReport!J22)</f>
        <v>* header.subjectContact.contactPoint.preferredHP.identifier 0..* Identifier ##34#A.1.2.2.1 - Identifier [Required]##34# ##334#An identifier of the healthcare professional that is unique within a defined scope. Example: National healthcare professional ID. Multiple identifiers could be provided.##334#</v>
      </c>
    </row>
    <row r="23" spans="3:3" ht="29.5" x14ac:dyDescent="0.75">
      <c r="C23" s="12" t="str">
        <f>IF(HospitalDischargeReport!J23="*  ..  ##34###34# ##334###334#","//--- END",HospitalDischargeReport!J23)</f>
        <v>* header.subjectContact.contactPoint.preferredHP.name 1..1 HumanName ##34#A.1.2.2.2 - 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IF(HospitalDischargeReport!J24="*  ..  ##34###34# ##334###334#","//--- END",HospitalDischargeReport!J24)</f>
        <v>* header.subjectContact.contactPoint.preferredHP.role 0..* CodeableConcept ##34#A.1.2.2.3 - Role of the HP [Required]##34# ##334#Healthcare professional role##334#</v>
      </c>
    </row>
    <row r="25" spans="3:3" ht="29.5" x14ac:dyDescent="0.75">
      <c r="C25" s="12" t="str">
        <f>IF(HospitalDischargeReport!J25="*  ..  ##34###34# ##334###334#","//--- END",HospitalDischargeReport!J25)</f>
        <v>* header.subjectContact.contactPoint.preferredHP.organization 0..1 BackboneElement ##34#A.1.2.2.4 - HP Organisation [Required]##34# ##334#Healthcare Professional Organisation##334#</v>
      </c>
    </row>
    <row r="26" spans="3:3" ht="29.5" x14ac:dyDescent="0.75">
      <c r="C26" s="12" t="str">
        <f>IF(HospitalDischargeReport!J26="*  ..  ##34###34# ##334###334#","//--- END",HospitalDischargeReport!J26)</f>
        <v>* header.subjectContact.contactPoint.preferredHP.address 0..1 Address ##34#A.1.2.2.5 - 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29.5" x14ac:dyDescent="0.75">
      <c r="C27" s="12" t="str">
        <f>IF(HospitalDischargeReport!J27="*  ..  ##34###34# ##334###334#","//--- END",HospitalDischargeReport!J27)</f>
        <v>* header.subjectContact.contactPoint.preferredHP.telecom 0..* ContactPoint ##34#A.1.2.2.6 - Telecom [Required]##34# ##334#Telecommunication contact information (addresses) associated to a person. Multiple telecommunication addresses might be provided.##334#</v>
      </c>
    </row>
    <row r="28" spans="3:3" ht="29.5" x14ac:dyDescent="0.75">
      <c r="C28" s="12" t="str">
        <f>IF(HospitalDischargeReport!J28="*  ..  ##34###34# ##334###334#","//--- END",HospitalDischargeReport!J28)</f>
        <v>* header.subjectContact.contactPoint.person 0..* BackboneElement ##34#A.1.2.3 - Contact person/ legal guardian [Required]##34# ##334#A.1.2.3-Contact person/ legal guardian [Required]##334#</v>
      </c>
    </row>
    <row r="29" spans="3:3" ht="29.5" x14ac:dyDescent="0.75">
      <c r="C29" s="12" t="str">
        <f>IF(HospitalDischargeReport!J29="*  ..  ##34###34# ##334###334#","//--- END",HospitalDischargeReport!J29)</f>
        <v>* header.subjectContact.contactPoint.person.role 0..* CodeableConcept ##34#A.1.2.3.1 - Role of that person [Required]##34# ##334#Role of the contact person: legal guardian, next of kin, other person to contact.##334#</v>
      </c>
    </row>
    <row r="30" spans="3:3" ht="29.5" x14ac:dyDescent="0.75">
      <c r="C30" s="12" t="str">
        <f>IF(HospitalDischargeReport!J30="*  ..  ##34###34# ##334###334#","//--- END",HospitalDischargeReport!J30)</f>
        <v>* header.subjectContact.contactPoint.person.relationship 0..1 CodeableConcept ##34#A.1.2.3.2 - Relationship level [Required]##34# ##334#Relationship type with the patient (e.g. father, wife, daughter)##334#</v>
      </c>
    </row>
    <row r="31" spans="3:3" ht="44.25" x14ac:dyDescent="0.75">
      <c r="C31" s="12" t="str">
        <f>IF(HospitalDischargeReport!J31="*  ..  ##34###34# ##334###334#","//--- END",HospitalDischargeReport!J31)</f>
        <v>* header.subjectContact.contactPoint.person.identifier 0..* Identifier ##34#A.1.2.3.3 - 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IF(HospitalDischargeReport!J32="*  ..  ##34###34# ##334###334#","//--- END",HospitalDischargeReport!J32)</f>
        <v>* header.subjectContact.contactPoint.person.given 1..* string ##34#A.1.2.3.4 - Given name [Mandatory]##34# ##334#The first name of the contact person/guardian (example: Peter). This field can contain more than one element.##334#</v>
      </c>
    </row>
    <row r="33" spans="3:3" ht="29.5" x14ac:dyDescent="0.75">
      <c r="C33" s="12" t="str">
        <f>IF(HospitalDischargeReport!J33="*  ..  ##34###34# ##334###334#","//--- END",HospitalDischargeReport!J33)</f>
        <v>* header.subjectContact.contactPoint.person.name 1..* string ##34#A.1.2.3.5 - Family name/surname [Mandatory]##34# ##334#This field can contain more than one element. Example: Español Smith##334#</v>
      </c>
    </row>
    <row r="34" spans="3:3" ht="59" x14ac:dyDescent="0.75">
      <c r="C34" s="12" t="str">
        <f>IF(HospitalDischargeReport!J34="*  ..  ##34###34# ##334###334#","//--- END",HospitalDischargeReport!J34)</f>
        <v>* header.subjectContact.contactPoint.person.address 0..1 Address ##34#A.1.2.3.6 - 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IF(HospitalDischargeReport!J35="*  ..  ##34###34# ##334###334#","//--- END",HospitalDischargeReport!J35)</f>
        <v>* header.subjectContact.contactPoint.person.telecom 0..* ContactPoint ##34#A.1.2.3.7 - Telecom [Required]##34# ##334#Telecommunication contact information (addresses) associated to a person. Multiple telecommunication addresses might be provided.##334#</v>
      </c>
    </row>
    <row r="36" spans="3:3" ht="44.25" x14ac:dyDescent="0.75">
      <c r="C36" s="12" t="str">
        <f>IF(HospitalDischargeReport!J36="*  ..  ##34###34# ##334###334#","//--- END",HospitalDischargeReport!J36)</f>
        <v>* header.payer 0..1 BackboneElement ##34#A.1.3 - 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IF(HospitalDischargeReport!J37="*  ..  ##34###34# ##334###334#","//--- END",HospitalDischargeReport!J37)</f>
        <v>* header.payer.insuranceCode 0..1 Identifier ##34#A.1.3.1 - Health insurance code [Mandatory]##34# ##334#Unique health insurance company identification code.##334#</v>
      </c>
    </row>
    <row r="38" spans="3:3" ht="29.5" x14ac:dyDescent="0.75">
      <c r="C38" s="12" t="str">
        <f>IF(HospitalDischargeReport!J38="*  ..  ##34###34# ##334###334#","//--- END",HospitalDischargeReport!J38)</f>
        <v>* header.payer.insuranceName 0..1 string ##34#A.1.3.2 - Health insurance name [Required]##34# ##334#Full, official name of the healthcare insurance provider.##334#</v>
      </c>
    </row>
    <row r="39" spans="3:3" ht="29.5" x14ac:dyDescent="0.75">
      <c r="C39" s="12" t="str">
        <f>IF(HospitalDischargeReport!J39="*  ..  ##34###34# ##334###334#","//--- END",HospitalDischargeReport!J39)</f>
        <v>* header.payer.insuranceNumber 0..1 Identifier ##34#A.1.3.3 - Health insurance number [Mandatory]##34# ##334#Number or code under which the insured person is registered at the insurance provider.##334#</v>
      </c>
    </row>
    <row r="40" spans="3:3" ht="44.25" x14ac:dyDescent="0.75">
      <c r="C40" s="12" t="str">
        <f>IF(HospitalDischargeReport!J40="*  ..  ##34###34# ##334###334#","//--- END",HospitalDischargeReport!J40)</f>
        <v>* header.informationRecipient 0..* BackboneElement ##34#A.1.4 - Information recipient [Required]##34# ##334#intended recipient or recipients of the report, additional recipients might be identified by the ordering party, e.g. GP, other specialist##334#</v>
      </c>
    </row>
    <row r="41" spans="3:3" ht="59" x14ac:dyDescent="0.75">
      <c r="C41" s="12" t="str">
        <f>IF(HospitalDischargeReport!J41="*  ..  ##34###34# ##334###334#","//--- END",HospitalDischargeReport!J41)</f>
        <v>* header.informationRecipient.identifier 0..1 Identifier ##34#A.1.4.1 - 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IF(HospitalDischargeReport!J42="*  ..  ##34###34# ##334###334#","//--- END",HospitalDischargeReport!J42)</f>
        <v>* header.informationRecipient.name 0..1 HumanName ##34#A.1.4.2 - Recipient name [Required]##34# ##334#Person name.##334#</v>
      </c>
    </row>
    <row r="43" spans="3:3" ht="44.25" x14ac:dyDescent="0.75">
      <c r="C43" s="12" t="str">
        <f>IF(HospitalDischargeReport!J43="*  ..  ##34###34# ##334###334#","//--- END",HospitalDischargeReport!J43)</f>
        <v>* header.informationRecipient.organizationID 0..* Identifier ##34#A.1.4.3 - 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IF(HospitalDischargeReport!J44="*  ..  ##34###34# ##334###334#","//--- END",HospitalDischargeReport!J44)</f>
        <v>* header.informationRecipient.organization 0..1 BackboneElement ##34#A.1.4.4 - Recipient organization [Required]##34# ##334#The healthcare provider organization information.##334#</v>
      </c>
    </row>
    <row r="45" spans="3:3" ht="29.5" x14ac:dyDescent="0.75">
      <c r="C45" s="12" t="str">
        <f>IF(HospitalDischargeReport!J45="*  ..  ##34###34# ##334###334#","//--- END",HospitalDischargeReport!J45)</f>
        <v>* header.author 1..* BackboneElement ##34#A.1.5 - Author (by whom the Hospital discharge report was authored) [Mandatory]##34# ##334#Author (by whom the Hospital discharge report was authored)##334#</v>
      </c>
    </row>
    <row r="46" spans="3:3" ht="44.25" x14ac:dyDescent="0.75">
      <c r="C46" s="12" t="str">
        <f>IF(HospitalDischargeReport!J46="*  ..  ##34###34# ##334###334#","//--- END",HospitalDischargeReport!J46)</f>
        <v>* header.author.identifier 1..* Identifier ##34#A.1.5.1 - 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IF(HospitalDischargeReport!J47="*  ..  ##34###34# ##334###334#","//--- END",HospitalDischargeReport!J47)</f>
        <v>* header.author.name 1..1 HumanName ##34#A.1.5.2 - Author name [Mandatory]##34# ##334#Person name.##334#</v>
      </c>
    </row>
    <row r="48" spans="3:3" ht="29.5" x14ac:dyDescent="0.75">
      <c r="C48" s="12" t="str">
        <f>IF(HospitalDischargeReport!J48="*  ..  ##34###34# ##334###334#","//--- END",HospitalDischargeReport!J48)</f>
        <v>* header.author.organizationID 0..* Identifier ##34#A.1.5.3 - Author organization ID [Required]##34# ##334#The healthcare provider organization information.##334#</v>
      </c>
    </row>
    <row r="49" spans="3:3" ht="44.25" x14ac:dyDescent="0.75">
      <c r="C49" s="12" t="str">
        <f>IF(HospitalDischargeReport!J49="*  ..  ##34###34# ##334###334#","//--- END",HospitalDischargeReport!J49)</f>
        <v>* header.author.organization 1..1 BackboneElement ##34#A.1.5.4 - 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IF(HospitalDischargeReport!J50="*  ..  ##34###34# ##334###334#","//--- END",HospitalDischargeReport!J50)</f>
        <v>* header.author.dateTime 1..1 dateTime ##34#A.1.5.5 - DateTime [Mandatory]##34# ##334#Date and time of the last modification of the document by its Author.##334#</v>
      </c>
    </row>
    <row r="51" spans="3:3" x14ac:dyDescent="0.75">
      <c r="C51" s="12" t="str">
        <f>IF(HospitalDischargeReport!J51="*  ..  ##34###34# ##334###334#","//--- END",HospitalDischargeReport!J51)</f>
        <v>* header.attester 0..* BackboneElement ##34#A.1.6 - Attester [Required]##34# ##334#A.1.6-Attester [Required]##334#</v>
      </c>
    </row>
    <row r="52" spans="3:3" ht="44.25" x14ac:dyDescent="0.75">
      <c r="C52" s="12" t="str">
        <f>IF(HospitalDischargeReport!J52="*  ..  ##34###34# ##334###334#","//--- END",HospitalDischargeReport!J52)</f>
        <v>* header.attester.identifier 1..* Identifier ##34#A.1.6.1 - 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IF(HospitalDischargeReport!J53="*  ..  ##34###34# ##334###334#","//--- END",HospitalDischargeReport!J53)</f>
        <v>* header.attester.name 1..1 HumanName ##34#A.1.6.2 - Attester name [Mandatory]##34# ##334#Person name.##334#</v>
      </c>
    </row>
    <row r="54" spans="3:3" ht="44.25" x14ac:dyDescent="0.75">
      <c r="C54" s="12" t="str">
        <f>IF(HospitalDischargeReport!J54="*  ..  ##34###34# ##334###334#","//--- END",HospitalDischargeReport!J54)</f>
        <v>* header.attester.organizationID 0..* Identifier ##34#A.1.6.3 - 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IF(HospitalDischargeReport!J55="*  ..  ##34###34# ##334###334#","//--- END",HospitalDischargeReport!J55)</f>
        <v>* header.attester.organization 1..1 BackboneElement ##34#A.1.6.4 - Attester organization [Mandatory]##34# ##334#The healthcare provider organization information.##334#</v>
      </c>
    </row>
    <row r="56" spans="3:3" ht="29.5" x14ac:dyDescent="0.75">
      <c r="C56" s="12" t="str">
        <f>IF(HospitalDischargeReport!J56="*  ..  ##34###34# ##334###334#","//--- END",HospitalDischargeReport!J56)</f>
        <v>* header.attester.dateTime 1..1 dateTime ##34#A.1.6.5 - Approval date and time [Mandatory]##34# ##334#Date and time of the approval of the document by Attester.##334#</v>
      </c>
    </row>
    <row r="57" spans="3:3" ht="29.5" x14ac:dyDescent="0.75">
      <c r="C57" s="12" t="str">
        <f>IF(HospitalDischargeReport!J57="*  ..  ##34###34# ##334###334#","//--- END",HospitalDischargeReport!J57)</f>
        <v>* header.legalAuthenticator 0..1 BackboneElement ##34#A.1.7 - Legal authenticator [Required]##34# ##334#The person taking responsibility for the medical content of the document##334#</v>
      </c>
    </row>
    <row r="58" spans="3:3" ht="44.25" x14ac:dyDescent="0.75">
      <c r="C58" s="12" t="str">
        <f>IF(HospitalDischargeReport!J58="*  ..  ##34###34# ##334###334#","//--- END",HospitalDischargeReport!J58)</f>
        <v>* header.legalAuthenticator.identifier 1..* Identifier ##34#A.1.7.1 - 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IF(HospitalDischargeReport!J59="*  ..  ##34###34# ##334###334#","//--- END",HospitalDischargeReport!J59)</f>
        <v>* header.legalAuthenticator.name 1..1 HumanName ##34#A.1.7.2 - Legal authenticator name [Mandatory]##34# ##334#Person name.##334#</v>
      </c>
    </row>
    <row r="60" spans="3:3" ht="44.25" x14ac:dyDescent="0.75">
      <c r="C60" s="12" t="str">
        <f>IF(HospitalDischargeReport!J60="*  ..  ##34###34# ##334###334#","//--- END",HospitalDischargeReport!J60)</f>
        <v>* header.legalAuthenticator.organizationID 0..* Identifier ##34# - 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IF(HospitalDischargeReport!J61="*  ..  ##34###34# ##334###334#","//--- END",HospitalDischargeReport!J61)</f>
        <v>* header.legalAuthenticator.organization 1..1 BackboneElement ##34#A.1.7.3 - Legal authenticator organization [Mandatory]##34# ##334#The healthcare provider organization information.##334#</v>
      </c>
    </row>
    <row r="62" spans="3:3" ht="29.5" x14ac:dyDescent="0.75">
      <c r="C62" s="12" t="str">
        <f>IF(HospitalDischargeReport!J62="*  ..  ##34###34# ##334###334#","//--- END",HospitalDischargeReport!J62)</f>
        <v>* header.legalAuthenticator.dateTime 1..1 dateTime ##34#A.1.7.4 - Authentication date and time [Mandatory]##34# ##334#Date and time when the document was authorized.##334#</v>
      </c>
    </row>
    <row r="63" spans="3:3" ht="29.5" x14ac:dyDescent="0.75">
      <c r="C63" s="12" t="str">
        <f>IF(HospitalDischargeReport!J63="*  ..  ##34###34# ##334###334#","//--- END",HospitalDischargeReport!J63)</f>
        <v>* header.documentMetadata 1..1 BackboneElement ##34#A.1.8 - Document metadata [Mandatory]##34# ##334#A.1.8-Document metadata [Mandatory]##334#</v>
      </c>
    </row>
    <row r="64" spans="3:3" ht="29.5" x14ac:dyDescent="0.75">
      <c r="C64" s="12" t="str">
        <f>IF(HospitalDischargeReport!J64="*  ..  ##34###34# ##334###334#","//--- END",HospitalDischargeReport!J64)</f>
        <v>* header.documentMetadata.identifier 1..1 Identifier ##34#A.1.8.1 - Document ID [Mandatory]##34# ##334#Unique identifier of the document##334#</v>
      </c>
    </row>
    <row r="65" spans="3:3" ht="29.5" x14ac:dyDescent="0.75">
      <c r="C65" s="12" t="str">
        <f>IF(HospitalDischargeReport!J65="*  ..  ##34###34# ##334###334#","//--- END",HospitalDischargeReport!J65)</f>
        <v>* header.documentMetadata.type 1..1 CodeableConcept ##34#A.1.8.2 - Document type [Mandatory]##34# ##334#A coded type of the document. Fixed value 'Hospital dicharge summary'##334#</v>
      </c>
    </row>
    <row r="66" spans="3:3" ht="29.5" x14ac:dyDescent="0.75">
      <c r="C66" s="12" t="str">
        <f>IF(HospitalDischargeReport!J66="*  ..  ##34###34# ##334###334#","//--- END",HospitalDischargeReport!J66)</f>
        <v>* header.documentMetadata.status 1..1 CodeableConcept ##34#A.1.8.3 - Document status [Mandatory]##34# ##334#The status of the Hospital discharge report. E.g., preliminary, final.##334#</v>
      </c>
    </row>
    <row r="67" spans="3:3" ht="29.5" x14ac:dyDescent="0.75">
      <c r="C67" s="12" t="str">
        <f>IF(HospitalDischargeReport!J67="*  ..  ##34###34# ##334###334#","//--- END",HospitalDischargeReport!J67)</f>
        <v>* header.documentMetadata.dateTime 1..1 dateTime ##34#A.1.8.4 - Report date and time [Mandatory]##34# ##334#Date and time of the result report creation.##334#</v>
      </c>
    </row>
    <row r="68" spans="3:3" ht="29.5" x14ac:dyDescent="0.75">
      <c r="C68" s="12" t="str">
        <f>IF(HospitalDischargeReport!J68="*  ..  ##34###34# ##334###334#","//--- END",HospitalDischargeReport!J68)</f>
        <v>* header.documentMetadata.title 1..1 string ##34#A.1.8.5 - Document title [Mandatory]##34# ##334#Document title, e.g. 'Hospital discharge report'##334#</v>
      </c>
    </row>
    <row r="69" spans="3:3" ht="29.5" x14ac:dyDescent="0.75">
      <c r="C69" s="12" t="str">
        <f>IF(HospitalDischargeReport!J69="*  ..  ##34###34# ##334###334#","//--- END",HospitalDischargeReport!J69)</f>
        <v>* header.documentMetadata.custodian 1..1 BackboneElement ##34#A.1.8.6 - Report custodian [Optional]##34# ##334#Organisation that is in charge of maintaining the report##334#</v>
      </c>
    </row>
    <row r="70" spans="3:3" ht="29.5" x14ac:dyDescent="0.75">
      <c r="C70" s="12" t="str">
        <f>IF(HospitalDischargeReport!J70="*  ..  ##34###34# ##334###334#","//--- END",HospitalDischargeReport!J70)</f>
        <v>* header.documentMetadata.confidentiality 1..1 CodeableConcept ##34#A.1.8.7 - Confidentiality [Mandatory]##34# ##334#Level of confidentiality of the document. Implicit value is normal.##334#</v>
      </c>
    </row>
    <row r="71" spans="3:3" ht="29.5" x14ac:dyDescent="0.75">
      <c r="C71" s="12" t="str">
        <f>IF(HospitalDischargeReport!J71="*  ..  ##34###34# ##334###334#","//--- END",HospitalDischargeReport!J71)</f>
        <v>* header.documentMetadata.language 1..1 CodeableConcept ##34#A.1.8.8 - Language [Required]##34# ##334#Language in which the document is written. Language is expressed by the ISO language code.##334#</v>
      </c>
    </row>
    <row r="72" spans="3:3" ht="29.5" x14ac:dyDescent="0.75">
      <c r="C72" s="12" t="str">
        <f>IF(HospitalDischargeReport!J72="*  ..  ##34###34# ##334###334#","//--- END",HospitalDischargeReport!J72)</f>
        <v>* header.documentMetadata.version 0..1 string ##34#A.1.8.9 - Version [Required]##34# ##334#Version of the document##334#</v>
      </c>
    </row>
    <row r="73" spans="3:3" ht="29.5" x14ac:dyDescent="0.75">
      <c r="C73" s="12" t="str">
        <f>IF(HospitalDischargeReport!J73="*  ..  ##34###34# ##334###334#","//--- END",HospitalDischargeReport!J73)</f>
        <v>* header.digitalSignature 0..1 BackboneElement ##34#A.1.9 - Digital signatures [Required]##34# ##334#A.1.9-Digital signatures [Required]##334#</v>
      </c>
    </row>
    <row r="74" spans="3:3" ht="29.5" x14ac:dyDescent="0.75">
      <c r="C74" s="12" t="str">
        <f>IF(HospitalDischargeReport!J74="*  ..  ##34###34# ##334###334#","//--- END",HospitalDischargeReport!J74)</f>
        <v>* header.digitalSignature.signature 0..* BackboneElement ##34#A.1.9.1 - Digital signature [Required]##34# ##334#Digital signature of the document##334#</v>
      </c>
    </row>
    <row r="75" spans="3:3" ht="29.5" x14ac:dyDescent="0.75">
      <c r="C75" s="12" t="str">
        <f>IF(HospitalDischargeReport!J75="*  ..  ##34###34# ##334###334#","//--- END",HospitalDischargeReport!J75)</f>
        <v>* header.digitalSignature.timeStamp 0..1 dateTime ##34#A.1.9.2 - Time stamp [Required]##34# ##334#An electronic time stamp##334#</v>
      </c>
    </row>
    <row r="76" spans="3:3" x14ac:dyDescent="0.75">
      <c r="C76" s="12" t="str">
        <f>IF(HospitalDischargeReport!J76="*  ..  ##34###34# ##334###334#","//--- END",HospitalDischargeReport!J76)</f>
        <v>* body 1..1 BackboneElement ##34#A.2 - Body (missing elementy ?) [Mandatory]##34# ##334#Missing element ?##334#</v>
      </c>
    </row>
    <row r="77" spans="3:3" ht="29.5" x14ac:dyDescent="0.75">
      <c r="C77" s="12" t="str">
        <f>IF(HospitalDischargeReport!J77="*  ..  ##34###34# ##334###334#","//--- END",HospitalDischargeReport!J77)</f>
        <v>* body.advanceDirectives 0..1 BackboneElement ##34#A.2.1 - Advance directives [Required]##34# ##334#A.2.1-Advance directives [Required]##334#</v>
      </c>
    </row>
    <row r="78" spans="3:3" ht="29.5" x14ac:dyDescent="0.75">
      <c r="C78" s="12" t="str">
        <f>IF(HospitalDischargeReport!J78="*  ..  ##34###34# ##334###334#","//--- END",HospitalDischargeReport!J78)</f>
        <v>* body.emergencyInfos 1..1 BackboneElement ##34#A.2.2 - Emergency information [Mandatory]##34# ##334#A.2.2-Emergency information [Mandatory]##334#</v>
      </c>
    </row>
    <row r="79" spans="3:3" ht="29.5" x14ac:dyDescent="0.75">
      <c r="C79" s="12" t="str">
        <f>IF(HospitalDischargeReport!J79="*  ..  ##34###34# ##334###334#","//--- END",HospitalDischargeReport!J79)</f>
        <v>* body.encounter 1..1 BackboneElement ##34#A.2.3 - Encounter [Mandatory]##34# ##334#A.2.3-Encounter [Mandatory]##334#</v>
      </c>
    </row>
    <row r="80" spans="3:3" ht="44.25" x14ac:dyDescent="0.75">
      <c r="C80" s="12" t="str">
        <f>IF(HospitalDischargeReport!J80="*  ..  ##34###34# ##334###334#","//--- END",HospitalDischargeReport!J80)</f>
        <v>* body.admissionEvaluation 0..1 BackboneElement ##34#A.2.4 - 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IF(HospitalDischargeReport!J81="*  ..  ##34###34# ##334###334#","//--- END",HospitalDischargeReport!J81)</f>
        <v>* body.patientHistory 0..1 BackboneElement ##34#A.2.6 - Patient history [Optional]##34# ##334#A.2.6-Patient history [Optional]##334#</v>
      </c>
    </row>
    <row r="82" spans="3:3" ht="29.5" x14ac:dyDescent="0.75">
      <c r="C82" s="12" t="str">
        <f>IF(HospitalDischargeReport!J82="*  ..  ##34###34# ##334###334#","//--- END",HospitalDischargeReport!J82)</f>
        <v>* body.hospitalStay 1..1 BackboneElement ##34#A.2.7 - Hospital stay [Mandatory]##34# ##334#A.2.7-Hospital stay [Mandatory]##334#</v>
      </c>
    </row>
    <row r="83" spans="3:3" ht="29.5" x14ac:dyDescent="0.75">
      <c r="C83" s="12" t="str">
        <f>IF(HospitalDischargeReport!J83="*  ..  ##34###34# ##334###334#","//--- END",HospitalDischargeReport!J83)</f>
        <v>* body.dischargeDetails 1..1 BackboneElement ##34#A.2.8 - Discharge details [Mandatory]##34# ##334#structured information should be provided, however if not available, at least a summary note should be present##334#</v>
      </c>
    </row>
    <row r="84" spans="3:3" ht="29.5" x14ac:dyDescent="0.75">
      <c r="C84" s="12" t="str">
        <f>IF(HospitalDischargeReport!J84="*  ..  ##34###34# ##334###334#","//--- END",HospitalDischargeReport!J84)</f>
        <v>* body.recommendations 0..1 BackboneElement ##34#A.2.9 - Recommendations [Required]##34# ##334#A.2.9-Recommendations [Required]##334#</v>
      </c>
    </row>
    <row r="85" spans="3:3" x14ac:dyDescent="0.75">
      <c r="C85" s="12" t="str">
        <f>IF(HospitalDischargeReport!J85="*  ..  ##34###34# ##334###334#","//--- END",HospitalDischargeReport!J85)</f>
        <v>//--- END</v>
      </c>
    </row>
    <row r="86" spans="3:3" x14ac:dyDescent="0.75">
      <c r="C86" s="12" t="str">
        <f>IF(HospitalDischargeReport!J86="*  ..  ##34###34# ##334###334#","//--- END",HospitalDischargeReport!J86)</f>
        <v>//--- END</v>
      </c>
    </row>
    <row r="87" spans="3:3" x14ac:dyDescent="0.75">
      <c r="C87" s="12" t="str">
        <f>IF(HospitalDischargeReport!J87="*  ..  ##34###34# ##334###334#","//--- END",HospitalDischargeReport!J87)</f>
        <v>//--- END</v>
      </c>
    </row>
    <row r="90" spans="3:3" x14ac:dyDescent="0.75">
      <c r="C90" s="23" t="s">
        <v>98</v>
      </c>
    </row>
    <row r="91" spans="3:3" x14ac:dyDescent="0.75">
      <c r="C91" s="24" t="s">
        <v>18</v>
      </c>
    </row>
    <row r="92" spans="3:3" x14ac:dyDescent="0.75">
      <c r="C92" s="24" t="s">
        <v>98</v>
      </c>
    </row>
    <row r="93" spans="3:3" x14ac:dyDescent="0.75">
      <c r="C93" s="12" t="str">
        <f>IF(HospitalDischargeReport!L8="*  ..  ##34###34# ##334###334#","//--- END",HospitalDischargeReport!L8)</f>
        <v/>
      </c>
    </row>
    <row r="94" spans="3:3" x14ac:dyDescent="0.75">
      <c r="C94" s="12" t="str">
        <f>IF(HospitalDischargeReport!L9="*  ..  ##34###34# ##334###334#","//--- END",HospitalDischargeReport!L9)</f>
        <v/>
      </c>
    </row>
    <row r="95" spans="3:3" x14ac:dyDescent="0.75">
      <c r="C95" s="12" t="str">
        <f>IF(HospitalDischargeReport!L10="*  ..  ##34###34# ##334###334#","//--- END",HospitalDischargeReport!L10)</f>
        <v/>
      </c>
    </row>
    <row r="96" spans="3:3" x14ac:dyDescent="0.75">
      <c r="C96" s="12" t="str">
        <f>IF(HospitalDischargeReport!L11="*  ..  ##34###34# ##334###334#","//--- END",HospitalDischargeReport!L11)</f>
        <v/>
      </c>
    </row>
    <row r="97" spans="3:3" x14ac:dyDescent="0.75">
      <c r="C97" s="12" t="str">
        <f>IF(HospitalDischargeReport!L12="*  ..  ##34###34# ##334###334#","//--- END",HospitalDischargeReport!L12)</f>
        <v/>
      </c>
    </row>
    <row r="98" spans="3:3" x14ac:dyDescent="0.75">
      <c r="C98" s="12" t="str">
        <f>IF(HospitalDischargeReport!L13="*  ..  ##34###34# ##334###334#","//--- END",HospitalDischargeReport!L13)</f>
        <v/>
      </c>
    </row>
    <row r="99" spans="3:3" x14ac:dyDescent="0.75">
      <c r="C99" s="12" t="str">
        <f>IF(HospitalDischargeReport!L14="*  ..  ##34###34# ##334###334#","//--- END",HospitalDischargeReport!L14)</f>
        <v>* header.subjectIdentification.nationality ^comment = ##334#eHDSICountry (ISO 3166)##334#</v>
      </c>
    </row>
    <row r="100" spans="3:3" x14ac:dyDescent="0.75">
      <c r="C100" s="12" t="str">
        <f>IF(HospitalDischargeReport!L15="*  ..  ##34###34# ##334###334#","//--- END",HospitalDischargeReport!L15)</f>
        <v>* header.subjectIdentification.gender ^comment = ##334#HL7 Administrative Gender ##334#</v>
      </c>
    </row>
    <row r="101" spans="3:3" x14ac:dyDescent="0.75">
      <c r="C101" s="12" t="str">
        <f>IF(HospitalDischargeReport!L16="*  ..  ##34###34# ##334###334#","//--- END",HospitalDischargeReport!L16)</f>
        <v>* header.subjectIdentification.language ^comment = ##334#BCP 47##334#</v>
      </c>
    </row>
    <row r="102" spans="3:3" x14ac:dyDescent="0.75">
      <c r="C102" s="12" t="str">
        <f>IF(HospitalDischargeReport!L17="*  ..  ##34###34# ##334###334#","//--- END",HospitalDischargeReport!L17)</f>
        <v/>
      </c>
    </row>
    <row r="103" spans="3:3" x14ac:dyDescent="0.75">
      <c r="C103" s="12" t="str">
        <f>IF(HospitalDischargeReport!L18="*  ..  ##34###34# ##334###334#","//--- END",HospitalDischargeReport!L18)</f>
        <v/>
      </c>
    </row>
    <row r="104" spans="3:3" x14ac:dyDescent="0.75">
      <c r="C104" s="12" t="str">
        <f>IF(HospitalDischargeReport!L19="*  ..  ##34###34# ##334###334#","//--- END",HospitalDischargeReport!L19)</f>
        <v>* header.subjectContact.contactPoint.address ^comment = ##334#eHDSICountry (ISO 3166)##334#</v>
      </c>
    </row>
    <row r="105" spans="3:3" x14ac:dyDescent="0.75">
      <c r="C105" s="12" t="str">
        <f>IF(HospitalDischargeReport!L20="*  ..  ##34###34# ##334###334#","//--- END",HospitalDischargeReport!L20)</f>
        <v/>
      </c>
    </row>
    <row r="106" spans="3:3" x14ac:dyDescent="0.75">
      <c r="C106" s="12" t="str">
        <f>IF(HospitalDischargeReport!L21="*  ..  ##34###34# ##334###334#","//--- END",HospitalDischargeReport!L21)</f>
        <v/>
      </c>
    </row>
    <row r="107" spans="3:3" x14ac:dyDescent="0.75">
      <c r="C107" s="12" t="str">
        <f>IF(HospitalDischargeReport!L22="*  ..  ##34###34# ##334###334#","//--- END",HospitalDischargeReport!L22)</f>
        <v/>
      </c>
    </row>
    <row r="108" spans="3:3" x14ac:dyDescent="0.75">
      <c r="C108" s="12" t="str">
        <f>IF(HospitalDischargeReport!L23="*  ..  ##34###34# ##334###334#","//--- END",HospitalDischargeReport!L23)</f>
        <v/>
      </c>
    </row>
    <row r="109" spans="3:3" ht="29.5" x14ac:dyDescent="0.75">
      <c r="C109" s="12" t="str">
        <f>IF(HospitalDischargeReport!L24="*  ..  ##34###34# ##334###334#","//--- END",HospitalDischargeReport!L24)</f>
        <v>* header.subjectContact.contactPoint.preferredHP.role ^comment = ##334#ISCO or SNOMED CT specialty - to be discussed##334#</v>
      </c>
    </row>
    <row r="110" spans="3:3" x14ac:dyDescent="0.75">
      <c r="C110" s="12" t="str">
        <f>IF(HospitalDischargeReport!L25="*  ..  ##34###34# ##334###334#","//--- END",HospitalDischargeReport!L25)</f>
        <v/>
      </c>
    </row>
    <row r="111" spans="3:3" x14ac:dyDescent="0.75">
      <c r="C111" s="12" t="str">
        <f>IF(HospitalDischargeReport!L26="*  ..  ##34###34# ##334###334#","//--- END",HospitalDischargeReport!L26)</f>
        <v/>
      </c>
    </row>
    <row r="112" spans="3:3" x14ac:dyDescent="0.75">
      <c r="C112" s="12" t="str">
        <f>IF(HospitalDischargeReport!L27="*  ..  ##34###34# ##334###334#","//--- END",HospitalDischargeReport!L27)</f>
        <v/>
      </c>
    </row>
    <row r="113" spans="3:3" x14ac:dyDescent="0.75">
      <c r="C113" s="12" t="str">
        <f>IF(HospitalDischargeReport!L28="*  ..  ##34###34# ##334###334#","//--- END",HospitalDischargeReport!L28)</f>
        <v/>
      </c>
    </row>
    <row r="114" spans="3:3" ht="29.5" x14ac:dyDescent="0.75">
      <c r="C114" s="12" t="str">
        <f>IF(HospitalDischargeReport!L29="*  ..  ##34###34# ##334###334#","//--- END",HospitalDischargeReport!L29)</f>
        <v>* header.subjectContact.contactPoint.person.role ^comment = ##334#http://terminology.hl7.org/CodeSystem/v3-RoleClass##334#</v>
      </c>
    </row>
    <row r="115" spans="3:3" x14ac:dyDescent="0.75">
      <c r="C115" s="12" t="str">
        <f>IF(HospitalDischargeReport!L30="*  ..  ##34###34# ##334###334#","//--- END",HospitalDischargeReport!L30)</f>
        <v>* header.subjectContact.contactPoint.person.relationship ^comment = ##334#eHDSIPersonalRelationship##334#</v>
      </c>
    </row>
    <row r="116" spans="3:3" x14ac:dyDescent="0.75">
      <c r="C116" s="12" t="str">
        <f>IF(HospitalDischargeReport!L31="*  ..  ##34###34# ##334###334#","//--- END",HospitalDischargeReport!L31)</f>
        <v/>
      </c>
    </row>
    <row r="117" spans="3:3" x14ac:dyDescent="0.75">
      <c r="C117" s="12" t="str">
        <f>IF(HospitalDischargeReport!L32="*  ..  ##34###34# ##334###334#","//--- END",HospitalDischargeReport!L32)</f>
        <v/>
      </c>
    </row>
    <row r="118" spans="3:3" x14ac:dyDescent="0.75">
      <c r="C118" s="12" t="str">
        <f>IF(HospitalDischargeReport!L33="*  ..  ##34###34# ##334###334#","//--- END",HospitalDischargeReport!L33)</f>
        <v/>
      </c>
    </row>
    <row r="119" spans="3:3" x14ac:dyDescent="0.75">
      <c r="C119" s="12" t="str">
        <f>IF(HospitalDischargeReport!L34="*  ..  ##34###34# ##334###334#","//--- END",HospitalDischargeReport!L34)</f>
        <v/>
      </c>
    </row>
    <row r="120" spans="3:3" x14ac:dyDescent="0.75">
      <c r="C120" s="12" t="str">
        <f>IF(HospitalDischargeReport!L35="*  ..  ##34###34# ##334###334#","//--- END",HospitalDischargeReport!L35)</f>
        <v/>
      </c>
    </row>
    <row r="121" spans="3:3" x14ac:dyDescent="0.75">
      <c r="C121" s="12" t="str">
        <f>IF(HospitalDischargeReport!L36="*  ..  ##34###34# ##334###334#","//--- END",HospitalDischargeReport!L36)</f>
        <v/>
      </c>
    </row>
    <row r="122" spans="3:3" x14ac:dyDescent="0.75">
      <c r="C122" s="12" t="str">
        <f>IF(HospitalDischargeReport!L37="*  ..  ##34###34# ##334###334#","//--- END",HospitalDischargeReport!L37)</f>
        <v/>
      </c>
    </row>
    <row r="123" spans="3:3" x14ac:dyDescent="0.75">
      <c r="C123" s="12" t="str">
        <f>IF(HospitalDischargeReport!L38="*  ..  ##34###34# ##334###334#","//--- END",HospitalDischargeReport!L38)</f>
        <v/>
      </c>
    </row>
    <row r="124" spans="3:3" x14ac:dyDescent="0.75">
      <c r="C124" s="12" t="str">
        <f>IF(HospitalDischargeReport!L39="*  ..  ##34###34# ##334###334#","//--- END",HospitalDischargeReport!L39)</f>
        <v/>
      </c>
    </row>
    <row r="125" spans="3:3" x14ac:dyDescent="0.75">
      <c r="C125" s="12" t="str">
        <f>IF(HospitalDischargeReport!L40="*  ..  ##34###34# ##334###334#","//--- END",HospitalDischargeReport!L40)</f>
        <v/>
      </c>
    </row>
    <row r="126" spans="3:3" x14ac:dyDescent="0.75">
      <c r="C126" s="12" t="str">
        <f>IF(HospitalDischargeReport!L41="*  ..  ##34###34# ##334###334#","//--- END",HospitalDischargeReport!L41)</f>
        <v/>
      </c>
    </row>
    <row r="127" spans="3:3" x14ac:dyDescent="0.75">
      <c r="C127" s="12" t="str">
        <f>IF(HospitalDischargeReport!L42="*  ..  ##34###34# ##334###334#","//--- END",HospitalDischargeReport!L42)</f>
        <v/>
      </c>
    </row>
    <row r="128" spans="3:3" x14ac:dyDescent="0.75">
      <c r="C128" s="12" t="str">
        <f>IF(HospitalDischargeReport!L43="*  ..  ##34###34# ##334###334#","//--- END",HospitalDischargeReport!L43)</f>
        <v/>
      </c>
    </row>
    <row r="129" spans="3:3" x14ac:dyDescent="0.75">
      <c r="C129" s="12" t="str">
        <f>IF(HospitalDischargeReport!L44="*  ..  ##34###34# ##334###334#","//--- END",HospitalDischargeReport!L44)</f>
        <v/>
      </c>
    </row>
    <row r="130" spans="3:3" x14ac:dyDescent="0.75">
      <c r="C130" s="12" t="str">
        <f>IF(HospitalDischargeReport!L45="*  ..  ##34###34# ##334###334#","//--- END",HospitalDischargeReport!L45)</f>
        <v/>
      </c>
    </row>
    <row r="131" spans="3:3" x14ac:dyDescent="0.75">
      <c r="C131" s="12" t="str">
        <f>IF(HospitalDischargeReport!L46="*  ..  ##34###34# ##334###334#","//--- END",HospitalDischargeReport!L46)</f>
        <v/>
      </c>
    </row>
    <row r="132" spans="3:3" x14ac:dyDescent="0.75">
      <c r="C132" s="12" t="str">
        <f>IF(HospitalDischargeReport!L47="*  ..  ##34###34# ##334###334#","//--- END",HospitalDischargeReport!L47)</f>
        <v/>
      </c>
    </row>
    <row r="133" spans="3:3" x14ac:dyDescent="0.75">
      <c r="C133" s="12" t="str">
        <f>IF(HospitalDischargeReport!L48="*  ..  ##34###34# ##334###334#","//--- END",HospitalDischargeReport!L48)</f>
        <v/>
      </c>
    </row>
    <row r="134" spans="3:3" x14ac:dyDescent="0.75">
      <c r="C134" s="12" t="str">
        <f>IF(HospitalDischargeReport!L49="*  ..  ##34###34# ##334###334#","//--- END",HospitalDischargeReport!L49)</f>
        <v/>
      </c>
    </row>
    <row r="135" spans="3:3" x14ac:dyDescent="0.75">
      <c r="C135" s="12" t="str">
        <f>IF(HospitalDischargeReport!L50="*  ..  ##34###34# ##334###334#","//--- END",HospitalDischargeReport!L50)</f>
        <v/>
      </c>
    </row>
    <row r="136" spans="3:3" x14ac:dyDescent="0.75">
      <c r="C136" s="12" t="str">
        <f>IF(HospitalDischargeReport!L51="*  ..  ##34###34# ##334###334#","//--- END",HospitalDischargeReport!L51)</f>
        <v/>
      </c>
    </row>
    <row r="137" spans="3:3" x14ac:dyDescent="0.75">
      <c r="C137" s="12" t="str">
        <f>IF(HospitalDischargeReport!L52="*  ..  ##34###34# ##334###334#","//--- END",HospitalDischargeReport!L52)</f>
        <v/>
      </c>
    </row>
    <row r="138" spans="3:3" x14ac:dyDescent="0.75">
      <c r="C138" s="12" t="str">
        <f>IF(HospitalDischargeReport!L53="*  ..  ##34###34# ##334###334#","//--- END",HospitalDischargeReport!L53)</f>
        <v/>
      </c>
    </row>
    <row r="139" spans="3:3" x14ac:dyDescent="0.75">
      <c r="C139" s="12" t="str">
        <f>IF(HospitalDischargeReport!L54="*  ..  ##34###34# ##334###334#","//--- END",HospitalDischargeReport!L54)</f>
        <v/>
      </c>
    </row>
    <row r="140" spans="3:3" x14ac:dyDescent="0.75">
      <c r="C140" s="12" t="str">
        <f>IF(HospitalDischargeReport!L55="*  ..  ##34###34# ##334###334#","//--- END",HospitalDischargeReport!L55)</f>
        <v/>
      </c>
    </row>
    <row r="141" spans="3:3" x14ac:dyDescent="0.75">
      <c r="C141" s="12" t="str">
        <f>IF(HospitalDischargeReport!L56="*  ..  ##34###34# ##334###334#","//--- END",HospitalDischargeReport!L56)</f>
        <v/>
      </c>
    </row>
    <row r="142" spans="3:3" x14ac:dyDescent="0.75">
      <c r="C142" s="12" t="str">
        <f>IF(HospitalDischargeReport!L57="*  ..  ##34###34# ##334###334#","//--- END",HospitalDischargeReport!L57)</f>
        <v/>
      </c>
    </row>
    <row r="143" spans="3:3" x14ac:dyDescent="0.75">
      <c r="C143" s="12" t="str">
        <f>IF(HospitalDischargeReport!L58="*  ..  ##34###34# ##334###334#","//--- END",HospitalDischargeReport!L58)</f>
        <v/>
      </c>
    </row>
    <row r="144" spans="3:3" x14ac:dyDescent="0.75">
      <c r="C144" s="12" t="str">
        <f>IF(HospitalDischargeReport!L59="*  ..  ##34###34# ##334###334#","//--- END",HospitalDischargeReport!L59)</f>
        <v/>
      </c>
    </row>
    <row r="145" spans="3:3" x14ac:dyDescent="0.75">
      <c r="C145" s="12" t="str">
        <f>IF(HospitalDischargeReport!L60="*  ..  ##34###34# ##334###334#","//--- END",HospitalDischargeReport!L60)</f>
        <v/>
      </c>
    </row>
    <row r="146" spans="3:3" x14ac:dyDescent="0.75">
      <c r="C146" s="12" t="str">
        <f>IF(HospitalDischargeReport!L61="*  ..  ##34###34# ##334###334#","//--- END",HospitalDischargeReport!L61)</f>
        <v/>
      </c>
    </row>
    <row r="147" spans="3:3" x14ac:dyDescent="0.75">
      <c r="C147" s="12" t="str">
        <f>IF(HospitalDischargeReport!L62="*  ..  ##34###34# ##334###334#","//--- END",HospitalDischargeReport!L62)</f>
        <v/>
      </c>
    </row>
    <row r="148" spans="3:3" x14ac:dyDescent="0.75">
      <c r="C148" s="12" t="str">
        <f>IF(HospitalDischargeReport!L63="*  ..  ##34###34# ##334###334#","//--- END",HospitalDischargeReport!L63)</f>
        <v/>
      </c>
    </row>
    <row r="149" spans="3:3" x14ac:dyDescent="0.75">
      <c r="C149" s="12" t="str">
        <f>IF(HospitalDischargeReport!L64="*  ..  ##34###34# ##334###334#","//--- END",HospitalDischargeReport!L64)</f>
        <v/>
      </c>
    </row>
    <row r="150" spans="3:3" x14ac:dyDescent="0.75">
      <c r="C150" s="12" t="str">
        <f>IF(HospitalDischargeReport!L65="*  ..  ##34###34# ##334###334#","//--- END",HospitalDischargeReport!L65)</f>
        <v>* header.documentMetadata.type ^comment = ##334#LOINC##334#</v>
      </c>
    </row>
    <row r="151" spans="3:3" x14ac:dyDescent="0.75">
      <c r="C151" s="12" t="str">
        <f>IF(HospitalDischargeReport!L66="*  ..  ##34###34# ##334###334#","//--- END",HospitalDischargeReport!L66)</f>
        <v>* header.documentMetadata.status ^comment = ##334#hl7:CompositionStatus ##334#</v>
      </c>
    </row>
    <row r="152" spans="3:3" x14ac:dyDescent="0.75">
      <c r="C152" s="12" t="str">
        <f>IF(HospitalDischargeReport!L67="*  ..  ##34###34# ##334###334#","//--- END",HospitalDischargeReport!L67)</f>
        <v/>
      </c>
    </row>
    <row r="153" spans="3:3" x14ac:dyDescent="0.75">
      <c r="C153" s="12" t="str">
        <f>IF(HospitalDischargeReport!L68="*  ..  ##34###34# ##334###334#","//--- END",HospitalDischargeReport!L68)</f>
        <v/>
      </c>
    </row>
    <row r="154" spans="3:3" x14ac:dyDescent="0.75">
      <c r="C154" s="12" t="str">
        <f>IF(HospitalDischargeReport!L69="*  ..  ##34###34# ##334###334#","//--- END",HospitalDischargeReport!L69)</f>
        <v/>
      </c>
    </row>
    <row r="155" spans="3:3" x14ac:dyDescent="0.75">
      <c r="C155" s="12" t="str">
        <f>IF(HospitalDischargeReport!L70="*  ..  ##34###34# ##334###334#","//--- END",HospitalDischargeReport!L70)</f>
        <v>* header.documentMetadata.confidentiality ^comment = ##334#hl7:confidentiality##334#</v>
      </c>
    </row>
    <row r="156" spans="3:3" x14ac:dyDescent="0.75">
      <c r="C156" s="12" t="str">
        <f>IF(HospitalDischargeReport!L71="*  ..  ##34###34# ##334###334#","//--- END",HospitalDischargeReport!L71)</f>
        <v>* header.documentMetadata.language ^comment = ##334#BCP 47##334#</v>
      </c>
    </row>
    <row r="157" spans="3:3" x14ac:dyDescent="0.75">
      <c r="C157" s="12" t="str">
        <f>IF(HospitalDischargeReport!L72="*  ..  ##34###34# ##334###334#","//--- END",HospitalDischargeReport!L72)</f>
        <v/>
      </c>
    </row>
    <row r="158" spans="3:3" x14ac:dyDescent="0.75">
      <c r="C158" s="12" t="str">
        <f>IF(HospitalDischargeReport!L73="*  ..  ##34###34# ##334###334#","//--- END",HospitalDischargeReport!L73)</f>
        <v/>
      </c>
    </row>
    <row r="159" spans="3:3" x14ac:dyDescent="0.75">
      <c r="C159" s="12" t="str">
        <f>IF(HospitalDischargeReport!L74="*  ..  ##34###34# ##334###334#","//--- END",HospitalDischargeReport!L74)</f>
        <v/>
      </c>
    </row>
    <row r="160" spans="3:3" x14ac:dyDescent="0.75">
      <c r="C160" s="12" t="str">
        <f>IF(HospitalDischargeReport!L75="*  ..  ##34###34# ##334###334#","//--- END",HospitalDischargeReport!L75)</f>
        <v/>
      </c>
    </row>
    <row r="161" spans="3:3" x14ac:dyDescent="0.75">
      <c r="C161" s="12" t="str">
        <f>IF(HospitalDischargeReport!L76="*  ..  ##34###34# ##334###334#","//--- END",HospitalDischargeReport!L76)</f>
        <v/>
      </c>
    </row>
    <row r="162" spans="3:3" x14ac:dyDescent="0.75">
      <c r="C162" s="12" t="str">
        <f>IF(HospitalDischargeReport!L77="*  ..  ##34###34# ##334###334#","//--- END",HospitalDischargeReport!L77)</f>
        <v/>
      </c>
    </row>
    <row r="163" spans="3:3" x14ac:dyDescent="0.75">
      <c r="C163" s="12" t="str">
        <f>IF(HospitalDischargeReport!L78="*  ..  ##34###34# ##334###334#","//--- END",HospitalDischargeReport!L78)</f>
        <v/>
      </c>
    </row>
    <row r="164" spans="3:3" x14ac:dyDescent="0.75">
      <c r="C164" s="12" t="str">
        <f>IF(HospitalDischargeReport!L79="*  ..  ##34###34# ##334###334#","//--- END",HospitalDischargeReport!L79)</f>
        <v/>
      </c>
    </row>
    <row r="165" spans="3:3" x14ac:dyDescent="0.75">
      <c r="C165" s="12" t="str">
        <f>IF(HospitalDischargeReport!L80="*  ..  ##34###34# ##334###334#","//--- END",HospitalDischargeReport!L80)</f>
        <v/>
      </c>
    </row>
    <row r="166" spans="3:3" x14ac:dyDescent="0.75">
      <c r="C166" s="12" t="str">
        <f>IF(HospitalDischargeReport!L81="*  ..  ##34###34# ##334###334#","//--- END",HospitalDischargeReport!L81)</f>
        <v/>
      </c>
    </row>
    <row r="167" spans="3:3" x14ac:dyDescent="0.75">
      <c r="C167" s="12" t="str">
        <f>IF(HospitalDischargeReport!L82="*  ..  ##34###34# ##334###334#","//--- END",HospitalDischargeReport!L82)</f>
        <v/>
      </c>
    </row>
    <row r="168" spans="3:3" x14ac:dyDescent="0.75">
      <c r="C168" s="12" t="str">
        <f>IF(HospitalDischargeReport!L83="*  ..  ##34###34# ##334###334#","//--- END",HospitalDischargeReport!L83)</f>
        <v/>
      </c>
    </row>
    <row r="169" spans="3:3" x14ac:dyDescent="0.75">
      <c r="C169" s="12" t="str">
        <f>IF(HospitalDischargeReport!L84="*  ..  ##34###34# ##334###334#","//--- END",HospitalDischargeReport!L84)</f>
        <v/>
      </c>
    </row>
    <row r="170" spans="3:3" x14ac:dyDescent="0.75">
      <c r="C170" s="12" t="str">
        <f>IF(HospitalDischargeReport!L85="*  ..  ##34###34# ##334###334#","//--- END",HospitalDischargeReport!L85)</f>
        <v>//--- END</v>
      </c>
    </row>
    <row r="171" spans="3:3" x14ac:dyDescent="0.75">
      <c r="C171" s="12" t="str">
        <f>IF(HospitalDischargeReport!L86="*  ..  ##34###34# ##334###334#","//--- END",HospitalDischargeReport!L86)</f>
        <v>//--- END</v>
      </c>
    </row>
    <row r="172" spans="3:3" x14ac:dyDescent="0.75">
      <c r="C172" s="12" t="str">
        <f>IF(HospitalDischargeReport!L87="*  ..  ##34###34# ##334###334#","//--- END",HospitalDischargeReport!L87)</f>
        <v>//--- END</v>
      </c>
    </row>
    <row r="173" spans="3:3" x14ac:dyDescent="0.75">
      <c r="C173" s="12" t="str">
        <f>IF(HospitalDischargeReport!L88="*  ..  ##34###34# ##334###334#","//--- END",HospitalDischargeReport!L88)</f>
        <v>//--- END</v>
      </c>
    </row>
    <row r="174" spans="3:3" x14ac:dyDescent="0.75">
      <c r="C174" s="12" t="str">
        <f>IF(HospitalDischargeReport!L89="*  ..  ##34###34# ##334###334#","//--- END",HospitalDischargeReport!L89)</f>
        <v>//--- END</v>
      </c>
    </row>
    <row r="180" spans="3:3" x14ac:dyDescent="0.75">
      <c r="C180" s="23" t="str">
        <f>'HospitalDischargeReport-Map-1'!E1</f>
        <v>// -------------------------------------------------------------------------------</v>
      </c>
    </row>
    <row r="181" spans="3:3" x14ac:dyDescent="0.75">
      <c r="C181" s="24" t="str">
        <f>'HospitalDischargeReport-Map-1'!E2</f>
        <v>//  Map to FHIR R4</v>
      </c>
    </row>
    <row r="182" spans="3:3" x14ac:dyDescent="0.75">
      <c r="C182" s="24" t="str">
        <f>'HospitalDischargeReport-Map-1'!E3</f>
        <v>// -------------------------------------------------------------------------------</v>
      </c>
    </row>
    <row r="183" spans="3:3" x14ac:dyDescent="0.75">
      <c r="C183" s="12" t="str">
        <f>'HospitalDischargeReport-Map-1'!E4</f>
        <v>Mapping: HospitalDischargeReportEHN2FHIR</v>
      </c>
    </row>
    <row r="184" spans="3:3" x14ac:dyDescent="0.75">
      <c r="C184" s="12" t="str">
        <f>'HospitalDischargeReport-Map-1'!E5</f>
        <v>Id: fhir</v>
      </c>
    </row>
    <row r="185" spans="3:3" x14ac:dyDescent="0.75">
      <c r="C185" s="12" t="str">
        <f>'HospitalDischargeReport-Map-1'!E6</f>
        <v>Title: ##34#Hospital Discharge Report model to FHIR R4 Map##34#</v>
      </c>
    </row>
    <row r="186" spans="3:3" x14ac:dyDescent="0.75">
      <c r="C186" s="12" t="str">
        <f>'HospitalDischargeReport-Map-1'!E7</f>
        <v>Source: HospitalDischargeReport</v>
      </c>
    </row>
    <row r="187" spans="3:3" x14ac:dyDescent="0.75">
      <c r="C187" s="12" t="str">
        <f>'HospitalDischargeReport-Map-1'!E8</f>
        <v>Target: ##34#hl7.org/fhir/r4##34#</v>
      </c>
    </row>
    <row r="189" spans="3:3" x14ac:dyDescent="0.75">
      <c r="C189" s="4" t="str">
        <f>'HospitalDischargeReport-Map-1'!E9</f>
        <v>* -&gt; ##34#TBD##34#</v>
      </c>
    </row>
    <row r="190" spans="3:3" x14ac:dyDescent="0.75">
      <c r="C190" s="12" t="str">
        <f>IF('HospitalDischargeReport-Map-1'!E10="*  -&gt; ##34###34#","// --END",'HospitalDischargeReport-Map-1'!E10)</f>
        <v>* header -&gt; ##34#TBD##34#</v>
      </c>
    </row>
    <row r="191" spans="3:3" x14ac:dyDescent="0.75">
      <c r="C191" s="12" t="str">
        <f>IF('HospitalDischargeReport-Map-1'!E11="*  -&gt; ##34###34#","// --END",'HospitalDischargeReport-Map-1'!E11)</f>
        <v>* header.subjectIdentification -&gt; ##34#TBD##34#</v>
      </c>
    </row>
    <row r="192" spans="3:3" x14ac:dyDescent="0.75">
      <c r="C192" s="12" t="str">
        <f>IF('HospitalDischargeReport-Map-1'!E12="*  -&gt; ##34###34#","// --END",'HospitalDischargeReport-Map-1'!E12)</f>
        <v>* header.subjectIdentification.given -&gt; ##34#TBD##34#</v>
      </c>
    </row>
    <row r="193" spans="3:3" x14ac:dyDescent="0.75">
      <c r="C193" s="12" t="str">
        <f>IF('HospitalDischargeReport-Map-1'!E13="*  -&gt; ##34###34#","// --END",'HospitalDischargeReport-Map-1'!E13)</f>
        <v>* header.subjectIdentification.family -&gt; ##34#TBD##34#</v>
      </c>
    </row>
    <row r="194" spans="3:3" x14ac:dyDescent="0.75">
      <c r="C194" s="12" t="str">
        <f>IF('HospitalDischargeReport-Map-1'!E14="*  -&gt; ##34###34#","// --END",'HospitalDischargeReport-Map-1'!E14)</f>
        <v>* header.subjectIdentification.birthDate -&gt; ##34#TBD##34#</v>
      </c>
    </row>
    <row r="195" spans="3:3" x14ac:dyDescent="0.75">
      <c r="C195" s="12" t="str">
        <f>IF('HospitalDischargeReport-Map-1'!E15="*  -&gt; ##34###34#","// --END",'HospitalDischargeReport-Map-1'!E15)</f>
        <v>* header.subjectIdentification.identifier -&gt; ##34#TBD##34#</v>
      </c>
    </row>
    <row r="196" spans="3:3" x14ac:dyDescent="0.75">
      <c r="C196" s="12" t="str">
        <f>IF('HospitalDischargeReport-Map-1'!E16="*  -&gt; ##34###34#","// --END",'HospitalDischargeReport-Map-1'!E16)</f>
        <v>* header.subjectIdentification.nationality -&gt; ##34#TBD##34#</v>
      </c>
    </row>
    <row r="197" spans="3:3" x14ac:dyDescent="0.75">
      <c r="C197" s="12" t="str">
        <f>IF('HospitalDischargeReport-Map-1'!E17="*  -&gt; ##34###34#","// --END",'HospitalDischargeReport-Map-1'!E17)</f>
        <v>* header.subjectIdentification.gender -&gt; ##34#TBD##34#</v>
      </c>
    </row>
    <row r="198" spans="3:3" x14ac:dyDescent="0.75">
      <c r="C198" s="12" t="str">
        <f>IF('HospitalDischargeReport-Map-1'!E18="*  -&gt; ##34###34#","// --END",'HospitalDischargeReport-Map-1'!E18)</f>
        <v>* header.subjectIdentification.language -&gt; ##34#TBD##34#</v>
      </c>
    </row>
    <row r="199" spans="3:3" x14ac:dyDescent="0.75">
      <c r="C199" s="12" t="str">
        <f>IF('HospitalDischargeReport-Map-1'!E19="*  -&gt; ##34###34#","// --END",'HospitalDischargeReport-Map-1'!E19)</f>
        <v>* header.subjectContact -&gt; ##34#TBD##34#</v>
      </c>
    </row>
    <row r="200" spans="3:3" x14ac:dyDescent="0.75">
      <c r="C200" s="12" t="str">
        <f>IF('HospitalDischargeReport-Map-1'!E20="*  -&gt; ##34###34#","// --END",'HospitalDischargeReport-Map-1'!E20)</f>
        <v>* header.subjectContact.contactPoint -&gt; ##34#TBD##34#</v>
      </c>
    </row>
    <row r="201" spans="3:3" x14ac:dyDescent="0.75">
      <c r="C201" s="12" t="str">
        <f>IF('HospitalDischargeReport-Map-1'!E21="*  -&gt; ##34###34#","// --END",'HospitalDischargeReport-Map-1'!E21)</f>
        <v>* header.subjectContact.contactPoint.address -&gt; ##34#TBD##34#</v>
      </c>
    </row>
    <row r="202" spans="3:3" x14ac:dyDescent="0.75">
      <c r="C202" s="12" t="str">
        <f>IF('HospitalDischargeReport-Map-1'!E22="*  -&gt; ##34###34#","// --END",'HospitalDischargeReport-Map-1'!E22)</f>
        <v>* header.subjectContact.contactPoint.telecom -&gt; ##34#TBD##34#</v>
      </c>
    </row>
    <row r="203" spans="3:3" x14ac:dyDescent="0.75">
      <c r="C203" s="12" t="str">
        <f>IF('HospitalDischargeReport-Map-1'!E23="*  -&gt; ##34###34#","// --END",'HospitalDischargeReport-Map-1'!E23)</f>
        <v>* header.subjectContact.contactPoint.preferredHP -&gt; ##34#TBD##34#</v>
      </c>
    </row>
    <row r="204" spans="3:3" x14ac:dyDescent="0.75">
      <c r="C204" s="12" t="str">
        <f>IF('HospitalDischargeReport-Map-1'!E24="*  -&gt; ##34###34#","// --END",'HospitalDischargeReport-Map-1'!E24)</f>
        <v>* header.subjectContact.contactPoint.preferredHP.identifier -&gt; ##34#TBD##34#</v>
      </c>
    </row>
    <row r="205" spans="3:3" x14ac:dyDescent="0.75">
      <c r="C205" s="12" t="str">
        <f>IF('HospitalDischargeReport-Map-1'!E25="*  -&gt; ##34###34#","// --END",'HospitalDischargeReport-Map-1'!E25)</f>
        <v>* header.subjectContact.contactPoint.preferredHP.name -&gt; ##34#TBD##34#</v>
      </c>
    </row>
    <row r="206" spans="3:3" x14ac:dyDescent="0.75">
      <c r="C206" s="12" t="str">
        <f>IF('HospitalDischargeReport-Map-1'!E26="*  -&gt; ##34###34#","// --END",'HospitalDischargeReport-Map-1'!E26)</f>
        <v>* header.subjectContact.contactPoint.preferredHP.role -&gt; ##34#TBD##34#</v>
      </c>
    </row>
    <row r="207" spans="3:3" x14ac:dyDescent="0.75">
      <c r="C207" s="12" t="str">
        <f>IF('HospitalDischargeReport-Map-1'!E27="*  -&gt; ##34###34#","// --END",'HospitalDischargeReport-Map-1'!E27)</f>
        <v>* header.subjectContact.contactPoint.preferredHP.organization -&gt; ##34#TBD##34#</v>
      </c>
    </row>
    <row r="208" spans="3:3" x14ac:dyDescent="0.75">
      <c r="C208" s="12" t="str">
        <f>IF('HospitalDischargeReport-Map-1'!E28="*  -&gt; ##34###34#","// --END",'HospitalDischargeReport-Map-1'!E28)</f>
        <v>* header.subjectContact.contactPoint.preferredHP.address -&gt; ##34#TBD##34#</v>
      </c>
    </row>
    <row r="209" spans="3:3" x14ac:dyDescent="0.75">
      <c r="C209" s="12" t="str">
        <f>IF('HospitalDischargeReport-Map-1'!E29="*  -&gt; ##34###34#","// --END",'HospitalDischargeReport-Map-1'!E29)</f>
        <v>* header.subjectContact.contactPoint.preferredHP.telecom -&gt; ##34#TBD##34#</v>
      </c>
    </row>
    <row r="210" spans="3:3" x14ac:dyDescent="0.75">
      <c r="C210" s="12" t="str">
        <f>IF('HospitalDischargeReport-Map-1'!E30="*  -&gt; ##34###34#","// --END",'HospitalDischargeReport-Map-1'!E30)</f>
        <v>* header.subjectContact.contactPoint.person -&gt; ##34#TBD##34#</v>
      </c>
    </row>
    <row r="211" spans="3:3" x14ac:dyDescent="0.75">
      <c r="C211" s="12" t="str">
        <f>IF('HospitalDischargeReport-Map-1'!E31="*  -&gt; ##34###34#","// --END",'HospitalDischargeReport-Map-1'!E31)</f>
        <v>* header.subjectContact.contactPoint.person.role -&gt; ##34#TBD##34#</v>
      </c>
    </row>
    <row r="212" spans="3:3" x14ac:dyDescent="0.75">
      <c r="C212" s="12" t="str">
        <f>IF('HospitalDischargeReport-Map-1'!E32="*  -&gt; ##34###34#","// --END",'HospitalDischargeReport-Map-1'!E32)</f>
        <v>* header.subjectContact.contactPoint.person.relationship -&gt; ##34#TBD##34#</v>
      </c>
    </row>
    <row r="213" spans="3:3" x14ac:dyDescent="0.75">
      <c r="C213" s="12" t="str">
        <f>IF('HospitalDischargeReport-Map-1'!E33="*  -&gt; ##34###34#","// --END",'HospitalDischargeReport-Map-1'!E33)</f>
        <v>* header.subjectContact.contactPoint.person.identifier -&gt; ##34#TBD##34#</v>
      </c>
    </row>
    <row r="214" spans="3:3" x14ac:dyDescent="0.75">
      <c r="C214" s="12" t="str">
        <f>IF('HospitalDischargeReport-Map-1'!E34="*  -&gt; ##34###34#","// --END",'HospitalDischargeReport-Map-1'!E34)</f>
        <v>* header.subjectContact.contactPoint.person.given -&gt; ##34#TBD##34#</v>
      </c>
    </row>
    <row r="215" spans="3:3" x14ac:dyDescent="0.75">
      <c r="C215" s="12" t="str">
        <f>IF('HospitalDischargeReport-Map-1'!E35="*  -&gt; ##34###34#","// --END",'HospitalDischargeReport-Map-1'!E35)</f>
        <v>* header.subjectContact.contactPoint.person.name -&gt; ##34#TBD##34#</v>
      </c>
    </row>
    <row r="216" spans="3:3" x14ac:dyDescent="0.75">
      <c r="C216" s="12" t="str">
        <f>IF('HospitalDischargeReport-Map-1'!E36="*  -&gt; ##34###34#","// --END",'HospitalDischargeReport-Map-1'!E36)</f>
        <v>* header.subjectContact.contactPoint.person.address -&gt; ##34#TBD##34#</v>
      </c>
    </row>
    <row r="217" spans="3:3" x14ac:dyDescent="0.75">
      <c r="C217" s="12" t="str">
        <f>IF('HospitalDischargeReport-Map-1'!E37="*  -&gt; ##34###34#","// --END",'HospitalDischargeReport-Map-1'!E37)</f>
        <v>* header.subjectContact.contactPoint.person.telecom -&gt; ##34#TBD##34#</v>
      </c>
    </row>
    <row r="218" spans="3:3" x14ac:dyDescent="0.75">
      <c r="C218" s="12" t="str">
        <f>IF('HospitalDischargeReport-Map-1'!E38="*  -&gt; ##34###34#","// --END",'HospitalDischargeReport-Map-1'!E38)</f>
        <v>* header.payer -&gt; ##34#TBD##34#</v>
      </c>
    </row>
    <row r="219" spans="3:3" x14ac:dyDescent="0.75">
      <c r="C219" s="12" t="str">
        <f>IF('HospitalDischargeReport-Map-1'!E39="*  -&gt; ##34###34#","// --END",'HospitalDischargeReport-Map-1'!E39)</f>
        <v>* header.payer.insuranceCode -&gt; ##34#TBD##34#</v>
      </c>
    </row>
    <row r="220" spans="3:3" x14ac:dyDescent="0.75">
      <c r="C220" s="12" t="str">
        <f>IF('HospitalDischargeReport-Map-1'!E40="*  -&gt; ##34###34#","// --END",'HospitalDischargeReport-Map-1'!E40)</f>
        <v>* header.payer.insuranceName -&gt; ##34#TBD##34#</v>
      </c>
    </row>
    <row r="221" spans="3:3" x14ac:dyDescent="0.75">
      <c r="C221" s="12" t="str">
        <f>IF('HospitalDischargeReport-Map-1'!E41="*  -&gt; ##34###34#","// --END",'HospitalDischargeReport-Map-1'!E41)</f>
        <v>* header.payer.insuranceNumber -&gt; ##34#TBD##34#</v>
      </c>
    </row>
    <row r="222" spans="3:3" x14ac:dyDescent="0.75">
      <c r="C222" s="12" t="str">
        <f>IF('HospitalDischargeReport-Map-1'!E42="*  -&gt; ##34###34#","// --END",'HospitalDischargeReport-Map-1'!E42)</f>
        <v>* header.informationRecipient -&gt; ##34#TBD##34#</v>
      </c>
    </row>
    <row r="223" spans="3:3" x14ac:dyDescent="0.75">
      <c r="C223" s="12" t="str">
        <f>IF('HospitalDischargeReport-Map-1'!E43="*  -&gt; ##34###34#","// --END",'HospitalDischargeReport-Map-1'!E43)</f>
        <v>* header.informationRecipient.identifier -&gt; ##34#TBD##34#</v>
      </c>
    </row>
    <row r="224" spans="3:3" x14ac:dyDescent="0.75">
      <c r="C224" s="12" t="str">
        <f>IF('HospitalDischargeReport-Map-1'!E44="*  -&gt; ##34###34#","// --END",'HospitalDischargeReport-Map-1'!E44)</f>
        <v>* header.informationRecipient.name -&gt; ##34#TBD##34#</v>
      </c>
    </row>
    <row r="225" spans="3:3" x14ac:dyDescent="0.75">
      <c r="C225" s="12" t="str">
        <f>IF('HospitalDischargeReport-Map-1'!E45="*  -&gt; ##34###34#","// --END",'HospitalDischargeReport-Map-1'!E45)</f>
        <v>* header.informationRecipient.organizationID -&gt; ##34#TBD##34#</v>
      </c>
    </row>
    <row r="226" spans="3:3" x14ac:dyDescent="0.75">
      <c r="C226" s="12" t="str">
        <f>IF('HospitalDischargeReport-Map-1'!E46="*  -&gt; ##34###34#","// --END",'HospitalDischargeReport-Map-1'!E46)</f>
        <v>* header.informationRecipient.organization -&gt; ##34#TBD##34#</v>
      </c>
    </row>
    <row r="227" spans="3:3" x14ac:dyDescent="0.75">
      <c r="C227" s="12" t="str">
        <f>IF('HospitalDischargeReport-Map-1'!E47="*  -&gt; ##34###34#","// --END",'HospitalDischargeReport-Map-1'!E47)</f>
        <v>* header.author -&gt; ##34#TBD##34#</v>
      </c>
    </row>
    <row r="228" spans="3:3" x14ac:dyDescent="0.75">
      <c r="C228" s="12" t="str">
        <f>IF('HospitalDischargeReport-Map-1'!E48="*  -&gt; ##34###34#","// --END",'HospitalDischargeReport-Map-1'!E48)</f>
        <v>* header.author.identifier -&gt; ##34#TBD##34#</v>
      </c>
    </row>
    <row r="229" spans="3:3" x14ac:dyDescent="0.75">
      <c r="C229" s="12" t="str">
        <f>IF('HospitalDischargeReport-Map-1'!E49="*  -&gt; ##34###34#","// --END",'HospitalDischargeReport-Map-1'!E49)</f>
        <v>* header.author.name -&gt; ##34#TBD##34#</v>
      </c>
    </row>
    <row r="230" spans="3:3" x14ac:dyDescent="0.75">
      <c r="C230" s="12" t="str">
        <f>IF('HospitalDischargeReport-Map-1'!E50="*  -&gt; ##34###34#","// --END",'HospitalDischargeReport-Map-1'!E50)</f>
        <v>* header.author.organizationID -&gt; ##34#TBD##34#</v>
      </c>
    </row>
    <row r="231" spans="3:3" x14ac:dyDescent="0.75">
      <c r="C231" s="12" t="str">
        <f>IF('HospitalDischargeReport-Map-1'!E51="*  -&gt; ##34###34#","// --END",'HospitalDischargeReport-Map-1'!E51)</f>
        <v>* header.author.organization -&gt; ##34#TBD##34#</v>
      </c>
    </row>
    <row r="232" spans="3:3" x14ac:dyDescent="0.75">
      <c r="C232" s="12" t="str">
        <f>IF('HospitalDischargeReport-Map-1'!E52="*  -&gt; ##34###34#","// --END",'HospitalDischargeReport-Map-1'!E52)</f>
        <v>* header.author.dateTime -&gt; ##34#TBD##34#</v>
      </c>
    </row>
    <row r="233" spans="3:3" x14ac:dyDescent="0.75">
      <c r="C233" s="12" t="str">
        <f>IF('HospitalDischargeReport-Map-1'!E53="*  -&gt; ##34###34#","// --END",'HospitalDischargeReport-Map-1'!E53)</f>
        <v>* header.attester -&gt; ##34#TBD##34#</v>
      </c>
    </row>
    <row r="234" spans="3:3" x14ac:dyDescent="0.75">
      <c r="C234" s="12" t="str">
        <f>IF('HospitalDischargeReport-Map-1'!E54="*  -&gt; ##34###34#","// --END",'HospitalDischargeReport-Map-1'!E54)</f>
        <v>* header.attester.identifier -&gt; ##34#TBD##34#</v>
      </c>
    </row>
    <row r="235" spans="3:3" x14ac:dyDescent="0.75">
      <c r="C235" s="12" t="str">
        <f>IF('HospitalDischargeReport-Map-1'!E55="*  -&gt; ##34###34#","// --END",'HospitalDischargeReport-Map-1'!E55)</f>
        <v>* header.attester.name -&gt; ##34#TBD##34#</v>
      </c>
    </row>
    <row r="236" spans="3:3" x14ac:dyDescent="0.75">
      <c r="C236" s="12" t="str">
        <f>IF('HospitalDischargeReport-Map-1'!E56="*  -&gt; ##34###34#","// --END",'HospitalDischargeReport-Map-1'!E56)</f>
        <v>* header.attester.organizationID -&gt; ##34#TBD##34#</v>
      </c>
    </row>
    <row r="237" spans="3:3" x14ac:dyDescent="0.75">
      <c r="C237" s="12" t="str">
        <f>IF('HospitalDischargeReport-Map-1'!E57="*  -&gt; ##34###34#","// --END",'HospitalDischargeReport-Map-1'!E57)</f>
        <v>* header.attester.organization -&gt; ##34#TBD##34#</v>
      </c>
    </row>
    <row r="238" spans="3:3" x14ac:dyDescent="0.75">
      <c r="C238" s="12" t="str">
        <f>IF('HospitalDischargeReport-Map-1'!E58="*  -&gt; ##34###34#","// --END",'HospitalDischargeReport-Map-1'!E58)</f>
        <v>* header.attester.dateTime -&gt; ##34#TBD##34#</v>
      </c>
    </row>
    <row r="239" spans="3:3" x14ac:dyDescent="0.75">
      <c r="C239" s="12" t="str">
        <f>IF('HospitalDischargeReport-Map-1'!E59="*  -&gt; ##34###34#","// --END",'HospitalDischargeReport-Map-1'!E59)</f>
        <v>* header.legalAuthenticator -&gt; ##34#TBD##34#</v>
      </c>
    </row>
    <row r="240" spans="3:3" x14ac:dyDescent="0.75">
      <c r="C240" s="12" t="str">
        <f>IF('HospitalDischargeReport-Map-1'!E60="*  -&gt; ##34###34#","// --END",'HospitalDischargeReport-Map-1'!E60)</f>
        <v>* header.legalAuthenticator.identifier -&gt; ##34#TBD##34#</v>
      </c>
    </row>
    <row r="241" spans="3:3" x14ac:dyDescent="0.75">
      <c r="C241" s="12" t="str">
        <f>IF('HospitalDischargeReport-Map-1'!E61="*  -&gt; ##34###34#","// --END",'HospitalDischargeReport-Map-1'!E61)</f>
        <v>* header.legalAuthenticator.name -&gt; ##34#TBD##34#</v>
      </c>
    </row>
    <row r="242" spans="3:3" x14ac:dyDescent="0.75">
      <c r="C242" s="12" t="str">
        <f>IF('HospitalDischargeReport-Map-1'!E62="*  -&gt; ##34###34#","// --END",'HospitalDischargeReport-Map-1'!E62)</f>
        <v>* header.legalAuthenticator.organizationID -&gt; ##34#TBD##34#</v>
      </c>
    </row>
    <row r="243" spans="3:3" x14ac:dyDescent="0.75">
      <c r="C243" s="12" t="str">
        <f>IF('HospitalDischargeReport-Map-1'!E63="*  -&gt; ##34###34#","// --END",'HospitalDischargeReport-Map-1'!E63)</f>
        <v>* header.legalAuthenticator.organization -&gt; ##34#TBD##34#</v>
      </c>
    </row>
    <row r="244" spans="3:3" x14ac:dyDescent="0.75">
      <c r="C244" s="12" t="str">
        <f>IF('HospitalDischargeReport-Map-1'!E64="*  -&gt; ##34###34#","// --END",'HospitalDischargeReport-Map-1'!E64)</f>
        <v>* header.legalAuthenticator.dateTime -&gt; ##34#TBD##34#</v>
      </c>
    </row>
    <row r="245" spans="3:3" x14ac:dyDescent="0.75">
      <c r="C245" s="12" t="str">
        <f>IF('HospitalDischargeReport-Map-1'!E65="*  -&gt; ##34###34#","// --END",'HospitalDischargeReport-Map-1'!E65)</f>
        <v>* header.documentMetadata -&gt; ##34#TBD##34#</v>
      </c>
    </row>
    <row r="246" spans="3:3" x14ac:dyDescent="0.75">
      <c r="C246" s="12" t="str">
        <f>IF('HospitalDischargeReport-Map-1'!E66="*  -&gt; ##34###34#","// --END",'HospitalDischargeReport-Map-1'!E66)</f>
        <v>* header.documentMetadata.identifier -&gt; ##34#TBD##34#</v>
      </c>
    </row>
    <row r="247" spans="3:3" x14ac:dyDescent="0.75">
      <c r="C247" s="12" t="str">
        <f>IF('HospitalDischargeReport-Map-1'!E67="*  -&gt; ##34###34#","// --END",'HospitalDischargeReport-Map-1'!E67)</f>
        <v>* header.documentMetadata.type -&gt; ##34#TBD##34#</v>
      </c>
    </row>
    <row r="248" spans="3:3" x14ac:dyDescent="0.75">
      <c r="C248" s="12" t="str">
        <f>IF('HospitalDischargeReport-Map-1'!E68="*  -&gt; ##34###34#","// --END",'HospitalDischargeReport-Map-1'!E68)</f>
        <v>* header.documentMetadata.status -&gt; ##34#TBD##34#</v>
      </c>
    </row>
    <row r="249" spans="3:3" x14ac:dyDescent="0.75">
      <c r="C249" s="12" t="str">
        <f>IF('HospitalDischargeReport-Map-1'!E69="*  -&gt; ##34###34#","// --END",'HospitalDischargeReport-Map-1'!E69)</f>
        <v>* header.documentMetadata.dateTime -&gt; ##34#TBD##34#</v>
      </c>
    </row>
    <row r="250" spans="3:3" x14ac:dyDescent="0.75">
      <c r="C250" s="12" t="str">
        <f>IF('HospitalDischargeReport-Map-1'!E70="*  -&gt; ##34###34#","// --END",'HospitalDischargeReport-Map-1'!E70)</f>
        <v>* header.documentMetadata.title -&gt; ##34#TBD##34#</v>
      </c>
    </row>
    <row r="251" spans="3:3" x14ac:dyDescent="0.75">
      <c r="C251" s="12" t="str">
        <f>IF('HospitalDischargeReport-Map-1'!E71="*  -&gt; ##34###34#","// --END",'HospitalDischargeReport-Map-1'!E71)</f>
        <v>* header.documentMetadata.custodian -&gt; ##34#TBD##34#</v>
      </c>
    </row>
    <row r="252" spans="3:3" x14ac:dyDescent="0.75">
      <c r="C252" s="12" t="str">
        <f>IF('HospitalDischargeReport-Map-1'!E72="*  -&gt; ##34###34#","// --END",'HospitalDischargeReport-Map-1'!E72)</f>
        <v>* header.documentMetadata.confidentiality -&gt; ##34#TBD##34#</v>
      </c>
    </row>
    <row r="253" spans="3:3" x14ac:dyDescent="0.75">
      <c r="C253" s="12" t="str">
        <f>IF('HospitalDischargeReport-Map-1'!E73="*  -&gt; ##34###34#","// --END",'HospitalDischargeReport-Map-1'!E73)</f>
        <v>* header.documentMetadata.language -&gt; ##34#TBD##34#</v>
      </c>
    </row>
    <row r="254" spans="3:3" x14ac:dyDescent="0.75">
      <c r="C254" s="12" t="str">
        <f>IF('HospitalDischargeReport-Map-1'!E74="*  -&gt; ##34###34#","// --END",'HospitalDischargeReport-Map-1'!E74)</f>
        <v>* header.documentMetadata.version -&gt; ##34#TBD##34#</v>
      </c>
    </row>
    <row r="255" spans="3:3" x14ac:dyDescent="0.75">
      <c r="C255" s="12" t="str">
        <f>IF('HospitalDischargeReport-Map-1'!E75="*  -&gt; ##34###34#","// --END",'HospitalDischargeReport-Map-1'!E75)</f>
        <v>* header.digitalSignature -&gt; ##34#TBD##34#</v>
      </c>
    </row>
    <row r="256" spans="3:3" x14ac:dyDescent="0.75">
      <c r="C256" s="12" t="str">
        <f>IF('HospitalDischargeReport-Map-1'!E76="*  -&gt; ##34###34#","// --END",'HospitalDischargeReport-Map-1'!E76)</f>
        <v>* header.digitalSignature.signature -&gt; ##34#TBD##34#</v>
      </c>
    </row>
    <row r="257" spans="3:3" x14ac:dyDescent="0.75">
      <c r="C257" s="12" t="str">
        <f>IF('HospitalDischargeReport-Map-1'!E77="*  -&gt; ##34###34#","// --END",'HospitalDischargeReport-Map-1'!E77)</f>
        <v>* header.digitalSignature.timeStamp -&gt; ##34#TBD##34#</v>
      </c>
    </row>
    <row r="258" spans="3:3" x14ac:dyDescent="0.75">
      <c r="C258" s="12" t="str">
        <f>IF('HospitalDischargeReport-Map-1'!E78="*  -&gt; ##34###34#","// --END",'HospitalDischargeReport-Map-1'!E78)</f>
        <v>* body -&gt; ##34#TBD##34#</v>
      </c>
    </row>
    <row r="259" spans="3:3" x14ac:dyDescent="0.75">
      <c r="C259" s="12" t="str">
        <f>IF('HospitalDischargeReport-Map-1'!E79="*  -&gt; ##34###34#","// --END",'HospitalDischargeReport-Map-1'!E79)</f>
        <v>* body.advanceDirectives -&gt; ##34#TBD##34#</v>
      </c>
    </row>
    <row r="260" spans="3:3" x14ac:dyDescent="0.75">
      <c r="C260" s="12" t="str">
        <f>IF('HospitalDischargeReport-Map-1'!E80="*  -&gt; ##34###34#","// --END",'HospitalDischargeReport-Map-1'!E80)</f>
        <v>* body.emergencyInfos -&gt; ##34#TBD##34#</v>
      </c>
    </row>
    <row r="261" spans="3:3" x14ac:dyDescent="0.75">
      <c r="C261" s="12" t="str">
        <f>IF('HospitalDischargeReport-Map-1'!E81="*  -&gt; ##34###34#","// --END",'HospitalDischargeReport-Map-1'!E81)</f>
        <v>* body.encounter -&gt; ##34#TBD##34#</v>
      </c>
    </row>
    <row r="262" spans="3:3" x14ac:dyDescent="0.75">
      <c r="C262" s="12" t="str">
        <f>IF('HospitalDischargeReport-Map-1'!E82="*  -&gt; ##34###34#","// --END",'HospitalDischargeReport-Map-1'!E82)</f>
        <v>* body.admissionEvaluation -&gt; ##34#TBD##34#</v>
      </c>
    </row>
    <row r="263" spans="3:3" x14ac:dyDescent="0.75">
      <c r="C263" s="12" t="str">
        <f>IF('HospitalDischargeReport-Map-1'!E83="*  -&gt; ##34###34#","// --END",'HospitalDischargeReport-Map-1'!E83)</f>
        <v>* body.patientHistory -&gt; ##34#TBD##34#</v>
      </c>
    </row>
    <row r="264" spans="3:3" x14ac:dyDescent="0.75">
      <c r="C264" s="12" t="str">
        <f>IF('HospitalDischargeReport-Map-1'!E84="*  -&gt; ##34###34#","// --END",'HospitalDischargeReport-Map-1'!E84)</f>
        <v>* body.hospitalStay -&gt; ##34#TBD##34#</v>
      </c>
    </row>
    <row r="265" spans="3:3" x14ac:dyDescent="0.75">
      <c r="C265" s="12" t="str">
        <f>IF('HospitalDischargeReport-Map-1'!E85="*  -&gt; ##34###34#","// --END",'HospitalDischargeReport-Map-1'!E85)</f>
        <v>* body.dischargeDetails -&gt; ##34#TBD##34#</v>
      </c>
    </row>
    <row r="266" spans="3:3" x14ac:dyDescent="0.75">
      <c r="C266" s="12" t="str">
        <f>IF('HospitalDischargeReport-Map-1'!E86="*  -&gt; ##34###34#","// --END",'HospitalDischargeReport-Map-1'!E86)</f>
        <v>* body.recommendations -&gt; ##34#TBD##34#</v>
      </c>
    </row>
    <row r="267" spans="3:3" x14ac:dyDescent="0.75">
      <c r="C267" s="12" t="str">
        <f>IF('HospitalDischargeReport-Map-1'!E87="*  -&gt; ##34###34#","// --END",'HospitalDischargeReport-Map-1'!E87)</f>
        <v>// --END</v>
      </c>
    </row>
    <row r="268" spans="3:3" x14ac:dyDescent="0.75">
      <c r="C268" s="12" t="str">
        <f>IF('HospitalDischargeReport-Map-1'!E88="*  -&gt; ##34###34#","// --END",'HospitalDischargeReport-Map-1'!E88)</f>
        <v>// --END</v>
      </c>
    </row>
    <row r="269" spans="3:3" x14ac:dyDescent="0.75">
      <c r="C269" s="12" t="str">
        <f>IF('HospitalDischargeReport-Map-1'!E89="*  -&gt; ##34###34#","// --END",'HospitalDischargeReport-Map-1'!E89)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port">
                <anchor moveWithCells="1">
                  <from>
                    <xdr:col>2</xdr:col>
                    <xdr:colOff>444500</xdr:colOff>
                    <xdr:row>189</xdr:row>
                    <xdr:rowOff>171450</xdr:rowOff>
                  </from>
                  <to>
                    <xdr:col>2</xdr:col>
                    <xdr:colOff>1117600</xdr:colOff>
                    <xdr:row>191</xdr:row>
                    <xdr:rowOff>88900</xdr:rowOff>
                  </to>
                </anchor>
              </controlPr>
            </control>
          </mc:Choice>
        </mc:AlternateContent>
        <mc:AlternateContent xmlns:mc="http://schemas.openxmlformats.org/markup-compatibility/2006">
          <mc:Choice Requires="x14">
            <control shapeId="552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mc:AlternateContent xmlns:mc="http://schemas.openxmlformats.org/markup-compatibility/2006">
          <mc:Choice Requires="x14">
            <control shapeId="55299" r:id="rId6" name="Button 3">
              <controlPr defaultSize="0" print="0" autoFill="0" autoPict="0" macro="[0]!export">
                <anchor moveWithCells="1">
                  <from>
                    <xdr:col>2</xdr:col>
                    <xdr:colOff>444500</xdr:colOff>
                    <xdr:row>243</xdr:row>
                    <xdr:rowOff>171450</xdr:rowOff>
                  </from>
                  <to>
                    <xdr:col>2</xdr:col>
                    <xdr:colOff>1117600</xdr:colOff>
                    <xdr:row>245</xdr:row>
                    <xdr:rowOff>88900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676E6-9403-4A73-8345-82D5286615E6}">
  <sheetPr codeName="Foglio45">
    <tabColor theme="0" tint="-0.499984740745262"/>
  </sheetPr>
  <dimension ref="A3:Q184"/>
  <sheetViews>
    <sheetView workbookViewId="0">
      <selection activeCell="D35" sqref="D35"/>
    </sheetView>
  </sheetViews>
  <sheetFormatPr defaultRowHeight="14.75" x14ac:dyDescent="0.75"/>
  <cols>
    <col min="2" max="2" width="75.04296875" bestFit="1" customWidth="1"/>
    <col min="3" max="3" width="69.6796875" bestFit="1"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36</v>
      </c>
      <c r="I3" s="12" t="s">
        <v>37</v>
      </c>
      <c r="J3" s="12" t="s">
        <v>38</v>
      </c>
      <c r="K3" s="12" t="s">
        <v>39</v>
      </c>
      <c r="L3" s="11" t="s">
        <v>40</v>
      </c>
      <c r="N3" s="34" t="s">
        <v>75</v>
      </c>
      <c r="O3" s="34">
        <v>5</v>
      </c>
    </row>
    <row r="4" spans="1:17" ht="15.5" thickBot="1" x14ac:dyDescent="0.9">
      <c r="B4" s="10" t="s">
        <v>16</v>
      </c>
      <c r="C4" s="28"/>
      <c r="E4" s="35"/>
      <c r="H4" s="12"/>
      <c r="I4" s="11"/>
      <c r="J4" s="11"/>
      <c r="K4" s="11"/>
      <c r="L4" s="11"/>
    </row>
    <row r="5" spans="1:17" ht="15.5" thickBot="1" x14ac:dyDescent="0.9">
      <c r="B5" s="10" t="s">
        <v>15</v>
      </c>
      <c r="C5" s="13"/>
      <c r="E5" s="36"/>
      <c r="H5" s="12"/>
      <c r="I5" s="11"/>
      <c r="J5" s="11"/>
      <c r="K5" s="11"/>
      <c r="L5" s="11"/>
    </row>
    <row r="6" spans="1:17" ht="15.5" thickBot="1" x14ac:dyDescent="0.9">
      <c r="B6" s="10" t="s">
        <v>10</v>
      </c>
      <c r="C6" s="7"/>
      <c r="E6" s="7"/>
      <c r="H6" s="16" t="s">
        <v>78</v>
      </c>
      <c r="I6" s="48" t="s">
        <v>79</v>
      </c>
      <c r="J6" s="16" t="s">
        <v>76</v>
      </c>
      <c r="K6" s="48" t="s">
        <v>77</v>
      </c>
      <c r="L6" s="44" t="s">
        <v>71</v>
      </c>
    </row>
    <row r="7" spans="1:17" x14ac:dyDescent="0.75">
      <c r="B7" s="41" t="s">
        <v>17</v>
      </c>
      <c r="C7" s="37"/>
      <c r="E7" s="37"/>
      <c r="H7" s="12"/>
      <c r="I7" s="11"/>
      <c r="J7" s="11"/>
      <c r="K7" s="11"/>
      <c r="L7" s="11"/>
    </row>
    <row r="8" spans="1:17" x14ac:dyDescent="0.75">
      <c r="B8" s="43" t="s">
        <v>14</v>
      </c>
      <c r="C8" s="11"/>
      <c r="D8" s="12"/>
      <c r="E8" s="11"/>
      <c r="F8" s="44" t="s">
        <v>71</v>
      </c>
      <c r="G8" s="47"/>
      <c r="H8" s="12"/>
      <c r="I8" s="11"/>
      <c r="J8" s="44"/>
      <c r="K8" s="44"/>
      <c r="L8" s="44"/>
    </row>
    <row r="9" spans="1:17" x14ac:dyDescent="0.75">
      <c r="A9" s="40"/>
      <c r="B9" s="6"/>
      <c r="C9" s="11"/>
      <c r="D9" s="6" t="s">
        <v>34</v>
      </c>
      <c r="E9" s="6"/>
      <c r="F9" s="11"/>
      <c r="H9" s="12"/>
      <c r="I9" s="11"/>
      <c r="J9" s="11"/>
      <c r="K9" s="11"/>
      <c r="L9" s="44"/>
    </row>
    <row r="10" spans="1:17" ht="44.25" x14ac:dyDescent="0.75">
      <c r="A10" s="40"/>
      <c r="B10" s="6" t="str">
        <f>HospitalDischargeReport!B5</f>
        <v>HospitalDischargeReport</v>
      </c>
      <c r="C10" s="6" t="str">
        <f>HospitalDischargeReport!B6</f>
        <v>A - Hospital Discharge Report (eHN)</v>
      </c>
      <c r="D10" s="38" t="e">
        <f>#REF!</f>
        <v>#REF!</v>
      </c>
      <c r="E10" s="38" t="e">
        <f>#REF!</f>
        <v>#REF!</v>
      </c>
      <c r="F10" s="45" t="s">
        <v>63</v>
      </c>
      <c r="G10" s="39"/>
      <c r="H10" s="12" t="str">
        <f>"* group[=].element[+].code = #"&amp;B10</f>
        <v>* group[=].element[+].code = #HospitalDischargeReport</v>
      </c>
      <c r="I10" s="12" t="str">
        <f>"* group[=].element[=].display = ##34#"&amp;C10&amp;"##34#"</f>
        <v>* group[=].element[=].display = ##34#A - Hospital Discharge Report (eHN)##34#</v>
      </c>
      <c r="J10" s="12" t="e">
        <f>IF(F10="unmatched","//-- unmatched","* group[=].element[=].target.code = #"&amp;$D$9&amp;"."&amp;D10)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INDEX('HospitalDischargeRep-ConceptMap'!$H$10:$L$264,O10+1,P10)</f>
        <v>* group[=].element[+].code = #HospitalDischargeReport</v>
      </c>
    </row>
    <row r="11" spans="1:17" ht="44.25" x14ac:dyDescent="0.75">
      <c r="A11" s="40"/>
      <c r="B11" s="11" t="str">
        <f>$B$10&amp;"."&amp;HospitalDischargeReport!B8</f>
        <v>HospitalDischargeReport.header</v>
      </c>
      <c r="C11" s="11" t="str">
        <f>HospitalDischargeReport!C8</f>
        <v>A.1 - Report header data element [Mandatory]</v>
      </c>
      <c r="D11" s="11" t="e">
        <f>#REF!</f>
        <v>#REF!</v>
      </c>
      <c r="E11" s="11" t="e">
        <f>#REF!</f>
        <v>#REF!</v>
      </c>
      <c r="F11" s="45" t="s">
        <v>41</v>
      </c>
      <c r="G11" s="39"/>
      <c r="H11" s="12" t="str">
        <f t="shared" ref="H11:H17" si="0">"* group[=].element[+].code = #"&amp;B11</f>
        <v>* group[=].element[+].code = #HospitalDischargeReport.header</v>
      </c>
      <c r="I11" s="12" t="str">
        <f t="shared" ref="I11:I17" si="1">"* group[=].element[=].display = ##34#"&amp;C11&amp;"##34#"</f>
        <v>* group[=].element[=].display = ##34#A.1 - Report header data element [Mandatory]##34#</v>
      </c>
      <c r="J11" s="12" t="e">
        <f t="shared" ref="J11:J17" si="2">IF(F11="unmatched","//-- unmatched","* group[=].element[=].target.code = #"&amp;$D$9&amp;"."&amp;D11)</f>
        <v>#REF!</v>
      </c>
      <c r="K11" s="12" t="e">
        <f t="shared" ref="K11:K17" si="3">IF(F11="unmatched","//-- unmatched","* group[=].element[=].target.display = ##34#"&amp;E11&amp;"##34#")</f>
        <v>#REF!</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INDEX('HospitalDischargeRep-ConceptMap'!$H$10:$L$264,O11+1,P11)</f>
        <v>* group[=].element[=].display = ##34#A - Hospital Discharge Report (eHN)##34#</v>
      </c>
    </row>
    <row r="12" spans="1:17" ht="44.25" x14ac:dyDescent="0.75">
      <c r="A12" s="40"/>
      <c r="B12" s="11" t="str">
        <f>$B$10&amp;"."&amp;HospitalDischargeReport!B9</f>
        <v>HospitalDischargeReport.header.subjectIdentification</v>
      </c>
      <c r="C12" s="11" t="str">
        <f>HospitalDischargeReport!C9</f>
        <v>A.1.1 - Identification of the patient/subject [Mandatory]</v>
      </c>
      <c r="D12" s="11" t="e">
        <f>#REF!</f>
        <v>#REF!</v>
      </c>
      <c r="E12" s="11" t="e">
        <f>#REF!</f>
        <v>#REF!</v>
      </c>
      <c r="F12" s="45" t="s">
        <v>63</v>
      </c>
      <c r="G12" s="39"/>
      <c r="H12" s="12" t="str">
        <f t="shared" si="0"/>
        <v>* group[=].element[+].code = #HospitalDischargeReport.header.subjectIdentification</v>
      </c>
      <c r="I12" s="12" t="str">
        <f t="shared" si="1"/>
        <v>* group[=].element[=].display = ##34#A.1.1 - Identification of the patient/subject [Mandatory]##34#</v>
      </c>
      <c r="J12" s="12" t="e">
        <f t="shared" si="2"/>
        <v>#REF!</v>
      </c>
      <c r="K12" s="12" t="e">
        <f t="shared" si="3"/>
        <v>#REF!</v>
      </c>
      <c r="L12" s="12" t="str">
        <f t="shared" si="4"/>
        <v>* group[=].element[=].target.equivalence = #equivalent</v>
      </c>
      <c r="N12" s="11">
        <v>3</v>
      </c>
      <c r="O12" s="11">
        <f t="shared" si="5"/>
        <v>0</v>
      </c>
      <c r="P12" s="11">
        <f t="shared" si="6"/>
        <v>3</v>
      </c>
      <c r="Q12" s="12" t="e" cm="1">
        <f t="array" ref="Q12">INDEX('HospitalDischargeRep-ConceptMap'!$H$10:$L$264,O12+1,P12)</f>
        <v>#REF!</v>
      </c>
    </row>
    <row r="13" spans="1:17" ht="44.25" x14ac:dyDescent="0.75">
      <c r="A13" s="40"/>
      <c r="B13" s="11" t="str">
        <f>$B$10&amp;"."&amp;HospitalDischargeReport!B10</f>
        <v>HospitalDischargeReport.header.subjectIdentification.given</v>
      </c>
      <c r="C13" s="11" t="str">
        <f>HospitalDischargeReport!C36</f>
        <v>A.1.3 - Health insurance and payment information [Required]</v>
      </c>
      <c r="D13" s="11"/>
      <c r="E13" s="11"/>
      <c r="F13" s="45" t="s">
        <v>58</v>
      </c>
      <c r="G13" s="39"/>
      <c r="H13" s="12" t="str">
        <f t="shared" si="0"/>
        <v>* group[=].element[+].code = #HospitalDischargeReport.header.subjectIdentification.given</v>
      </c>
      <c r="I13" s="12" t="str">
        <f t="shared" si="1"/>
        <v>* group[=].element[=].display = ##34#A.1.3 - Health insurance and payment information [Required]##34#</v>
      </c>
      <c r="J13" s="12" t="str">
        <f t="shared" si="2"/>
        <v>//-- unmatched</v>
      </c>
      <c r="K13" s="12" t="str">
        <f t="shared" si="3"/>
        <v>//-- unmatched</v>
      </c>
      <c r="L13" s="12" t="str">
        <f t="shared" si="4"/>
        <v>* group[=].element[=].target.equivalence = #unmatched</v>
      </c>
      <c r="N13" s="11">
        <v>4</v>
      </c>
      <c r="O13" s="11">
        <f t="shared" si="5"/>
        <v>0</v>
      </c>
      <c r="P13" s="11">
        <f t="shared" si="6"/>
        <v>4</v>
      </c>
      <c r="Q13" s="12" t="e" cm="1">
        <f t="array" ref="Q13">INDEX('HospitalDischargeRep-ConceptMap'!$H$10:$L$264,O13+1,P13)</f>
        <v>#REF!</v>
      </c>
    </row>
    <row r="14" spans="1:17" ht="44.25" x14ac:dyDescent="0.75">
      <c r="A14" s="40"/>
      <c r="B14" s="11" t="str">
        <f>$B$10&amp;"."&amp;HospitalDischargeReport!B11</f>
        <v>HospitalDischargeReport.header.subjectIdentification.family</v>
      </c>
      <c r="C14" s="11" t="str">
        <f>HospitalDischargeReport!C40</f>
        <v>A.1.4 - Information recipient [Required]</v>
      </c>
      <c r="D14" s="11"/>
      <c r="E14" s="11"/>
      <c r="F14" s="45" t="s">
        <v>58</v>
      </c>
      <c r="G14" s="39"/>
      <c r="H14" s="12" t="str">
        <f t="shared" si="0"/>
        <v>* group[=].element[+].code = #HospitalDischargeReport.header.subjectIdentification.family</v>
      </c>
      <c r="I14" s="12" t="str">
        <f t="shared" si="1"/>
        <v>* group[=].element[=].display = ##34#A.1.4 - Information recipient [Required]##34#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INDEX('HospitalDischargeRep-ConceptMap'!$H$10:$L$264,O14+1,P14)</f>
        <v>* group[=].element[=].target.equivalence = #equivalent</v>
      </c>
    </row>
    <row r="15" spans="1:17" ht="44.25" x14ac:dyDescent="0.75">
      <c r="A15" s="40"/>
      <c r="B15" s="11" t="str">
        <f>$B$10&amp;"."&amp;HospitalDischargeReport!B12</f>
        <v>HospitalDischargeReport.header.subjectIdentification.birthDate</v>
      </c>
      <c r="C15" s="11" t="str">
        <f>HospitalDischargeReport!C45</f>
        <v>A.1.5 - Author (by whom the Hospital discharge report was authored) [Mandatory]</v>
      </c>
      <c r="D15" s="11" t="e">
        <f>#REF!</f>
        <v>#REF!</v>
      </c>
      <c r="E15" s="11" t="e">
        <f>#REF!</f>
        <v>#REF!</v>
      </c>
      <c r="F15" s="45" t="s">
        <v>67</v>
      </c>
      <c r="G15" s="39"/>
      <c r="H15" s="12" t="str">
        <f t="shared" si="0"/>
        <v>* group[=].element[+].code = #HospitalDischargeReport.header.subjectIdentification.birthDate</v>
      </c>
      <c r="I15" s="12" t="str">
        <f t="shared" si="1"/>
        <v>* group[=].element[=].display = ##34#A.1.5 - Author (by whom the Hospital discharge report was authored) [Mandatory]##34#</v>
      </c>
      <c r="J15" s="12" t="e">
        <f t="shared" si="2"/>
        <v>#REF!</v>
      </c>
      <c r="K15" s="12" t="e">
        <f t="shared" si="3"/>
        <v>#REF!</v>
      </c>
      <c r="L15" s="12" t="str">
        <f t="shared" si="4"/>
        <v>* group[=].element[=].target.equivalence = #narrower</v>
      </c>
      <c r="N15" s="11">
        <v>6</v>
      </c>
      <c r="O15" s="11">
        <f t="shared" si="5"/>
        <v>1</v>
      </c>
      <c r="P15" s="11">
        <f t="shared" si="6"/>
        <v>1</v>
      </c>
      <c r="Q15" s="12" t="str" cm="1">
        <f t="array" ref="Q15">INDEX('HospitalDischargeRep-ConceptMap'!$H$10:$L$264,O15+1,P15)</f>
        <v>* group[=].element[+].code = #HospitalDischargeReport.header</v>
      </c>
    </row>
    <row r="16" spans="1:17" ht="44.25" x14ac:dyDescent="0.75">
      <c r="A16" s="40"/>
      <c r="B16" s="11" t="str">
        <f>$B$10&amp;"."&amp;HospitalDischargeReport!B13</f>
        <v>HospitalDischargeReport.header.subjectIdentification.identifier</v>
      </c>
      <c r="C16" s="11" t="str">
        <f>HospitalDischargeReport!C51</f>
        <v>A.1.6 - Attester [Required]</v>
      </c>
      <c r="D16" s="11" t="e">
        <f>#REF!</f>
        <v>#REF!</v>
      </c>
      <c r="E16" s="11" t="e">
        <f>#REF!</f>
        <v>#REF!</v>
      </c>
      <c r="F16" s="45" t="s">
        <v>65</v>
      </c>
      <c r="G16" s="39"/>
      <c r="H16" s="12" t="str">
        <f t="shared" si="0"/>
        <v>* group[=].element[+].code = #HospitalDischargeReport.header.subjectIdentification.identifier</v>
      </c>
      <c r="I16" s="12" t="str">
        <f t="shared" si="1"/>
        <v>* group[=].element[=].display = ##34#A.1.6 - Attester [Required]##34#</v>
      </c>
      <c r="J16" s="12" t="e">
        <f t="shared" si="2"/>
        <v>#REF!</v>
      </c>
      <c r="K16" s="12" t="e">
        <f t="shared" si="3"/>
        <v>#REF!</v>
      </c>
      <c r="L16" s="12" t="str">
        <f t="shared" si="4"/>
        <v>* group[=].element[=].target.equivalence = #wider</v>
      </c>
      <c r="N16" s="11">
        <v>7</v>
      </c>
      <c r="O16" s="11">
        <f t="shared" si="5"/>
        <v>1</v>
      </c>
      <c r="P16" s="11">
        <f t="shared" si="6"/>
        <v>2</v>
      </c>
      <c r="Q16" s="12" t="str" cm="1">
        <f t="array" ref="Q16">INDEX('HospitalDischargeRep-ConceptMap'!$H$10:$L$264,O16+1,P16)</f>
        <v>* group[=].element[=].display = ##34#A.1 - Report header data element [Mandatory]##34#</v>
      </c>
    </row>
    <row r="17" spans="1:17" ht="44.25" x14ac:dyDescent="0.75">
      <c r="A17" s="40"/>
      <c r="B17" s="11" t="str">
        <f>$B$10&amp;"."&amp;HospitalDischargeReport!B14</f>
        <v>HospitalDischargeReport.header.subjectIdentification.nationality</v>
      </c>
      <c r="C17" s="11" t="str">
        <f>HospitalDischargeReport!C57</f>
        <v>A.1.7 - Legal authenticator [Required]</v>
      </c>
      <c r="D17" s="11"/>
      <c r="E17" s="12"/>
      <c r="F17" s="45" t="s">
        <v>58</v>
      </c>
      <c r="G17" s="39"/>
      <c r="H17" s="12" t="str">
        <f t="shared" si="0"/>
        <v>* group[=].element[+].code = #HospitalDischargeReport.header.subjectIdentification.nationality</v>
      </c>
      <c r="I17" s="12" t="str">
        <f t="shared" si="1"/>
        <v>* group[=].element[=].display = ##34#A.1.7 - Legal authenticator [Required]##34#</v>
      </c>
      <c r="J17" s="12" t="str">
        <f t="shared" si="2"/>
        <v>//-- unmatched</v>
      </c>
      <c r="K17" s="12" t="str">
        <f t="shared" si="3"/>
        <v>//-- unmatched</v>
      </c>
      <c r="L17" s="12" t="str">
        <f t="shared" si="4"/>
        <v>* group[=].element[=].target.equivalence = #unmatched</v>
      </c>
      <c r="N17" s="11">
        <v>8</v>
      </c>
      <c r="O17" s="11">
        <f t="shared" si="5"/>
        <v>1</v>
      </c>
      <c r="P17" s="11">
        <f t="shared" si="6"/>
        <v>3</v>
      </c>
      <c r="Q17" s="12" t="e" cm="1">
        <f t="array" ref="Q17">INDEX('HospitalDischargeRep-ConceptMap'!$H$10:$L$264,O17+1,P17)</f>
        <v>#REF!</v>
      </c>
    </row>
    <row r="18" spans="1:17" x14ac:dyDescent="0.75">
      <c r="A18" s="40"/>
      <c r="B18" s="11" t="str">
        <f>$B$10&amp;"."&amp;HospitalDischargeReport!B15</f>
        <v>HospitalDischargeReport.header.subjectIdentification.gender</v>
      </c>
      <c r="C18" s="11"/>
      <c r="D18" s="11"/>
      <c r="E18" s="12"/>
      <c r="F18" s="45"/>
      <c r="G18" s="39"/>
      <c r="H18" s="12"/>
      <c r="I18" s="12"/>
      <c r="J18" s="12"/>
      <c r="K18" s="12"/>
      <c r="L18" s="12"/>
      <c r="N18" s="11">
        <v>9</v>
      </c>
      <c r="O18" s="11">
        <f t="shared" si="5"/>
        <v>1</v>
      </c>
      <c r="P18" s="11">
        <f t="shared" si="6"/>
        <v>4</v>
      </c>
      <c r="Q18" s="12" t="e" cm="1">
        <f t="array" ref="Q18">INDEX('HospitalDischargeRep-ConceptMap'!$H$10:$L$264,O18+1,P18)</f>
        <v>#REF!</v>
      </c>
    </row>
    <row r="19" spans="1:17" x14ac:dyDescent="0.75">
      <c r="B19" s="11" t="str">
        <f>$B$10&amp;"."&amp;HospitalDischargeReport!B16</f>
        <v>HospitalDischargeReport.header.subjectIdentification.language</v>
      </c>
      <c r="C19" s="11"/>
      <c r="D19" s="11"/>
      <c r="E19" s="12"/>
      <c r="F19" s="45"/>
      <c r="G19" s="39"/>
      <c r="H19" s="12"/>
      <c r="I19" s="12"/>
      <c r="J19" s="12"/>
      <c r="K19" s="12"/>
      <c r="L19" s="12"/>
      <c r="N19" s="11">
        <v>10</v>
      </c>
      <c r="O19" s="11">
        <f t="shared" si="5"/>
        <v>1</v>
      </c>
      <c r="P19" s="11">
        <f t="shared" si="6"/>
        <v>5</v>
      </c>
      <c r="Q19" s="12" t="str" cm="1">
        <f t="array" ref="Q19">INDEX('HospitalDischargeRep-ConceptMap'!$H$10:$L$264,O19+1,P19)</f>
        <v>* group[=].element[=].target.equivalence = #relatedto</v>
      </c>
    </row>
    <row r="20" spans="1:17" x14ac:dyDescent="0.75">
      <c r="B20" s="11" t="str">
        <f>$B$10&amp;"."&amp;HospitalDischargeReport!B17</f>
        <v>HospitalDischargeReport.header.subjectContact</v>
      </c>
      <c r="C20" s="11"/>
      <c r="D20" s="11"/>
      <c r="E20" s="12"/>
      <c r="F20" s="45"/>
      <c r="G20" s="39"/>
      <c r="H20" s="12"/>
      <c r="I20" s="12"/>
      <c r="J20" s="12"/>
      <c r="K20" s="12"/>
      <c r="L20" s="12"/>
      <c r="N20" s="11">
        <v>11</v>
      </c>
      <c r="O20" s="11">
        <f t="shared" si="5"/>
        <v>2</v>
      </c>
      <c r="P20" s="11">
        <f t="shared" si="6"/>
        <v>1</v>
      </c>
      <c r="Q20" s="12" t="str" cm="1">
        <f t="array" ref="Q20">INDEX('HospitalDischargeRep-ConceptMap'!$H$10:$L$264,O20+1,P20)</f>
        <v>* group[=].element[+].code = #HospitalDischargeReport.header.subjectIdentification</v>
      </c>
    </row>
    <row r="21" spans="1:17" x14ac:dyDescent="0.75">
      <c r="B21" s="11" t="str">
        <f>$B$10&amp;"."&amp;HospitalDischargeReport!B18</f>
        <v>HospitalDischargeReport.header.subjectContact.contactPoint</v>
      </c>
      <c r="C21" s="11"/>
      <c r="D21" s="11"/>
      <c r="E21" s="12"/>
      <c r="F21" s="45"/>
      <c r="G21" s="39"/>
      <c r="J21" s="39"/>
      <c r="K21" s="39"/>
      <c r="L21" s="47"/>
      <c r="N21" s="11">
        <v>12</v>
      </c>
      <c r="O21" s="11">
        <f t="shared" si="5"/>
        <v>2</v>
      </c>
      <c r="P21" s="11">
        <f t="shared" si="6"/>
        <v>2</v>
      </c>
      <c r="Q21" s="12" t="str" cm="1">
        <f t="array" ref="Q21">INDEX('HospitalDischargeRep-ConceptMap'!$H$10:$L$264,O21+1,P21)</f>
        <v>* group[=].element[=].display = ##34#A.1.1 - Identification of the patient/subject [Mandatory]##34#</v>
      </c>
    </row>
    <row r="22" spans="1:17" x14ac:dyDescent="0.75">
      <c r="B22" s="11" t="str">
        <f>$B$10&amp;"."&amp;HospitalDischargeReport!B19</f>
        <v>HospitalDischargeReport.header.subjectContact.contactPoint.address</v>
      </c>
      <c r="C22" s="11"/>
      <c r="D22" s="11"/>
      <c r="E22" s="12"/>
      <c r="F22" s="45"/>
      <c r="G22" s="39"/>
      <c r="J22" s="39"/>
      <c r="K22" s="39"/>
      <c r="L22" s="47"/>
      <c r="N22" s="11">
        <v>13</v>
      </c>
      <c r="O22" s="11">
        <f t="shared" si="5"/>
        <v>2</v>
      </c>
      <c r="P22" s="11">
        <f t="shared" si="6"/>
        <v>3</v>
      </c>
      <c r="Q22" s="12" t="e" cm="1">
        <f t="array" ref="Q22">INDEX('HospitalDischargeRep-ConceptMap'!$H$10:$L$264,O22+1,P22)</f>
        <v>#REF!</v>
      </c>
    </row>
    <row r="23" spans="1:17" x14ac:dyDescent="0.75">
      <c r="B23" s="11" t="str">
        <f>$B$10&amp;"."&amp;HospitalDischargeReport!B20</f>
        <v>HospitalDischargeReport.header.subjectContact.contactPoint.telecom</v>
      </c>
      <c r="C23" s="11"/>
      <c r="D23" s="11"/>
      <c r="E23" s="12"/>
      <c r="F23" s="45"/>
      <c r="G23" s="39"/>
      <c r="J23" s="39"/>
      <c r="K23" s="39"/>
      <c r="L23" s="47"/>
      <c r="N23" s="11">
        <v>14</v>
      </c>
      <c r="O23" s="11">
        <f t="shared" si="5"/>
        <v>2</v>
      </c>
      <c r="P23" s="11">
        <f t="shared" si="6"/>
        <v>4</v>
      </c>
      <c r="Q23" s="12" t="e" cm="1">
        <f t="array" ref="Q23">INDEX('HospitalDischargeRep-ConceptMap'!$H$10:$L$264,O23+1,P23)</f>
        <v>#REF!</v>
      </c>
    </row>
    <row r="24" spans="1:17" x14ac:dyDescent="0.75">
      <c r="B24" s="11" t="str">
        <f>$B$10&amp;"."&amp;HospitalDischargeReport!B21</f>
        <v>HospitalDischargeReport.header.subjectContact.contactPoint.preferredHP</v>
      </c>
      <c r="C24" s="11"/>
      <c r="D24" s="11"/>
      <c r="E24" s="12"/>
      <c r="F24" s="45"/>
      <c r="G24" s="39"/>
      <c r="J24" s="39"/>
      <c r="K24" s="39"/>
      <c r="L24" s="47"/>
      <c r="N24" s="11">
        <v>15</v>
      </c>
      <c r="O24" s="11">
        <f t="shared" si="5"/>
        <v>2</v>
      </c>
      <c r="P24" s="11">
        <f t="shared" si="6"/>
        <v>5</v>
      </c>
      <c r="Q24" s="12" t="str" cm="1">
        <f t="array" ref="Q24">INDEX('HospitalDischargeRep-ConceptMap'!$H$10:$L$264,O24+1,P24)</f>
        <v>* group[=].element[=].target.equivalence = #equivalent</v>
      </c>
    </row>
    <row r="25" spans="1:17" x14ac:dyDescent="0.75">
      <c r="B25" s="11" t="str">
        <f>$B$10&amp;"."&amp;HospitalDischargeReport!B22</f>
        <v>HospitalDischargeReport.header.subjectContact.contactPoint.preferredHP.identifier</v>
      </c>
      <c r="C25" s="11"/>
      <c r="D25" s="11"/>
      <c r="E25" s="12"/>
      <c r="F25" s="45"/>
      <c r="G25" s="39"/>
      <c r="J25" s="39"/>
      <c r="K25" s="39"/>
      <c r="L25" s="47"/>
      <c r="N25" s="11">
        <v>16</v>
      </c>
      <c r="O25" s="11">
        <f t="shared" si="5"/>
        <v>3</v>
      </c>
      <c r="P25" s="11">
        <f t="shared" si="6"/>
        <v>1</v>
      </c>
      <c r="Q25" s="12" t="str" cm="1">
        <f t="array" ref="Q25">INDEX('HospitalDischargeRep-ConceptMap'!$H$10:$L$264,O25+1,P25)</f>
        <v>* group[=].element[+].code = #HospitalDischargeReport.header.subjectIdentification.given</v>
      </c>
    </row>
    <row r="26" spans="1:17" x14ac:dyDescent="0.75">
      <c r="B26" s="11" t="str">
        <f>$B$10&amp;"."&amp;HospitalDischargeReport!B23</f>
        <v>HospitalDischargeReport.header.subjectContact.contactPoint.preferredHP.name</v>
      </c>
      <c r="C26" s="11"/>
      <c r="D26" s="11"/>
      <c r="E26" s="12"/>
      <c r="F26" s="45"/>
      <c r="G26" s="39"/>
      <c r="J26" s="39"/>
      <c r="K26" s="39"/>
      <c r="L26" s="47"/>
      <c r="N26" s="11">
        <v>17</v>
      </c>
      <c r="O26" s="11">
        <f t="shared" si="5"/>
        <v>3</v>
      </c>
      <c r="P26" s="11">
        <f t="shared" si="6"/>
        <v>2</v>
      </c>
      <c r="Q26" s="12" t="str" cm="1">
        <f t="array" ref="Q26">INDEX('HospitalDischargeRep-ConceptMap'!$H$10:$L$264,O26+1,P26)</f>
        <v>* group[=].element[=].display = ##34#A.1.3 - Health insurance and payment information [Required]##34#</v>
      </c>
    </row>
    <row r="27" spans="1:17" x14ac:dyDescent="0.75">
      <c r="B27" s="11" t="str">
        <f>$B$10&amp;"."&amp;HospitalDischargeReport!B24</f>
        <v>HospitalDischargeReport.header.subjectContact.contactPoint.preferredHP.role</v>
      </c>
      <c r="C27" s="11"/>
      <c r="D27" s="11"/>
      <c r="E27" s="12"/>
      <c r="F27" s="45"/>
      <c r="G27" s="39"/>
      <c r="J27" s="39"/>
      <c r="K27" s="39"/>
      <c r="L27" s="47"/>
      <c r="N27" s="11">
        <v>18</v>
      </c>
      <c r="O27" s="11">
        <f t="shared" si="5"/>
        <v>3</v>
      </c>
      <c r="P27" s="11">
        <f t="shared" si="6"/>
        <v>3</v>
      </c>
      <c r="Q27" s="12" t="str" cm="1">
        <f t="array" ref="Q27">INDEX('HospitalDischargeRep-ConceptMap'!$H$10:$L$264,O27+1,P27)</f>
        <v>//-- unmatched</v>
      </c>
    </row>
    <row r="28" spans="1:17" x14ac:dyDescent="0.75">
      <c r="B28" s="11" t="str">
        <f>$B$10&amp;"."&amp;HospitalDischargeReport!B25</f>
        <v>HospitalDischargeReport.header.subjectContact.contactPoint.preferredHP.organization</v>
      </c>
      <c r="C28" s="11"/>
      <c r="D28" s="11"/>
      <c r="E28" s="12"/>
      <c r="F28" s="45"/>
      <c r="G28" s="39"/>
      <c r="J28" s="39"/>
      <c r="K28" s="39"/>
      <c r="L28" s="47"/>
      <c r="N28" s="11">
        <v>19</v>
      </c>
      <c r="O28" s="11">
        <f t="shared" si="5"/>
        <v>3</v>
      </c>
      <c r="P28" s="11">
        <f t="shared" si="6"/>
        <v>4</v>
      </c>
      <c r="Q28" s="12" t="str" cm="1">
        <f t="array" ref="Q28">INDEX('HospitalDischargeRep-ConceptMap'!$H$10:$L$264,O28+1,P28)</f>
        <v>//-- unmatched</v>
      </c>
    </row>
    <row r="29" spans="1:17" x14ac:dyDescent="0.75">
      <c r="B29" s="11" t="str">
        <f>$B$10&amp;"."&amp;HospitalDischargeReport!B26</f>
        <v>HospitalDischargeReport.header.subjectContact.contactPoint.preferredHP.address</v>
      </c>
      <c r="C29" s="11"/>
      <c r="D29" s="11"/>
      <c r="E29" s="12"/>
      <c r="F29" s="45"/>
      <c r="G29" s="39"/>
      <c r="J29" s="39"/>
      <c r="K29" s="39"/>
      <c r="L29" s="47"/>
      <c r="N29" s="11">
        <v>20</v>
      </c>
      <c r="O29" s="11">
        <f t="shared" si="5"/>
        <v>3</v>
      </c>
      <c r="P29" s="11">
        <f t="shared" si="6"/>
        <v>5</v>
      </c>
      <c r="Q29" s="12" t="str" cm="1">
        <f t="array" ref="Q29">INDEX('HospitalDischargeRep-ConceptMap'!$H$10:$L$264,O29+1,P29)</f>
        <v>* group[=].element[=].target.equivalence = #unmatched</v>
      </c>
    </row>
    <row r="30" spans="1:17" ht="29.5" x14ac:dyDescent="0.75">
      <c r="B30" s="11" t="str">
        <f>$B$10&amp;"."&amp;HospitalDischargeReport!B27</f>
        <v>HospitalDischargeReport.header.subjectContact.contactPoint.preferredHP.telecom</v>
      </c>
      <c r="C30" s="11"/>
      <c r="D30" s="11"/>
      <c r="E30" s="12"/>
      <c r="F30" s="45"/>
      <c r="G30" s="39"/>
      <c r="J30" s="39"/>
      <c r="K30" s="39"/>
      <c r="L30" s="47"/>
      <c r="N30" s="11">
        <v>21</v>
      </c>
      <c r="O30" s="11">
        <f t="shared" si="5"/>
        <v>4</v>
      </c>
      <c r="P30" s="11">
        <f t="shared" si="6"/>
        <v>1</v>
      </c>
      <c r="Q30" s="12" t="str" cm="1">
        <f t="array" ref="Q30">INDEX('HospitalDischargeRep-ConceptMap'!$H$10:$L$264,O30+1,P30)</f>
        <v>* group[=].element[+].code = #HospitalDischargeReport.header.subjectIdentification.family</v>
      </c>
    </row>
    <row r="31" spans="1:17" s="2" customFormat="1" x14ac:dyDescent="0.75">
      <c r="A31"/>
      <c r="B31" s="11" t="str">
        <f>$B$10&amp;"."&amp;HospitalDischargeReport!B28</f>
        <v>HospitalDischargeReport.header.subjectContact.contactPoint.person</v>
      </c>
      <c r="C31" s="11"/>
      <c r="D31" s="11"/>
      <c r="E31" s="12"/>
      <c r="F31" s="45"/>
      <c r="G31" s="39"/>
      <c r="I31"/>
      <c r="J31" s="39"/>
      <c r="K31" s="39"/>
      <c r="L31" s="47"/>
      <c r="N31" s="11">
        <v>22</v>
      </c>
      <c r="O31" s="11">
        <f t="shared" si="5"/>
        <v>4</v>
      </c>
      <c r="P31" s="11">
        <f t="shared" si="6"/>
        <v>2</v>
      </c>
      <c r="Q31" s="12" t="str" cm="1">
        <f t="array" ref="Q31">INDEX('HospitalDischargeRep-ConceptMap'!$H$10:$L$264,O31+1,P31)</f>
        <v>* group[=].element[=].display = ##34#A.1.4 - Information recipient [Required]##34#</v>
      </c>
    </row>
    <row r="32" spans="1:17" s="2" customFormat="1" x14ac:dyDescent="0.75">
      <c r="A32"/>
      <c r="B32" s="11" t="str">
        <f>$B$10&amp;"."&amp;HospitalDischargeReport!B29</f>
        <v>HospitalDischargeReport.header.subjectContact.contactPoint.person.role</v>
      </c>
      <c r="C32" s="42"/>
      <c r="D32" s="42"/>
      <c r="F32" s="39"/>
      <c r="G32" s="39"/>
      <c r="I32"/>
      <c r="J32" s="39"/>
      <c r="K32" s="39"/>
      <c r="L32" s="47"/>
      <c r="N32" s="11">
        <v>23</v>
      </c>
      <c r="O32" s="11">
        <f t="shared" si="5"/>
        <v>4</v>
      </c>
      <c r="P32" s="11">
        <f t="shared" si="6"/>
        <v>3</v>
      </c>
      <c r="Q32" s="12" t="str" cm="1">
        <f t="array" ref="Q32">INDEX('HospitalDischargeRep-ConceptMap'!$H$10:$L$264,O32+1,P32)</f>
        <v>//-- unmatched</v>
      </c>
    </row>
    <row r="33" spans="1:17" s="2" customFormat="1" x14ac:dyDescent="0.75">
      <c r="A33"/>
      <c r="B33" s="11" t="str">
        <f>$B$10&amp;"."&amp;HospitalDischargeReport!B30</f>
        <v>HospitalDischargeReport.header.subjectContact.contactPoint.person.relationship</v>
      </c>
      <c r="C33" s="11"/>
      <c r="F33" s="39"/>
      <c r="G33" s="39"/>
      <c r="I33"/>
      <c r="J33" s="39"/>
      <c r="K33" s="39"/>
      <c r="L33" s="47"/>
      <c r="N33" s="11">
        <v>24</v>
      </c>
      <c r="O33" s="11">
        <f t="shared" si="5"/>
        <v>4</v>
      </c>
      <c r="P33" s="11">
        <f t="shared" si="6"/>
        <v>4</v>
      </c>
      <c r="Q33" s="12" t="str" cm="1">
        <f t="array" ref="Q33">INDEX('HospitalDischargeRep-ConceptMap'!$H$10:$L$264,O33+1,P33)</f>
        <v>//-- unmatched</v>
      </c>
    </row>
    <row r="34" spans="1:17" s="2" customFormat="1" x14ac:dyDescent="0.75">
      <c r="A34"/>
      <c r="B34" s="11" t="str">
        <f>$B$10&amp;"."&amp;HospitalDischargeReport!B31</f>
        <v>HospitalDischargeReport.header.subjectContact.contactPoint.person.identifier</v>
      </c>
      <c r="C34"/>
      <c r="F34" s="39"/>
      <c r="G34" s="39"/>
      <c r="I34" s="39"/>
      <c r="J34" s="39"/>
      <c r="K34" s="39"/>
      <c r="L34" s="47"/>
      <c r="N34" s="11">
        <v>25</v>
      </c>
      <c r="O34" s="11">
        <f t="shared" si="5"/>
        <v>4</v>
      </c>
      <c r="P34" s="11">
        <f t="shared" si="6"/>
        <v>5</v>
      </c>
      <c r="Q34" s="12" t="str" cm="1">
        <f t="array" ref="Q34">INDEX('HospitalDischargeRep-ConceptMap'!$H$10:$L$264,O34+1,P34)</f>
        <v>* group[=].element[=].target.equivalence = #unmatched</v>
      </c>
    </row>
    <row r="35" spans="1:17" s="2" customFormat="1" x14ac:dyDescent="0.75">
      <c r="A35"/>
      <c r="B35" s="11" t="str">
        <f>$B$10&amp;"."&amp;HospitalDischargeReport!B32</f>
        <v>HospitalDischargeReport.header.subjectContact.contactPoint.person.given</v>
      </c>
      <c r="C35"/>
      <c r="F35" s="39"/>
      <c r="G35" s="39"/>
      <c r="I35" s="39"/>
      <c r="J35" s="39"/>
      <c r="K35" s="39"/>
      <c r="L35" s="47"/>
      <c r="N35" s="11">
        <v>26</v>
      </c>
      <c r="O35" s="11">
        <f t="shared" si="5"/>
        <v>5</v>
      </c>
      <c r="P35" s="11">
        <f t="shared" si="6"/>
        <v>1</v>
      </c>
      <c r="Q35" s="12" t="str" cm="1">
        <f t="array" ref="Q35">INDEX('HospitalDischargeRep-ConceptMap'!$H$10:$L$264,O35+1,P35)</f>
        <v>* group[=].element[+].code = #HospitalDischargeReport.header.subjectIdentification.birthDate</v>
      </c>
    </row>
    <row r="36" spans="1:17" s="2" customFormat="1" ht="29.5" x14ac:dyDescent="0.75">
      <c r="A36"/>
      <c r="B36" s="11" t="str">
        <f>$B$10&amp;"."&amp;HospitalDischargeReport!B33</f>
        <v>HospitalDischargeReport.header.subjectContact.contactPoint.person.name</v>
      </c>
      <c r="C36"/>
      <c r="F36" s="39"/>
      <c r="G36" s="39"/>
      <c r="I36" s="39"/>
      <c r="J36" s="39"/>
      <c r="K36" s="39"/>
      <c r="L36" s="47"/>
      <c r="N36" s="11">
        <v>27</v>
      </c>
      <c r="O36" s="11">
        <f t="shared" si="5"/>
        <v>5</v>
      </c>
      <c r="P36" s="11">
        <f t="shared" si="6"/>
        <v>2</v>
      </c>
      <c r="Q36" s="12" t="str" cm="1">
        <f t="array" ref="Q36">INDEX('HospitalDischargeRep-ConceptMap'!$H$10:$L$264,O36+1,P36)</f>
        <v>* group[=].element[=].display = ##34#A.1.5 - Author (by whom the Hospital discharge report was authored) [Mandatory]##34#</v>
      </c>
    </row>
    <row r="37" spans="1:17" s="2" customFormat="1" x14ac:dyDescent="0.75">
      <c r="A37"/>
      <c r="B37" s="11" t="str">
        <f>$B$10&amp;"."&amp;HospitalDischargeReport!B34</f>
        <v>HospitalDischargeReport.header.subjectContact.contactPoint.person.address</v>
      </c>
      <c r="C37"/>
      <c r="F37" s="39"/>
      <c r="G37" s="39"/>
      <c r="I37" s="39"/>
      <c r="J37" s="39"/>
      <c r="K37" s="39"/>
      <c r="L37" s="39"/>
      <c r="N37" s="11">
        <v>28</v>
      </c>
      <c r="O37" s="11">
        <f t="shared" si="5"/>
        <v>5</v>
      </c>
      <c r="P37" s="11">
        <f t="shared" si="6"/>
        <v>3</v>
      </c>
      <c r="Q37" s="12" t="e" cm="1">
        <f t="array" ref="Q37">INDEX('HospitalDischargeRep-ConceptMap'!$H$10:$L$264,O37+1,P37)</f>
        <v>#REF!</v>
      </c>
    </row>
    <row r="38" spans="1:17" s="2" customFormat="1" x14ac:dyDescent="0.75">
      <c r="A38"/>
      <c r="B38" s="11" t="str">
        <f>$B$10&amp;"."&amp;HospitalDischargeReport!B35</f>
        <v>HospitalDischargeReport.header.subjectContact.contactPoint.person.telecom</v>
      </c>
      <c r="C38"/>
      <c r="F38" s="39"/>
      <c r="G38" s="39"/>
      <c r="I38" s="39"/>
      <c r="J38" s="39"/>
      <c r="K38" s="39"/>
      <c r="L38" s="39"/>
      <c r="N38" s="11">
        <v>29</v>
      </c>
      <c r="O38" s="11">
        <f t="shared" si="5"/>
        <v>5</v>
      </c>
      <c r="P38" s="11">
        <f t="shared" si="6"/>
        <v>4</v>
      </c>
      <c r="Q38" s="12" t="e" cm="1">
        <f t="array" ref="Q38">INDEX('HospitalDischargeRep-ConceptMap'!$H$10:$L$264,O38+1,P38)</f>
        <v>#REF!</v>
      </c>
    </row>
    <row r="39" spans="1:17" s="2" customFormat="1" x14ac:dyDescent="0.75">
      <c r="A39"/>
      <c r="B39" s="11" t="str">
        <f>$B$10&amp;"."&amp;HospitalDischargeReport!B36</f>
        <v>HospitalDischargeReport.header.payer</v>
      </c>
      <c r="C39"/>
      <c r="F39" s="39"/>
      <c r="G39" s="39"/>
      <c r="I39" s="39"/>
      <c r="J39" s="39"/>
      <c r="K39" s="39"/>
      <c r="L39" s="39"/>
      <c r="N39" s="11">
        <v>30</v>
      </c>
      <c r="O39" s="11">
        <f t="shared" si="5"/>
        <v>5</v>
      </c>
      <c r="P39" s="11">
        <f t="shared" si="6"/>
        <v>5</v>
      </c>
      <c r="Q39" s="12" t="str" cm="1">
        <f t="array" ref="Q39">INDEX('HospitalDischargeRep-ConceptMap'!$H$10:$L$264,O39+1,P39)</f>
        <v>* group[=].element[=].target.equivalence = #narrower</v>
      </c>
    </row>
    <row r="40" spans="1:17" s="2" customFormat="1" ht="29.5" x14ac:dyDescent="0.75">
      <c r="A40"/>
      <c r="B40" s="11" t="str">
        <f>$B$10&amp;"."&amp;HospitalDischargeReport!B37</f>
        <v>HospitalDischargeReport.header.payer.insuranceCode</v>
      </c>
      <c r="C40"/>
      <c r="F40" s="39"/>
      <c r="G40" s="39"/>
      <c r="I40" s="39"/>
      <c r="J40" s="39"/>
      <c r="K40" s="39"/>
      <c r="L40" s="39"/>
      <c r="N40" s="11">
        <v>31</v>
      </c>
      <c r="O40" s="11">
        <f t="shared" si="5"/>
        <v>6</v>
      </c>
      <c r="P40" s="11">
        <f t="shared" si="6"/>
        <v>1</v>
      </c>
      <c r="Q40" s="12" t="str" cm="1">
        <f t="array" ref="Q40">INDEX('HospitalDischargeRep-ConceptMap'!$H$10:$L$264,O40+1,P40)</f>
        <v>* group[=].element[+].code = #HospitalDischargeReport.header.subjectIdentification.identifier</v>
      </c>
    </row>
    <row r="41" spans="1:17" s="2" customFormat="1" x14ac:dyDescent="0.75">
      <c r="A41"/>
      <c r="B41" s="11" t="str">
        <f>$B$10&amp;"."&amp;HospitalDischargeReport!B38</f>
        <v>HospitalDischargeReport.header.payer.insuranceName</v>
      </c>
      <c r="C41"/>
      <c r="F41" s="39"/>
      <c r="G41" s="39"/>
      <c r="I41" s="39"/>
      <c r="J41" s="39"/>
      <c r="K41" s="39"/>
      <c r="L41" s="39"/>
      <c r="N41" s="11">
        <v>32</v>
      </c>
      <c r="O41" s="11">
        <f t="shared" si="5"/>
        <v>6</v>
      </c>
      <c r="P41" s="11">
        <f t="shared" si="6"/>
        <v>2</v>
      </c>
      <c r="Q41" s="12" t="str" cm="1">
        <f t="array" ref="Q41">INDEX('HospitalDischargeRep-ConceptMap'!$H$10:$L$264,O41+1,P41)</f>
        <v>* group[=].element[=].display = ##34#A.1.6 - Attester [Required]##34#</v>
      </c>
    </row>
    <row r="42" spans="1:17" s="2" customFormat="1" x14ac:dyDescent="0.75">
      <c r="A42"/>
      <c r="B42" s="11" t="str">
        <f>$B$10&amp;"."&amp;HospitalDischargeReport!B39</f>
        <v>HospitalDischargeReport.header.payer.insuranceNumber</v>
      </c>
      <c r="C42"/>
      <c r="F42" s="39"/>
      <c r="G42" s="39"/>
      <c r="I42" s="39"/>
      <c r="J42" s="39"/>
      <c r="K42" s="39"/>
      <c r="L42" s="39"/>
      <c r="N42" s="11">
        <v>33</v>
      </c>
      <c r="O42" s="11">
        <f t="shared" si="5"/>
        <v>6</v>
      </c>
      <c r="P42" s="11">
        <f t="shared" si="6"/>
        <v>3</v>
      </c>
      <c r="Q42" s="12" t="e" cm="1">
        <f t="array" ref="Q42">INDEX('HospitalDischargeRep-ConceptMap'!$H$10:$L$264,O42+1,P42)</f>
        <v>#REF!</v>
      </c>
    </row>
    <row r="43" spans="1:17" x14ac:dyDescent="0.75">
      <c r="B43" s="11" t="str">
        <f>$B$10&amp;"."&amp;HospitalDischargeReport!B40</f>
        <v>HospitalDischargeReport.header.informationRecipient</v>
      </c>
      <c r="F43" s="39"/>
      <c r="G43" s="39"/>
      <c r="I43" s="39"/>
      <c r="J43" s="39"/>
      <c r="K43" s="39"/>
      <c r="L43" s="39"/>
      <c r="N43" s="11">
        <v>34</v>
      </c>
      <c r="O43" s="11">
        <f t="shared" si="5"/>
        <v>6</v>
      </c>
      <c r="P43" s="11">
        <f t="shared" si="6"/>
        <v>4</v>
      </c>
      <c r="Q43" s="12" t="e" cm="1">
        <f t="array" ref="Q43">INDEX('HospitalDischargeRep-ConceptMap'!$H$10:$L$264,O43+1,P43)</f>
        <v>#REF!</v>
      </c>
    </row>
    <row r="44" spans="1:17" x14ac:dyDescent="0.75">
      <c r="B44" s="11" t="str">
        <f>$B$10&amp;"."&amp;HospitalDischargeReport!B41</f>
        <v>HospitalDischargeReport.header.informationRecipient.identifier</v>
      </c>
      <c r="F44" s="39"/>
      <c r="G44" s="39"/>
      <c r="I44" s="39"/>
      <c r="J44" s="39"/>
      <c r="K44" s="39"/>
      <c r="L44" s="39"/>
      <c r="N44" s="11">
        <v>35</v>
      </c>
      <c r="O44" s="11">
        <f t="shared" si="5"/>
        <v>6</v>
      </c>
      <c r="P44" s="11">
        <f t="shared" si="6"/>
        <v>5</v>
      </c>
      <c r="Q44" s="12" t="str" cm="1">
        <f t="array" ref="Q44">INDEX('HospitalDischargeRep-ConceptMap'!$H$10:$L$264,O44+1,P44)</f>
        <v>* group[=].element[=].target.equivalence = #wider</v>
      </c>
    </row>
    <row r="45" spans="1:17" ht="29.5" x14ac:dyDescent="0.75">
      <c r="B45" s="11" t="str">
        <f>$B$10&amp;"."&amp;HospitalDischargeReport!B42</f>
        <v>HospitalDischargeReport.header.informationRecipient.name</v>
      </c>
      <c r="F45" s="39"/>
      <c r="G45" s="39"/>
      <c r="I45" s="39"/>
      <c r="J45" s="39"/>
      <c r="K45" s="39"/>
      <c r="L45" s="39"/>
      <c r="N45" s="11">
        <v>36</v>
      </c>
      <c r="O45" s="11">
        <f t="shared" si="5"/>
        <v>7</v>
      </c>
      <c r="P45" s="11">
        <f t="shared" si="6"/>
        <v>1</v>
      </c>
      <c r="Q45" s="12" t="str" cm="1">
        <f t="array" ref="Q45">INDEX('HospitalDischargeRep-ConceptMap'!$H$10:$L$264,O45+1,P45)</f>
        <v>* group[=].element[+].code = #HospitalDischargeReport.header.subjectIdentification.nationality</v>
      </c>
    </row>
    <row r="46" spans="1:17" x14ac:dyDescent="0.75">
      <c r="B46" s="11" t="str">
        <f>$B$10&amp;"."&amp;HospitalDischargeReport!B43</f>
        <v>HospitalDischargeReport.header.informationRecipient.organizationID</v>
      </c>
      <c r="F46" s="39"/>
      <c r="G46" s="39"/>
      <c r="I46" s="39"/>
      <c r="J46" s="39"/>
      <c r="K46" s="39"/>
      <c r="L46" s="39"/>
      <c r="N46" s="11">
        <v>37</v>
      </c>
      <c r="O46" s="11">
        <f t="shared" si="5"/>
        <v>7</v>
      </c>
      <c r="P46" s="11">
        <f t="shared" si="6"/>
        <v>2</v>
      </c>
      <c r="Q46" s="12" t="str" cm="1">
        <f t="array" ref="Q46">INDEX('HospitalDischargeRep-ConceptMap'!$H$10:$L$264,O46+1,P46)</f>
        <v>* group[=].element[=].display = ##34#A.1.7 - Legal authenticator [Required]##34#</v>
      </c>
    </row>
    <row r="47" spans="1:17" x14ac:dyDescent="0.75">
      <c r="B47" s="11" t="str">
        <f>$B$10&amp;"."&amp;HospitalDischargeReport!B44</f>
        <v>HospitalDischargeReport.header.informationRecipient.organization</v>
      </c>
      <c r="C47" t="s">
        <v>37</v>
      </c>
      <c r="D47" t="s">
        <v>38</v>
      </c>
      <c r="E47" t="s">
        <v>39</v>
      </c>
      <c r="N47" s="11">
        <v>38</v>
      </c>
      <c r="O47" s="11">
        <f t="shared" si="5"/>
        <v>7</v>
      </c>
      <c r="P47" s="11">
        <f t="shared" si="6"/>
        <v>3</v>
      </c>
      <c r="Q47" s="12" t="str" cm="1">
        <f t="array" ref="Q47">INDEX('HospitalDischargeRep-ConceptMap'!$H$10:$L$264,O47+1,P47)</f>
        <v>//-- unmatched</v>
      </c>
    </row>
    <row r="48" spans="1:17" x14ac:dyDescent="0.75">
      <c r="B48" s="11" t="str">
        <f>$B$10&amp;"."&amp;HospitalDischargeReport!B45</f>
        <v>HospitalDischargeReport.header.author</v>
      </c>
      <c r="N48" s="11">
        <v>39</v>
      </c>
      <c r="O48" s="11">
        <f t="shared" si="5"/>
        <v>7</v>
      </c>
      <c r="P48" s="11">
        <f t="shared" si="6"/>
        <v>4</v>
      </c>
      <c r="Q48" s="12" t="str" cm="1">
        <f t="array" ref="Q48">INDEX('HospitalDischargeRep-ConceptMap'!$H$10:$L$264,O48+1,P48)</f>
        <v>//-- unmatched</v>
      </c>
    </row>
    <row r="49" spans="2:17" x14ac:dyDescent="0.75">
      <c r="B49" s="11" t="str">
        <f>$B$10&amp;"."&amp;HospitalDischargeReport!B46</f>
        <v>HospitalDischargeReport.header.author.identifier</v>
      </c>
      <c r="N49" s="11">
        <v>40</v>
      </c>
      <c r="O49" s="11">
        <f t="shared" si="5"/>
        <v>7</v>
      </c>
      <c r="P49" s="11">
        <f t="shared" si="6"/>
        <v>5</v>
      </c>
      <c r="Q49" s="12" t="str" cm="1">
        <f t="array" ref="Q49">INDEX('HospitalDischargeRep-ConceptMap'!$H$10:$L$264,O49+1,P49)</f>
        <v>* group[=].element[=].target.equivalence = #unmatched</v>
      </c>
    </row>
    <row r="50" spans="2:17" x14ac:dyDescent="0.75">
      <c r="B50" s="11" t="str">
        <f>$B$10&amp;"."&amp;HospitalDischargeReport!B47</f>
        <v>HospitalDischargeReport.header.author.name</v>
      </c>
      <c r="N50" s="11">
        <v>41</v>
      </c>
      <c r="O50" s="11">
        <f t="shared" si="5"/>
        <v>8</v>
      </c>
      <c r="P50" s="11">
        <f t="shared" si="6"/>
        <v>1</v>
      </c>
      <c r="Q50" s="12" cm="1">
        <f t="array" ref="Q50">INDEX('HospitalDischargeRep-ConceptMap'!$H$10:$L$264,O50+1,P50)</f>
        <v>0</v>
      </c>
    </row>
    <row r="51" spans="2:17" x14ac:dyDescent="0.75">
      <c r="B51" s="11" t="str">
        <f>$B$10&amp;"."&amp;HospitalDischargeReport!B48</f>
        <v>HospitalDischargeReport.header.author.organizationID</v>
      </c>
      <c r="N51" s="11">
        <v>42</v>
      </c>
      <c r="O51" s="11">
        <f t="shared" si="5"/>
        <v>8</v>
      </c>
      <c r="P51" s="11">
        <f t="shared" si="6"/>
        <v>2</v>
      </c>
      <c r="Q51" s="12" cm="1">
        <f t="array" ref="Q51">INDEX('HospitalDischargeRep-ConceptMap'!$H$10:$L$264,O51+1,P51)</f>
        <v>0</v>
      </c>
    </row>
    <row r="52" spans="2:17" x14ac:dyDescent="0.75">
      <c r="B52" s="11" t="str">
        <f>$B$10&amp;"."&amp;HospitalDischargeReport!B49</f>
        <v>HospitalDischargeReport.header.author.organization</v>
      </c>
      <c r="N52" s="11">
        <v>43</v>
      </c>
      <c r="O52" s="11">
        <f t="shared" si="5"/>
        <v>8</v>
      </c>
      <c r="P52" s="11">
        <f t="shared" si="6"/>
        <v>3</v>
      </c>
      <c r="Q52" s="12" cm="1">
        <f t="array" ref="Q52">INDEX('HospitalDischargeRep-ConceptMap'!$H$10:$L$264,O52+1,P52)</f>
        <v>0</v>
      </c>
    </row>
    <row r="53" spans="2:17" x14ac:dyDescent="0.75">
      <c r="B53" s="11" t="str">
        <f>$B$10&amp;"."&amp;HospitalDischargeReport!B50</f>
        <v>HospitalDischargeReport.header.author.dateTime</v>
      </c>
      <c r="N53" s="11">
        <v>44</v>
      </c>
      <c r="O53" s="11">
        <f t="shared" si="5"/>
        <v>8</v>
      </c>
      <c r="P53" s="11">
        <f t="shared" si="6"/>
        <v>4</v>
      </c>
      <c r="Q53" s="12" cm="1">
        <f t="array" ref="Q53">INDEX('HospitalDischargeRep-ConceptMap'!$H$10:$L$264,O53+1,P53)</f>
        <v>0</v>
      </c>
    </row>
    <row r="54" spans="2:17" x14ac:dyDescent="0.75">
      <c r="B54" s="11" t="str">
        <f>$B$10&amp;"."&amp;HospitalDischargeReport!B51</f>
        <v>HospitalDischargeReport.header.attester</v>
      </c>
      <c r="N54" s="11">
        <v>45</v>
      </c>
      <c r="O54" s="11">
        <f t="shared" si="5"/>
        <v>8</v>
      </c>
      <c r="P54" s="11">
        <f t="shared" si="6"/>
        <v>5</v>
      </c>
      <c r="Q54" s="12" cm="1">
        <f t="array" ref="Q54">INDEX('HospitalDischargeRep-ConceptMap'!$H$10:$L$264,O54+1,P54)</f>
        <v>0</v>
      </c>
    </row>
    <row r="55" spans="2:17" x14ac:dyDescent="0.75">
      <c r="B55" s="11" t="str">
        <f>$B$10&amp;"."&amp;HospitalDischargeReport!B52</f>
        <v>HospitalDischargeReport.header.attester.identifier</v>
      </c>
      <c r="N55" s="11">
        <v>46</v>
      </c>
      <c r="O55" s="11">
        <f t="shared" si="5"/>
        <v>9</v>
      </c>
      <c r="P55" s="11">
        <f t="shared" si="6"/>
        <v>1</v>
      </c>
      <c r="Q55" s="12" cm="1">
        <f t="array" ref="Q55">INDEX('HospitalDischargeRep-ConceptMap'!$H$10:$L$264,O55+1,P55)</f>
        <v>0</v>
      </c>
    </row>
    <row r="56" spans="2:17" x14ac:dyDescent="0.75">
      <c r="B56" s="11" t="str">
        <f>$B$10&amp;"."&amp;HospitalDischargeReport!B53</f>
        <v>HospitalDischargeReport.header.attester.name</v>
      </c>
      <c r="N56" s="11">
        <v>47</v>
      </c>
      <c r="O56" s="11">
        <f t="shared" si="5"/>
        <v>9</v>
      </c>
      <c r="P56" s="11">
        <f t="shared" si="6"/>
        <v>2</v>
      </c>
      <c r="Q56" s="12" cm="1">
        <f t="array" ref="Q56">INDEX('HospitalDischargeRep-ConceptMap'!$H$10:$L$264,O56+1,P56)</f>
        <v>0</v>
      </c>
    </row>
    <row r="57" spans="2:17" x14ac:dyDescent="0.75">
      <c r="B57" s="11" t="str">
        <f>$B$10&amp;"."&amp;HospitalDischargeReport!B54</f>
        <v>HospitalDischargeReport.header.attester.organizationID</v>
      </c>
      <c r="N57" s="11">
        <v>48</v>
      </c>
      <c r="O57" s="11">
        <f t="shared" si="5"/>
        <v>9</v>
      </c>
      <c r="P57" s="11">
        <f t="shared" si="6"/>
        <v>3</v>
      </c>
      <c r="Q57" s="12" cm="1">
        <f t="array" ref="Q57">INDEX('HospitalDischargeRep-ConceptMap'!$H$10:$L$264,O57+1,P57)</f>
        <v>0</v>
      </c>
    </row>
    <row r="58" spans="2:17" x14ac:dyDescent="0.75">
      <c r="B58" s="11" t="str">
        <f>$B$10&amp;"."&amp;HospitalDischargeReport!B55</f>
        <v>HospitalDischargeReport.header.attester.organization</v>
      </c>
      <c r="N58" s="11">
        <v>49</v>
      </c>
      <c r="O58" s="11">
        <f t="shared" si="5"/>
        <v>9</v>
      </c>
      <c r="P58" s="11">
        <f t="shared" si="6"/>
        <v>4</v>
      </c>
      <c r="Q58" s="12" cm="1">
        <f t="array" ref="Q58">INDEX('HospitalDischargeRep-ConceptMap'!$H$10:$L$264,O58+1,P58)</f>
        <v>0</v>
      </c>
    </row>
    <row r="59" spans="2:17" x14ac:dyDescent="0.75">
      <c r="B59" s="11" t="str">
        <f>$B$10&amp;"."&amp;HospitalDischargeReport!B56</f>
        <v>HospitalDischargeReport.header.attester.dateTime</v>
      </c>
      <c r="N59" s="11">
        <v>50</v>
      </c>
      <c r="O59" s="11">
        <f t="shared" si="5"/>
        <v>9</v>
      </c>
      <c r="P59" s="11">
        <f t="shared" si="6"/>
        <v>5</v>
      </c>
      <c r="Q59" s="12" cm="1">
        <f t="array" ref="Q59">INDEX('HospitalDischargeRep-ConceptMap'!$H$10:$L$264,O59+1,P59)</f>
        <v>0</v>
      </c>
    </row>
    <row r="60" spans="2:17" x14ac:dyDescent="0.75">
      <c r="B60" s="11" t="str">
        <f>$B$10&amp;"."&amp;HospitalDischargeReport!B57</f>
        <v>HospitalDischargeReport.header.legalAuthenticator</v>
      </c>
      <c r="N60" s="11">
        <v>51</v>
      </c>
      <c r="O60" s="11">
        <f t="shared" si="5"/>
        <v>10</v>
      </c>
      <c r="P60" s="11">
        <f t="shared" si="6"/>
        <v>1</v>
      </c>
      <c r="Q60" s="12" cm="1">
        <f t="array" ref="Q60">INDEX('HospitalDischargeRep-ConceptMap'!$H$10:$L$264,O60+1,P60)</f>
        <v>0</v>
      </c>
    </row>
    <row r="61" spans="2:17" x14ac:dyDescent="0.75">
      <c r="B61" s="11" t="str">
        <f>$B$10&amp;"."&amp;HospitalDischargeReport!B58</f>
        <v>HospitalDischargeReport.header.legalAuthenticator.identifier</v>
      </c>
      <c r="N61" s="11">
        <v>52</v>
      </c>
      <c r="O61" s="11">
        <f t="shared" si="5"/>
        <v>10</v>
      </c>
      <c r="P61" s="11">
        <f t="shared" si="6"/>
        <v>2</v>
      </c>
      <c r="Q61" s="12" cm="1">
        <f t="array" ref="Q61">INDEX('HospitalDischargeRep-ConceptMap'!$H$10:$L$264,O61+1,P61)</f>
        <v>0</v>
      </c>
    </row>
    <row r="62" spans="2:17" x14ac:dyDescent="0.75">
      <c r="B62" s="11" t="str">
        <f>$B$10&amp;"."&amp;HospitalDischargeReport!B59</f>
        <v>HospitalDischargeReport.header.legalAuthenticator.name</v>
      </c>
      <c r="N62" s="11">
        <v>53</v>
      </c>
      <c r="O62" s="11">
        <f t="shared" si="5"/>
        <v>10</v>
      </c>
      <c r="P62" s="11">
        <f t="shared" si="6"/>
        <v>3</v>
      </c>
      <c r="Q62" s="12" cm="1">
        <f t="array" ref="Q62">INDEX('HospitalDischargeRep-ConceptMap'!$H$10:$L$264,O62+1,P62)</f>
        <v>0</v>
      </c>
    </row>
    <row r="63" spans="2:17" x14ac:dyDescent="0.75">
      <c r="B63" s="11" t="str">
        <f>$B$10&amp;"."&amp;HospitalDischargeReport!B60</f>
        <v>HospitalDischargeReport.header.legalAuthenticator.organizationID</v>
      </c>
      <c r="N63" s="11">
        <v>54</v>
      </c>
      <c r="O63" s="11">
        <f t="shared" si="5"/>
        <v>10</v>
      </c>
      <c r="P63" s="11">
        <f t="shared" si="6"/>
        <v>4</v>
      </c>
      <c r="Q63" s="12" cm="1">
        <f t="array" ref="Q63">INDEX('HospitalDischargeRep-ConceptMap'!$H$10:$L$264,O63+1,P63)</f>
        <v>0</v>
      </c>
    </row>
    <row r="64" spans="2:17" x14ac:dyDescent="0.75">
      <c r="B64" s="11" t="str">
        <f>$B$10&amp;"."&amp;HospitalDischargeReport!B61</f>
        <v>HospitalDischargeReport.header.legalAuthenticator.organization</v>
      </c>
      <c r="N64" s="11">
        <v>55</v>
      </c>
      <c r="O64" s="11">
        <f t="shared" si="5"/>
        <v>10</v>
      </c>
      <c r="P64" s="11">
        <f t="shared" si="6"/>
        <v>5</v>
      </c>
      <c r="Q64" s="12" cm="1">
        <f t="array" ref="Q64">INDEX('HospitalDischargeRep-ConceptMap'!$H$10:$L$264,O64+1,P64)</f>
        <v>0</v>
      </c>
    </row>
    <row r="65" spans="2:17" x14ac:dyDescent="0.75">
      <c r="B65" s="11" t="str">
        <f>$B$10&amp;"."&amp;HospitalDischargeReport!B62</f>
        <v>HospitalDischargeReport.header.legalAuthenticator.dateTime</v>
      </c>
      <c r="N65" s="11">
        <v>56</v>
      </c>
      <c r="O65" s="11">
        <f t="shared" si="5"/>
        <v>11</v>
      </c>
      <c r="P65" s="11">
        <f t="shared" si="6"/>
        <v>1</v>
      </c>
      <c r="Q65" s="12" cm="1">
        <f t="array" ref="Q65">INDEX('HospitalDischargeRep-ConceptMap'!$H$10:$L$264,O65+1,P65)</f>
        <v>0</v>
      </c>
    </row>
    <row r="66" spans="2:17" x14ac:dyDescent="0.75">
      <c r="B66" s="11" t="str">
        <f>$B$10&amp;"."&amp;HospitalDischargeReport!B63</f>
        <v>HospitalDischargeReport.header.documentMetadata</v>
      </c>
      <c r="N66" s="11">
        <v>57</v>
      </c>
      <c r="O66" s="11">
        <f t="shared" si="5"/>
        <v>11</v>
      </c>
      <c r="P66" s="11">
        <f t="shared" si="6"/>
        <v>2</v>
      </c>
      <c r="Q66" s="12" cm="1">
        <f t="array" ref="Q66">INDEX('HospitalDischargeRep-ConceptMap'!$H$10:$L$264,O66+1,P66)</f>
        <v>0</v>
      </c>
    </row>
    <row r="67" spans="2:17" x14ac:dyDescent="0.75">
      <c r="B67" s="11" t="str">
        <f>$B$10&amp;"."&amp;HospitalDischargeReport!B64</f>
        <v>HospitalDischargeReport.header.documentMetadata.identifier</v>
      </c>
      <c r="N67" s="11">
        <v>58</v>
      </c>
      <c r="O67" s="11">
        <f t="shared" si="5"/>
        <v>11</v>
      </c>
      <c r="P67" s="11">
        <f t="shared" si="6"/>
        <v>3</v>
      </c>
      <c r="Q67" s="12" cm="1">
        <f t="array" ref="Q67">INDEX('HospitalDischargeRep-ConceptMap'!$H$10:$L$264,O67+1,P67)</f>
        <v>0</v>
      </c>
    </row>
    <row r="68" spans="2:17" x14ac:dyDescent="0.75">
      <c r="B68" s="11" t="str">
        <f>$B$10&amp;"."&amp;HospitalDischargeReport!B65</f>
        <v>HospitalDischargeReport.header.documentMetadata.type</v>
      </c>
      <c r="N68" s="11">
        <v>59</v>
      </c>
      <c r="O68" s="11">
        <f t="shared" si="5"/>
        <v>11</v>
      </c>
      <c r="P68" s="11">
        <f t="shared" si="6"/>
        <v>4</v>
      </c>
      <c r="Q68" s="12" cm="1">
        <f t="array" ref="Q68">INDEX('HospitalDischargeRep-ConceptMap'!$H$10:$L$264,O68+1,P68)</f>
        <v>0</v>
      </c>
    </row>
    <row r="69" spans="2:17" x14ac:dyDescent="0.75">
      <c r="B69" s="11" t="str">
        <f>$B$10&amp;"."&amp;HospitalDischargeReport!B66</f>
        <v>HospitalDischargeReport.header.documentMetadata.status</v>
      </c>
      <c r="N69" s="11">
        <v>60</v>
      </c>
      <c r="O69" s="11">
        <f t="shared" si="5"/>
        <v>11</v>
      </c>
      <c r="P69" s="11">
        <f t="shared" si="6"/>
        <v>5</v>
      </c>
      <c r="Q69" s="12" cm="1">
        <f t="array" ref="Q69">INDEX('HospitalDischargeRep-ConceptMap'!$H$10:$L$264,O69+1,P69)</f>
        <v>0</v>
      </c>
    </row>
    <row r="70" spans="2:17" x14ac:dyDescent="0.75">
      <c r="B70" s="11" t="str">
        <f>$B$10&amp;"."&amp;HospitalDischargeReport!B67</f>
        <v>HospitalDischargeReport.header.documentMetadata.dateTime</v>
      </c>
      <c r="N70" s="11">
        <v>61</v>
      </c>
      <c r="O70" s="11">
        <f t="shared" si="5"/>
        <v>12</v>
      </c>
      <c r="P70" s="11">
        <f t="shared" si="6"/>
        <v>1</v>
      </c>
      <c r="Q70" s="12" cm="1">
        <f t="array" ref="Q70">INDEX('HospitalDischargeRep-ConceptMap'!$H$10:$L$264,O70+1,P70)</f>
        <v>0</v>
      </c>
    </row>
    <row r="71" spans="2:17" x14ac:dyDescent="0.75">
      <c r="B71" s="11" t="str">
        <f>$B$10&amp;"."&amp;HospitalDischargeReport!B68</f>
        <v>HospitalDischargeReport.header.documentMetadata.title</v>
      </c>
      <c r="N71" s="11">
        <v>62</v>
      </c>
      <c r="O71" s="11">
        <f t="shared" si="5"/>
        <v>12</v>
      </c>
      <c r="P71" s="11">
        <f t="shared" si="6"/>
        <v>2</v>
      </c>
      <c r="Q71" s="12" cm="1">
        <f t="array" ref="Q71">INDEX('HospitalDischargeRep-ConceptMap'!$H$10:$L$264,O71+1,P71)</f>
        <v>0</v>
      </c>
    </row>
    <row r="72" spans="2:17" x14ac:dyDescent="0.75">
      <c r="B72" s="11" t="str">
        <f>$B$10&amp;"."&amp;HospitalDischargeReport!B69</f>
        <v>HospitalDischargeReport.header.documentMetadata.custodian</v>
      </c>
      <c r="N72" s="11">
        <v>63</v>
      </c>
      <c r="O72" s="11">
        <f t="shared" si="5"/>
        <v>12</v>
      </c>
      <c r="P72" s="11">
        <f t="shared" si="6"/>
        <v>3</v>
      </c>
      <c r="Q72" s="12" cm="1">
        <f t="array" ref="Q72">INDEX('HospitalDischargeRep-ConceptMap'!$H$10:$L$264,O72+1,P72)</f>
        <v>0</v>
      </c>
    </row>
    <row r="73" spans="2:17" x14ac:dyDescent="0.75">
      <c r="B73" s="11" t="str">
        <f>$B$10&amp;"."&amp;HospitalDischargeReport!B70</f>
        <v>HospitalDischargeReport.header.documentMetadata.confidentiality</v>
      </c>
      <c r="N73" s="11">
        <v>64</v>
      </c>
      <c r="O73" s="11">
        <f t="shared" si="5"/>
        <v>12</v>
      </c>
      <c r="P73" s="11">
        <f t="shared" si="6"/>
        <v>4</v>
      </c>
      <c r="Q73" s="12" cm="1">
        <f t="array" ref="Q73">INDEX('HospitalDischargeRep-ConceptMap'!$H$10:$L$264,O73+1,P73)</f>
        <v>0</v>
      </c>
    </row>
    <row r="74" spans="2:17" x14ac:dyDescent="0.75">
      <c r="B74" s="11" t="str">
        <f>$B$10&amp;"."&amp;HospitalDischargeReport!B71</f>
        <v>HospitalDischargeReport.header.documentMetadata.language</v>
      </c>
      <c r="N74" s="11">
        <v>65</v>
      </c>
      <c r="O74" s="11">
        <f t="shared" si="5"/>
        <v>12</v>
      </c>
      <c r="P74" s="11">
        <f t="shared" si="6"/>
        <v>5</v>
      </c>
      <c r="Q74" s="12" cm="1">
        <f t="array" ref="Q74">INDEX('HospitalDischargeRep-ConceptMap'!$H$10:$L$264,O74+1,P74)</f>
        <v>0</v>
      </c>
    </row>
    <row r="75" spans="2:17" x14ac:dyDescent="0.75">
      <c r="B75" s="11" t="str">
        <f>$B$10&amp;"."&amp;HospitalDischargeReport!B72</f>
        <v>HospitalDischargeReport.header.documentMetadata.version</v>
      </c>
      <c r="N75" s="11">
        <v>66</v>
      </c>
      <c r="O75" s="11">
        <f t="shared" ref="O75:O138" si="7">IF(MOD(N75,$O$3)=0,N75/$O$3-1,INT(N75/$O$3))</f>
        <v>13</v>
      </c>
      <c r="P75" s="11">
        <f t="shared" ref="P75:P138" si="8">IF(MOD(N75,$O$3)=0,$O$3,MOD(N75,$O$3))</f>
        <v>1</v>
      </c>
      <c r="Q75" s="12" cm="1">
        <f t="array" ref="Q75">INDEX('HospitalDischargeRep-ConceptMap'!$H$10:$L$264,O75+1,P75)</f>
        <v>0</v>
      </c>
    </row>
    <row r="76" spans="2:17" x14ac:dyDescent="0.75">
      <c r="B76" s="11" t="str">
        <f>$B$10&amp;"."&amp;HospitalDischargeReport!B73</f>
        <v>HospitalDischargeReport.header.digitalSignature</v>
      </c>
      <c r="N76" s="11">
        <v>67</v>
      </c>
      <c r="O76" s="11">
        <f t="shared" si="7"/>
        <v>13</v>
      </c>
      <c r="P76" s="11">
        <f t="shared" si="8"/>
        <v>2</v>
      </c>
      <c r="Q76" s="12" cm="1">
        <f t="array" ref="Q76">INDEX('HospitalDischargeRep-ConceptMap'!$H$10:$L$264,O76+1,P76)</f>
        <v>0</v>
      </c>
    </row>
    <row r="77" spans="2:17" x14ac:dyDescent="0.75">
      <c r="B77" s="11" t="str">
        <f>$B$10&amp;"."&amp;HospitalDischargeReport!B74</f>
        <v>HospitalDischargeReport.header.digitalSignature.signature</v>
      </c>
      <c r="N77" s="11">
        <v>68</v>
      </c>
      <c r="O77" s="11">
        <f t="shared" si="7"/>
        <v>13</v>
      </c>
      <c r="P77" s="11">
        <f t="shared" si="8"/>
        <v>3</v>
      </c>
      <c r="Q77" s="12" cm="1">
        <f t="array" ref="Q77">INDEX('HospitalDischargeRep-ConceptMap'!$H$10:$L$264,O77+1,P77)</f>
        <v>0</v>
      </c>
    </row>
    <row r="78" spans="2:17" x14ac:dyDescent="0.75">
      <c r="B78" s="11" t="str">
        <f>$B$10&amp;"."&amp;HospitalDischargeReport!B75</f>
        <v>HospitalDischargeReport.header.digitalSignature.timeStamp</v>
      </c>
      <c r="N78" s="11">
        <v>69</v>
      </c>
      <c r="O78" s="11">
        <f t="shared" si="7"/>
        <v>13</v>
      </c>
      <c r="P78" s="11">
        <f t="shared" si="8"/>
        <v>4</v>
      </c>
      <c r="Q78" s="12" cm="1">
        <f t="array" ref="Q78">INDEX('HospitalDischargeRep-ConceptMap'!$H$10:$L$264,O78+1,P78)</f>
        <v>0</v>
      </c>
    </row>
    <row r="79" spans="2:17" x14ac:dyDescent="0.75">
      <c r="B79" s="11" t="str">
        <f>$B$10&amp;"."&amp;HospitalDischargeReport!B76</f>
        <v>HospitalDischargeReport.body</v>
      </c>
      <c r="N79" s="11">
        <v>70</v>
      </c>
      <c r="O79" s="11">
        <f t="shared" si="7"/>
        <v>13</v>
      </c>
      <c r="P79" s="11">
        <f t="shared" si="8"/>
        <v>5</v>
      </c>
      <c r="Q79" s="12" cm="1">
        <f t="array" ref="Q79">INDEX('HospitalDischargeRep-ConceptMap'!$H$10:$L$264,O79+1,P79)</f>
        <v>0</v>
      </c>
    </row>
    <row r="80" spans="2:17" x14ac:dyDescent="0.75">
      <c r="B80" s="11" t="str">
        <f>$B$10&amp;"."&amp;HospitalDischargeReport!B77</f>
        <v>HospitalDischargeReport.body.advanceDirectives</v>
      </c>
      <c r="N80" s="11">
        <v>71</v>
      </c>
      <c r="O80" s="11">
        <f t="shared" si="7"/>
        <v>14</v>
      </c>
      <c r="P80" s="11">
        <f t="shared" si="8"/>
        <v>1</v>
      </c>
      <c r="Q80" s="12" cm="1">
        <f t="array" ref="Q80">INDEX('HospitalDischargeRep-ConceptMap'!$H$10:$L$264,O80+1,P80)</f>
        <v>0</v>
      </c>
    </row>
    <row r="81" spans="2:17" x14ac:dyDescent="0.75">
      <c r="B81" s="11" t="str">
        <f>$B$10&amp;"."&amp;HospitalDischargeReport!B78</f>
        <v>HospitalDischargeReport.body.emergencyInfos</v>
      </c>
      <c r="N81" s="11">
        <v>72</v>
      </c>
      <c r="O81" s="11">
        <f t="shared" si="7"/>
        <v>14</v>
      </c>
      <c r="P81" s="11">
        <f t="shared" si="8"/>
        <v>2</v>
      </c>
      <c r="Q81" s="12" cm="1">
        <f t="array" ref="Q81">INDEX('HospitalDischargeRep-ConceptMap'!$H$10:$L$264,O81+1,P81)</f>
        <v>0</v>
      </c>
    </row>
    <row r="82" spans="2:17" x14ac:dyDescent="0.75">
      <c r="B82" s="11" t="str">
        <f>$B$10&amp;"."&amp;HospitalDischargeReport!B79</f>
        <v>HospitalDischargeReport.body.encounter</v>
      </c>
      <c r="N82" s="11">
        <v>73</v>
      </c>
      <c r="O82" s="11">
        <f t="shared" si="7"/>
        <v>14</v>
      </c>
      <c r="P82" s="11">
        <f t="shared" si="8"/>
        <v>3</v>
      </c>
      <c r="Q82" s="12" cm="1">
        <f t="array" ref="Q82">INDEX('HospitalDischargeRep-ConceptMap'!$H$10:$L$264,O82+1,P82)</f>
        <v>0</v>
      </c>
    </row>
    <row r="83" spans="2:17" x14ac:dyDescent="0.75">
      <c r="B83" s="11" t="str">
        <f>$B$10&amp;"."&amp;HospitalDischargeReport!B80</f>
        <v>HospitalDischargeReport.body.admissionEvaluation</v>
      </c>
      <c r="N83" s="11">
        <v>74</v>
      </c>
      <c r="O83" s="11">
        <f t="shared" si="7"/>
        <v>14</v>
      </c>
      <c r="P83" s="11">
        <f t="shared" si="8"/>
        <v>4</v>
      </c>
      <c r="Q83" s="12" cm="1">
        <f t="array" ref="Q83">INDEX('HospitalDischargeRep-ConceptMap'!$H$10:$L$264,O83+1,P83)</f>
        <v>0</v>
      </c>
    </row>
    <row r="84" spans="2:17" x14ac:dyDescent="0.75">
      <c r="B84" s="11" t="str">
        <f>$B$10&amp;"."&amp;HospitalDischargeReport!B81</f>
        <v>HospitalDischargeReport.body.patientHistory</v>
      </c>
      <c r="N84" s="11">
        <v>75</v>
      </c>
      <c r="O84" s="11">
        <f t="shared" si="7"/>
        <v>14</v>
      </c>
      <c r="P84" s="11">
        <f t="shared" si="8"/>
        <v>5</v>
      </c>
      <c r="Q84" s="12" cm="1">
        <f t="array" ref="Q84">INDEX('HospitalDischargeRep-ConceptMap'!$H$10:$L$264,O84+1,P84)</f>
        <v>0</v>
      </c>
    </row>
    <row r="85" spans="2:17" x14ac:dyDescent="0.75">
      <c r="B85" s="11" t="str">
        <f>$B$10&amp;"."&amp;HospitalDischargeReport!B82</f>
        <v>HospitalDischargeReport.body.hospitalStay</v>
      </c>
      <c r="N85" s="11">
        <v>76</v>
      </c>
      <c r="O85" s="11">
        <f t="shared" si="7"/>
        <v>15</v>
      </c>
      <c r="P85" s="11">
        <f t="shared" si="8"/>
        <v>1</v>
      </c>
      <c r="Q85" s="12" cm="1">
        <f t="array" ref="Q85">INDEX('HospitalDischargeRep-ConceptMap'!$H$10:$L$264,O85+1,P85)</f>
        <v>0</v>
      </c>
    </row>
    <row r="86" spans="2:17" x14ac:dyDescent="0.75">
      <c r="B86" s="11" t="str">
        <f>$B$10&amp;"."&amp;HospitalDischargeReport!B83</f>
        <v>HospitalDischargeReport.body.dischargeDetails</v>
      </c>
      <c r="N86" s="11">
        <v>77</v>
      </c>
      <c r="O86" s="11">
        <f t="shared" si="7"/>
        <v>15</v>
      </c>
      <c r="P86" s="11">
        <f t="shared" si="8"/>
        <v>2</v>
      </c>
      <c r="Q86" s="12" cm="1">
        <f t="array" ref="Q86">INDEX('HospitalDischargeRep-ConceptMap'!$H$10:$L$264,O86+1,P86)</f>
        <v>0</v>
      </c>
    </row>
    <row r="87" spans="2:17" x14ac:dyDescent="0.75">
      <c r="B87" s="11" t="str">
        <f>$B$10&amp;"."&amp;HospitalDischargeReport!B84</f>
        <v>HospitalDischargeReport.body.recommendations</v>
      </c>
      <c r="N87" s="11">
        <v>78</v>
      </c>
      <c r="O87" s="11">
        <f t="shared" si="7"/>
        <v>15</v>
      </c>
      <c r="P87" s="11">
        <f t="shared" si="8"/>
        <v>3</v>
      </c>
      <c r="Q87" s="12" cm="1">
        <f t="array" ref="Q87">INDEX('HospitalDischargeRep-ConceptMap'!$H$10:$L$264,O87+1,P87)</f>
        <v>0</v>
      </c>
    </row>
    <row r="88" spans="2:17" x14ac:dyDescent="0.75">
      <c r="B88" s="11"/>
      <c r="N88" s="11">
        <v>79</v>
      </c>
      <c r="O88" s="11">
        <f t="shared" si="7"/>
        <v>15</v>
      </c>
      <c r="P88" s="11">
        <f t="shared" si="8"/>
        <v>4</v>
      </c>
      <c r="Q88" s="12" cm="1">
        <f t="array" ref="Q88">INDEX('HospitalDischargeRep-ConceptMap'!$H$10:$L$264,O88+1,P88)</f>
        <v>0</v>
      </c>
    </row>
    <row r="89" spans="2:17" x14ac:dyDescent="0.75">
      <c r="B89" s="11"/>
      <c r="N89" s="11">
        <v>80</v>
      </c>
      <c r="O89" s="11">
        <f t="shared" si="7"/>
        <v>15</v>
      </c>
      <c r="P89" s="11">
        <f t="shared" si="8"/>
        <v>5</v>
      </c>
      <c r="Q89" s="12" cm="1">
        <f t="array" ref="Q89">INDEX('HospitalDischargeRep-ConceptMap'!$H$10:$L$264,O89+1,P89)</f>
        <v>0</v>
      </c>
    </row>
    <row r="90" spans="2:17" x14ac:dyDescent="0.75">
      <c r="B90" s="11"/>
      <c r="N90" s="11">
        <v>81</v>
      </c>
      <c r="O90" s="11">
        <f t="shared" si="7"/>
        <v>16</v>
      </c>
      <c r="P90" s="11">
        <f t="shared" si="8"/>
        <v>1</v>
      </c>
      <c r="Q90" s="12" cm="1">
        <f t="array" ref="Q90">INDEX('HospitalDischargeRep-ConceptMap'!$H$10:$L$264,O90+1,P90)</f>
        <v>0</v>
      </c>
    </row>
    <row r="91" spans="2:17" x14ac:dyDescent="0.75">
      <c r="B91" s="11"/>
      <c r="N91" s="11">
        <v>82</v>
      </c>
      <c r="O91" s="11">
        <f t="shared" si="7"/>
        <v>16</v>
      </c>
      <c r="P91" s="11">
        <f t="shared" si="8"/>
        <v>2</v>
      </c>
      <c r="Q91" s="12" cm="1">
        <f t="array" ref="Q91">INDEX('HospitalDischargeRep-ConceptMap'!$H$10:$L$264,O91+1,P91)</f>
        <v>0</v>
      </c>
    </row>
    <row r="92" spans="2:17" x14ac:dyDescent="0.75">
      <c r="B92" s="11"/>
      <c r="N92" s="11">
        <v>83</v>
      </c>
      <c r="O92" s="11">
        <f t="shared" si="7"/>
        <v>16</v>
      </c>
      <c r="P92" s="11">
        <f t="shared" si="8"/>
        <v>3</v>
      </c>
      <c r="Q92" s="12" cm="1">
        <f t="array" ref="Q92">INDEX('HospitalDischargeRep-ConceptMap'!$H$10:$L$264,O92+1,P92)</f>
        <v>0</v>
      </c>
    </row>
    <row r="93" spans="2:17" x14ac:dyDescent="0.75">
      <c r="B93" s="11"/>
      <c r="N93" s="11">
        <v>84</v>
      </c>
      <c r="O93" s="11">
        <f t="shared" si="7"/>
        <v>16</v>
      </c>
      <c r="P93" s="11">
        <f t="shared" si="8"/>
        <v>4</v>
      </c>
      <c r="Q93" s="12" cm="1">
        <f t="array" ref="Q93">INDEX('HospitalDischargeRep-ConceptMap'!$H$10:$L$264,O93+1,P93)</f>
        <v>0</v>
      </c>
    </row>
    <row r="94" spans="2:17" x14ac:dyDescent="0.75">
      <c r="B94" s="11"/>
      <c r="N94" s="11">
        <v>85</v>
      </c>
      <c r="O94" s="11">
        <f t="shared" si="7"/>
        <v>16</v>
      </c>
      <c r="P94" s="11">
        <f t="shared" si="8"/>
        <v>5</v>
      </c>
      <c r="Q94" s="12" cm="1">
        <f t="array" ref="Q94">INDEX('HospitalDischargeRep-ConceptMap'!$H$10:$L$264,O94+1,P94)</f>
        <v>0</v>
      </c>
    </row>
    <row r="95" spans="2:17" x14ac:dyDescent="0.75">
      <c r="B95" s="11"/>
      <c r="N95" s="11">
        <v>86</v>
      </c>
      <c r="O95" s="11">
        <f t="shared" si="7"/>
        <v>17</v>
      </c>
      <c r="P95" s="11">
        <f t="shared" si="8"/>
        <v>1</v>
      </c>
      <c r="Q95" s="12" cm="1">
        <f t="array" ref="Q95">INDEX('HospitalDischargeRep-ConceptMap'!$H$10:$L$264,O95+1,P95)</f>
        <v>0</v>
      </c>
    </row>
    <row r="96" spans="2:17" x14ac:dyDescent="0.75">
      <c r="B96" s="11"/>
      <c r="N96" s="11">
        <v>87</v>
      </c>
      <c r="O96" s="11">
        <f t="shared" si="7"/>
        <v>17</v>
      </c>
      <c r="P96" s="11">
        <f t="shared" si="8"/>
        <v>2</v>
      </c>
      <c r="Q96" s="12" cm="1">
        <f t="array" ref="Q96">INDEX('HospitalDischargeRep-ConceptMap'!$H$10:$L$264,O96+1,P96)</f>
        <v>0</v>
      </c>
    </row>
    <row r="97" spans="2:17" x14ac:dyDescent="0.75">
      <c r="B97" s="11"/>
      <c r="N97" s="11">
        <v>88</v>
      </c>
      <c r="O97" s="11">
        <f t="shared" si="7"/>
        <v>17</v>
      </c>
      <c r="P97" s="11">
        <f t="shared" si="8"/>
        <v>3</v>
      </c>
      <c r="Q97" s="12" cm="1">
        <f t="array" ref="Q97">INDEX('HospitalDischargeRep-ConceptMap'!$H$10:$L$264,O97+1,P97)</f>
        <v>0</v>
      </c>
    </row>
    <row r="98" spans="2:17" x14ac:dyDescent="0.75">
      <c r="N98" s="11">
        <v>89</v>
      </c>
      <c r="O98" s="11">
        <f t="shared" si="7"/>
        <v>17</v>
      </c>
      <c r="P98" s="11">
        <f t="shared" si="8"/>
        <v>4</v>
      </c>
      <c r="Q98" s="12" cm="1">
        <f t="array" ref="Q98">INDEX('HospitalDischargeRep-ConceptMap'!$H$10:$L$264,O98+1,P98)</f>
        <v>0</v>
      </c>
    </row>
    <row r="99" spans="2:17" x14ac:dyDescent="0.75">
      <c r="N99" s="11">
        <v>90</v>
      </c>
      <c r="O99" s="11">
        <f t="shared" si="7"/>
        <v>17</v>
      </c>
      <c r="P99" s="11">
        <f t="shared" si="8"/>
        <v>5</v>
      </c>
      <c r="Q99" s="12" cm="1">
        <f t="array" ref="Q99">INDEX('HospitalDischargeRep-ConceptMap'!$H$10:$L$264,O99+1,P99)</f>
        <v>0</v>
      </c>
    </row>
    <row r="100" spans="2:17" x14ac:dyDescent="0.75">
      <c r="N100" s="11">
        <v>91</v>
      </c>
      <c r="O100" s="11">
        <f t="shared" si="7"/>
        <v>18</v>
      </c>
      <c r="P100" s="11">
        <f t="shared" si="8"/>
        <v>1</v>
      </c>
      <c r="Q100" s="12" cm="1">
        <f t="array" ref="Q100">INDEX('HospitalDischargeRep-ConceptMap'!$H$10:$L$264,O100+1,P100)</f>
        <v>0</v>
      </c>
    </row>
    <row r="101" spans="2:17" x14ac:dyDescent="0.75">
      <c r="N101" s="11">
        <v>92</v>
      </c>
      <c r="O101" s="11">
        <f t="shared" si="7"/>
        <v>18</v>
      </c>
      <c r="P101" s="11">
        <f t="shared" si="8"/>
        <v>2</v>
      </c>
      <c r="Q101" s="12" cm="1">
        <f t="array" ref="Q101">INDEX('HospitalDischargeRep-ConceptMap'!U85:Y339,1+O101,P101)</f>
        <v>0</v>
      </c>
    </row>
    <row r="102" spans="2:17" x14ac:dyDescent="0.75">
      <c r="N102" s="11">
        <v>93</v>
      </c>
      <c r="O102" s="11">
        <f t="shared" si="7"/>
        <v>18</v>
      </c>
      <c r="P102" s="11">
        <f t="shared" si="8"/>
        <v>3</v>
      </c>
      <c r="Q102" s="12" cm="1">
        <f t="array" ref="Q102">INDEX('HospitalDischargeRep-ConceptMap'!U86:Y340,1+O102,P102)</f>
        <v>0</v>
      </c>
    </row>
    <row r="103" spans="2:17" x14ac:dyDescent="0.75">
      <c r="N103" s="11">
        <v>94</v>
      </c>
      <c r="O103" s="11">
        <f t="shared" si="7"/>
        <v>18</v>
      </c>
      <c r="P103" s="11">
        <f t="shared" si="8"/>
        <v>4</v>
      </c>
      <c r="Q103" s="12" cm="1">
        <f t="array" ref="Q103">INDEX('HospitalDischargeRep-ConceptMap'!U87:Y341,1+O103,P103)</f>
        <v>0</v>
      </c>
    </row>
    <row r="104" spans="2:17" x14ac:dyDescent="0.75">
      <c r="N104" s="11">
        <v>95</v>
      </c>
      <c r="O104" s="11">
        <f t="shared" si="7"/>
        <v>18</v>
      </c>
      <c r="P104" s="11">
        <f t="shared" si="8"/>
        <v>5</v>
      </c>
      <c r="Q104" s="12" cm="1">
        <f t="array" ref="Q104">INDEX('HospitalDischargeRep-ConceptMap'!U88:Y342,1+O104,P104)</f>
        <v>0</v>
      </c>
    </row>
    <row r="105" spans="2:17" x14ac:dyDescent="0.75">
      <c r="N105" s="11">
        <v>96</v>
      </c>
      <c r="O105" s="11">
        <f t="shared" si="7"/>
        <v>19</v>
      </c>
      <c r="P105" s="11">
        <f t="shared" si="8"/>
        <v>1</v>
      </c>
      <c r="Q105" s="12" cm="1">
        <f t="array" ref="Q105">INDEX('HospitalDischargeRep-ConceptMap'!U89:Y343,1+O105,P105)</f>
        <v>0</v>
      </c>
    </row>
    <row r="106" spans="2:17" x14ac:dyDescent="0.75">
      <c r="N106" s="11">
        <v>97</v>
      </c>
      <c r="O106" s="11">
        <f t="shared" si="7"/>
        <v>19</v>
      </c>
      <c r="P106" s="11">
        <f t="shared" si="8"/>
        <v>2</v>
      </c>
      <c r="Q106" s="12" cm="1">
        <f t="array" ref="Q106">INDEX('HospitalDischargeRep-ConceptMap'!U90:Y344,1+O106,P106)</f>
        <v>0</v>
      </c>
    </row>
    <row r="107" spans="2:17" x14ac:dyDescent="0.75">
      <c r="N107" s="11">
        <v>98</v>
      </c>
      <c r="O107" s="11">
        <f t="shared" si="7"/>
        <v>19</v>
      </c>
      <c r="P107" s="11">
        <f t="shared" si="8"/>
        <v>3</v>
      </c>
      <c r="Q107" s="12" cm="1">
        <f t="array" ref="Q107">INDEX('HospitalDischargeRep-ConceptMap'!U91:Y345,1+O107,P107)</f>
        <v>0</v>
      </c>
    </row>
    <row r="108" spans="2:17" x14ac:dyDescent="0.75">
      <c r="N108" s="11">
        <v>99</v>
      </c>
      <c r="O108" s="11">
        <f t="shared" si="7"/>
        <v>19</v>
      </c>
      <c r="P108" s="11">
        <f t="shared" si="8"/>
        <v>4</v>
      </c>
      <c r="Q108" s="12" cm="1">
        <f t="array" ref="Q108">INDEX('HospitalDischargeRep-ConceptMap'!U92:Y346,1+O108,P108)</f>
        <v>0</v>
      </c>
    </row>
    <row r="109" spans="2:17" x14ac:dyDescent="0.75">
      <c r="N109" s="11">
        <v>100</v>
      </c>
      <c r="O109" s="11">
        <f t="shared" si="7"/>
        <v>19</v>
      </c>
      <c r="P109" s="11">
        <f t="shared" si="8"/>
        <v>5</v>
      </c>
      <c r="Q109" s="12" cm="1">
        <f t="array" ref="Q109">INDEX('HospitalDischargeRep-ConceptMap'!U93:Y347,1+O109,P109)</f>
        <v>0</v>
      </c>
    </row>
    <row r="110" spans="2:17" x14ac:dyDescent="0.75">
      <c r="N110" s="11">
        <v>101</v>
      </c>
      <c r="O110" s="11">
        <f t="shared" si="7"/>
        <v>20</v>
      </c>
      <c r="P110" s="11">
        <f t="shared" si="8"/>
        <v>1</v>
      </c>
      <c r="Q110" s="12" cm="1">
        <f t="array" ref="Q110">INDEX('HospitalDischargeRep-ConceptMap'!U94:Y348,1+O110,P110)</f>
        <v>0</v>
      </c>
    </row>
    <row r="111" spans="2:17" x14ac:dyDescent="0.75">
      <c r="N111" s="11">
        <v>102</v>
      </c>
      <c r="O111" s="11">
        <f t="shared" si="7"/>
        <v>20</v>
      </c>
      <c r="P111" s="11">
        <f t="shared" si="8"/>
        <v>2</v>
      </c>
      <c r="Q111" s="12" cm="1">
        <f t="array" ref="Q111">INDEX('HospitalDischargeRep-ConceptMap'!U95:Y349,1+O111,P111)</f>
        <v>0</v>
      </c>
    </row>
    <row r="112" spans="2:17" x14ac:dyDescent="0.75">
      <c r="N112" s="11">
        <v>103</v>
      </c>
      <c r="O112" s="11">
        <f t="shared" si="7"/>
        <v>20</v>
      </c>
      <c r="P112" s="11">
        <f t="shared" si="8"/>
        <v>3</v>
      </c>
      <c r="Q112" s="12" cm="1">
        <f t="array" ref="Q112">INDEX('HospitalDischargeRep-ConceptMap'!U96:Y350,1+O112,P112)</f>
        <v>0</v>
      </c>
    </row>
    <row r="113" spans="14:17" x14ac:dyDescent="0.75">
      <c r="N113" s="11">
        <v>104</v>
      </c>
      <c r="O113" s="11">
        <f t="shared" si="7"/>
        <v>20</v>
      </c>
      <c r="P113" s="11">
        <f t="shared" si="8"/>
        <v>4</v>
      </c>
      <c r="Q113" s="12" cm="1">
        <f t="array" ref="Q113">INDEX('HospitalDischargeRep-ConceptMap'!U97:Y351,1+O113,P113)</f>
        <v>0</v>
      </c>
    </row>
    <row r="114" spans="14:17" x14ac:dyDescent="0.75">
      <c r="N114" s="11">
        <v>105</v>
      </c>
      <c r="O114" s="11">
        <f t="shared" si="7"/>
        <v>20</v>
      </c>
      <c r="P114" s="11">
        <f t="shared" si="8"/>
        <v>5</v>
      </c>
      <c r="Q114" s="12" cm="1">
        <f t="array" ref="Q114">INDEX('HospitalDischargeRep-ConceptMap'!U98:Y352,1+O114,P114)</f>
        <v>0</v>
      </c>
    </row>
    <row r="115" spans="14:17" x14ac:dyDescent="0.75">
      <c r="N115" s="11">
        <v>106</v>
      </c>
      <c r="O115" s="11">
        <f t="shared" si="7"/>
        <v>21</v>
      </c>
      <c r="P115" s="11">
        <f t="shared" si="8"/>
        <v>1</v>
      </c>
      <c r="Q115" s="12" cm="1">
        <f t="array" ref="Q115">INDEX('HospitalDischargeRep-ConceptMap'!U99:Y353,1+O115,P115)</f>
        <v>0</v>
      </c>
    </row>
    <row r="116" spans="14:17" x14ac:dyDescent="0.75">
      <c r="N116" s="11">
        <v>107</v>
      </c>
      <c r="O116" s="11">
        <f t="shared" si="7"/>
        <v>21</v>
      </c>
      <c r="P116" s="11">
        <f t="shared" si="8"/>
        <v>2</v>
      </c>
      <c r="Q116" s="12" cm="1">
        <f t="array" ref="Q116">INDEX('HospitalDischargeRep-ConceptMap'!U100:Y354,1+O116,P116)</f>
        <v>0</v>
      </c>
    </row>
    <row r="117" spans="14:17" x14ac:dyDescent="0.75">
      <c r="N117" s="11">
        <v>108</v>
      </c>
      <c r="O117" s="11">
        <f t="shared" si="7"/>
        <v>21</v>
      </c>
      <c r="P117" s="11">
        <f t="shared" si="8"/>
        <v>3</v>
      </c>
      <c r="Q117" s="12" cm="1">
        <f t="array" ref="Q117">INDEX('HospitalDischargeRep-ConceptMap'!U101:Y355,1+O117,P117)</f>
        <v>0</v>
      </c>
    </row>
    <row r="118" spans="14:17" x14ac:dyDescent="0.75">
      <c r="N118" s="11">
        <v>109</v>
      </c>
      <c r="O118" s="11">
        <f t="shared" si="7"/>
        <v>21</v>
      </c>
      <c r="P118" s="11">
        <f t="shared" si="8"/>
        <v>4</v>
      </c>
      <c r="Q118" s="12" cm="1">
        <f t="array" ref="Q118">INDEX('HospitalDischargeRep-ConceptMap'!U102:Y356,1+O118,P118)</f>
        <v>0</v>
      </c>
    </row>
    <row r="119" spans="14:17" x14ac:dyDescent="0.75">
      <c r="N119" s="11">
        <v>110</v>
      </c>
      <c r="O119" s="11">
        <f t="shared" si="7"/>
        <v>21</v>
      </c>
      <c r="P119" s="11">
        <f t="shared" si="8"/>
        <v>5</v>
      </c>
      <c r="Q119" s="12" cm="1">
        <f t="array" ref="Q119">INDEX('HospitalDischargeRep-ConceptMap'!U103:Y357,1+O119,P119)</f>
        <v>0</v>
      </c>
    </row>
    <row r="120" spans="14:17" x14ac:dyDescent="0.75">
      <c r="N120" s="11">
        <v>111</v>
      </c>
      <c r="O120" s="11">
        <f t="shared" si="7"/>
        <v>22</v>
      </c>
      <c r="P120" s="11">
        <f t="shared" si="8"/>
        <v>1</v>
      </c>
      <c r="Q120" s="12" cm="1">
        <f t="array" ref="Q120">INDEX('HospitalDischargeRep-ConceptMap'!U104:Y358,1+O120,P120)</f>
        <v>0</v>
      </c>
    </row>
    <row r="121" spans="14:17" x14ac:dyDescent="0.75">
      <c r="N121" s="11">
        <v>112</v>
      </c>
      <c r="O121" s="11">
        <f t="shared" si="7"/>
        <v>22</v>
      </c>
      <c r="P121" s="11">
        <f t="shared" si="8"/>
        <v>2</v>
      </c>
      <c r="Q121" s="12" cm="1">
        <f t="array" ref="Q121">INDEX('HospitalDischargeRep-ConceptMap'!U105:Y359,1+O121,P121)</f>
        <v>0</v>
      </c>
    </row>
    <row r="122" spans="14:17" x14ac:dyDescent="0.75">
      <c r="N122" s="11">
        <v>113</v>
      </c>
      <c r="O122" s="11">
        <f t="shared" si="7"/>
        <v>22</v>
      </c>
      <c r="P122" s="11">
        <f t="shared" si="8"/>
        <v>3</v>
      </c>
      <c r="Q122" s="12" cm="1">
        <f t="array" ref="Q122">INDEX('HospitalDischargeRep-ConceptMap'!U106:Y360,1+O122,P122)</f>
        <v>0</v>
      </c>
    </row>
    <row r="123" spans="14:17" x14ac:dyDescent="0.75">
      <c r="N123" s="11">
        <v>114</v>
      </c>
      <c r="O123" s="11">
        <f t="shared" si="7"/>
        <v>22</v>
      </c>
      <c r="P123" s="11">
        <f t="shared" si="8"/>
        <v>4</v>
      </c>
      <c r="Q123" s="12" cm="1">
        <f t="array" ref="Q123">INDEX('HospitalDischargeRep-ConceptMap'!U107:Y361,1+O123,P123)</f>
        <v>0</v>
      </c>
    </row>
    <row r="124" spans="14:17" x14ac:dyDescent="0.75">
      <c r="N124" s="11">
        <v>115</v>
      </c>
      <c r="O124" s="11">
        <f t="shared" si="7"/>
        <v>22</v>
      </c>
      <c r="P124" s="11">
        <f t="shared" si="8"/>
        <v>5</v>
      </c>
      <c r="Q124" s="12" cm="1">
        <f t="array" ref="Q124">INDEX('HospitalDischargeRep-ConceptMap'!U108:Y362,1+O124,P124)</f>
        <v>0</v>
      </c>
    </row>
    <row r="125" spans="14:17" x14ac:dyDescent="0.75">
      <c r="N125" s="11">
        <v>116</v>
      </c>
      <c r="O125" s="11">
        <f t="shared" si="7"/>
        <v>23</v>
      </c>
      <c r="P125" s="11">
        <f t="shared" si="8"/>
        <v>1</v>
      </c>
      <c r="Q125" s="12" cm="1">
        <f t="array" ref="Q125">INDEX('HospitalDischargeRep-ConceptMap'!U109:Y363,1+O125,P125)</f>
        <v>0</v>
      </c>
    </row>
    <row r="126" spans="14:17" x14ac:dyDescent="0.75">
      <c r="N126" s="11">
        <v>117</v>
      </c>
      <c r="O126" s="11">
        <f t="shared" si="7"/>
        <v>23</v>
      </c>
      <c r="P126" s="11">
        <f t="shared" si="8"/>
        <v>2</v>
      </c>
      <c r="Q126" s="12" cm="1">
        <f t="array" ref="Q126">INDEX('HospitalDischargeRep-ConceptMap'!U110:Y364,1+O126,P126)</f>
        <v>0</v>
      </c>
    </row>
    <row r="127" spans="14:17" x14ac:dyDescent="0.75">
      <c r="N127" s="11">
        <v>118</v>
      </c>
      <c r="O127" s="11">
        <f t="shared" si="7"/>
        <v>23</v>
      </c>
      <c r="P127" s="11">
        <f t="shared" si="8"/>
        <v>3</v>
      </c>
      <c r="Q127" s="12" cm="1">
        <f t="array" ref="Q127">INDEX('HospitalDischargeRep-ConceptMap'!U111:Y365,1+O127,P127)</f>
        <v>0</v>
      </c>
    </row>
    <row r="128" spans="14:17" x14ac:dyDescent="0.75">
      <c r="N128" s="11">
        <v>119</v>
      </c>
      <c r="O128" s="11">
        <f t="shared" si="7"/>
        <v>23</v>
      </c>
      <c r="P128" s="11">
        <f t="shared" si="8"/>
        <v>4</v>
      </c>
      <c r="Q128" s="12" cm="1">
        <f t="array" ref="Q128">INDEX('HospitalDischargeRep-ConceptMap'!U112:Y366,1+O128,P128)</f>
        <v>0</v>
      </c>
    </row>
    <row r="129" spans="14:17" x14ac:dyDescent="0.75">
      <c r="N129" s="11">
        <v>120</v>
      </c>
      <c r="O129" s="11">
        <f t="shared" si="7"/>
        <v>23</v>
      </c>
      <c r="P129" s="11">
        <f t="shared" si="8"/>
        <v>5</v>
      </c>
      <c r="Q129" s="12" cm="1">
        <f t="array" ref="Q129">INDEX('HospitalDischargeRep-ConceptMap'!U113:Y367,1+O129,P129)</f>
        <v>0</v>
      </c>
    </row>
    <row r="130" spans="14:17" x14ac:dyDescent="0.75">
      <c r="N130" s="11">
        <v>121</v>
      </c>
      <c r="O130" s="11">
        <f t="shared" si="7"/>
        <v>24</v>
      </c>
      <c r="P130" s="11">
        <f t="shared" si="8"/>
        <v>1</v>
      </c>
      <c r="Q130" s="12" cm="1">
        <f t="array" ref="Q130">INDEX('HospitalDischargeRep-ConceptMap'!U114:Y368,1+O130,P130)</f>
        <v>0</v>
      </c>
    </row>
    <row r="131" spans="14:17" x14ac:dyDescent="0.75">
      <c r="N131" s="11">
        <v>122</v>
      </c>
      <c r="O131" s="11">
        <f t="shared" si="7"/>
        <v>24</v>
      </c>
      <c r="P131" s="11">
        <f t="shared" si="8"/>
        <v>2</v>
      </c>
      <c r="Q131" s="12" cm="1">
        <f t="array" ref="Q131">INDEX('HospitalDischargeRep-ConceptMap'!U115:Y369,1+O131,P131)</f>
        <v>0</v>
      </c>
    </row>
    <row r="132" spans="14:17" x14ac:dyDescent="0.75">
      <c r="N132" s="11">
        <v>123</v>
      </c>
      <c r="O132" s="11">
        <f t="shared" si="7"/>
        <v>24</v>
      </c>
      <c r="P132" s="11">
        <f t="shared" si="8"/>
        <v>3</v>
      </c>
      <c r="Q132" s="12" cm="1">
        <f t="array" ref="Q132">INDEX('HospitalDischargeRep-ConceptMap'!U116:Y370,1+O132,P132)</f>
        <v>0</v>
      </c>
    </row>
    <row r="133" spans="14:17" x14ac:dyDescent="0.75">
      <c r="N133" s="11">
        <v>124</v>
      </c>
      <c r="O133" s="11">
        <f t="shared" si="7"/>
        <v>24</v>
      </c>
      <c r="P133" s="11">
        <f t="shared" si="8"/>
        <v>4</v>
      </c>
      <c r="Q133" s="12" cm="1">
        <f t="array" ref="Q133">INDEX('HospitalDischargeRep-ConceptMap'!U117:Y371,1+O133,P133)</f>
        <v>0</v>
      </c>
    </row>
    <row r="134" spans="14:17" x14ac:dyDescent="0.75">
      <c r="N134" s="11">
        <v>125</v>
      </c>
      <c r="O134" s="11">
        <f t="shared" si="7"/>
        <v>24</v>
      </c>
      <c r="P134" s="11">
        <f t="shared" si="8"/>
        <v>5</v>
      </c>
      <c r="Q134" s="12" cm="1">
        <f t="array" ref="Q134">INDEX('HospitalDischargeRep-ConceptMap'!U118:Y372,1+O134,P134)</f>
        <v>0</v>
      </c>
    </row>
    <row r="135" spans="14:17" x14ac:dyDescent="0.75">
      <c r="N135" s="11">
        <v>126</v>
      </c>
      <c r="O135" s="11">
        <f t="shared" si="7"/>
        <v>25</v>
      </c>
      <c r="P135" s="11">
        <f t="shared" si="8"/>
        <v>1</v>
      </c>
      <c r="Q135" s="12" cm="1">
        <f t="array" ref="Q135">INDEX('HospitalDischargeRep-ConceptMap'!U119:Y373,1+O135,P135)</f>
        <v>0</v>
      </c>
    </row>
    <row r="136" spans="14:17" x14ac:dyDescent="0.75">
      <c r="N136" s="11">
        <v>127</v>
      </c>
      <c r="O136" s="11">
        <f t="shared" si="7"/>
        <v>25</v>
      </c>
      <c r="P136" s="11">
        <f t="shared" si="8"/>
        <v>2</v>
      </c>
      <c r="Q136" s="12" cm="1">
        <f t="array" ref="Q136">INDEX('HospitalDischargeRep-ConceptMap'!U120:Y374,1+O136,P136)</f>
        <v>0</v>
      </c>
    </row>
    <row r="137" spans="14:17" x14ac:dyDescent="0.75">
      <c r="N137" s="11">
        <v>128</v>
      </c>
      <c r="O137" s="11">
        <f t="shared" si="7"/>
        <v>25</v>
      </c>
      <c r="P137" s="11">
        <f t="shared" si="8"/>
        <v>3</v>
      </c>
      <c r="Q137" s="12" cm="1">
        <f t="array" ref="Q137">INDEX('HospitalDischargeRep-ConceptMap'!U121:Y375,1+O137,P137)</f>
        <v>0</v>
      </c>
    </row>
    <row r="138" spans="14:17" x14ac:dyDescent="0.75">
      <c r="N138" s="11">
        <v>129</v>
      </c>
      <c r="O138" s="11">
        <f t="shared" si="7"/>
        <v>25</v>
      </c>
      <c r="P138" s="11">
        <f t="shared" si="8"/>
        <v>4</v>
      </c>
      <c r="Q138" s="12" cm="1">
        <f t="array" ref="Q138">INDEX('HospitalDischargeRep-ConceptMap'!U122:Y376,1+O138,P138)</f>
        <v>0</v>
      </c>
    </row>
    <row r="139" spans="14:17" x14ac:dyDescent="0.75">
      <c r="N139" s="11">
        <v>130</v>
      </c>
      <c r="O139" s="11">
        <f t="shared" ref="O139:O184" si="9">IF(MOD(N139,$O$3)=0,N139/$O$3-1,INT(N139/$O$3))</f>
        <v>25</v>
      </c>
      <c r="P139" s="11">
        <f t="shared" ref="P139:P184" si="10">IF(MOD(N139,$O$3)=0,$O$3,MOD(N139,$O$3))</f>
        <v>5</v>
      </c>
      <c r="Q139" s="12" cm="1">
        <f t="array" ref="Q139">INDEX('HospitalDischargeRep-ConceptMap'!U123:Y377,1+O139,P139)</f>
        <v>0</v>
      </c>
    </row>
    <row r="140" spans="14:17" x14ac:dyDescent="0.75">
      <c r="N140" s="11">
        <v>131</v>
      </c>
      <c r="O140" s="11">
        <f t="shared" si="9"/>
        <v>26</v>
      </c>
      <c r="P140" s="11">
        <f t="shared" si="10"/>
        <v>1</v>
      </c>
      <c r="Q140" s="12" cm="1">
        <f t="array" ref="Q140">INDEX('HospitalDischargeRep-ConceptMap'!U124:Y378,1+O140,P140)</f>
        <v>0</v>
      </c>
    </row>
    <row r="141" spans="14:17" x14ac:dyDescent="0.75">
      <c r="N141" s="11">
        <v>132</v>
      </c>
      <c r="O141" s="11">
        <f t="shared" si="9"/>
        <v>26</v>
      </c>
      <c r="P141" s="11">
        <f t="shared" si="10"/>
        <v>2</v>
      </c>
      <c r="Q141" s="12" cm="1">
        <f t="array" ref="Q141">INDEX('HospitalDischargeRep-ConceptMap'!U125:Y379,1+O141,P141)</f>
        <v>0</v>
      </c>
    </row>
    <row r="142" spans="14:17" x14ac:dyDescent="0.75">
      <c r="N142" s="11">
        <v>133</v>
      </c>
      <c r="O142" s="11">
        <f t="shared" si="9"/>
        <v>26</v>
      </c>
      <c r="P142" s="11">
        <f t="shared" si="10"/>
        <v>3</v>
      </c>
      <c r="Q142" s="12" cm="1">
        <f t="array" ref="Q142">INDEX('HospitalDischargeRep-ConceptMap'!U126:Y380,1+O142,P142)</f>
        <v>0</v>
      </c>
    </row>
    <row r="143" spans="14:17" x14ac:dyDescent="0.75">
      <c r="N143" s="11">
        <v>134</v>
      </c>
      <c r="O143" s="11">
        <f t="shared" si="9"/>
        <v>26</v>
      </c>
      <c r="P143" s="11">
        <f t="shared" si="10"/>
        <v>4</v>
      </c>
      <c r="Q143" s="12" cm="1">
        <f t="array" ref="Q143">INDEX('HospitalDischargeRep-ConceptMap'!U127:Y381,1+O143,P143)</f>
        <v>0</v>
      </c>
    </row>
    <row r="144" spans="14:17" x14ac:dyDescent="0.75">
      <c r="N144" s="11">
        <v>135</v>
      </c>
      <c r="O144" s="11">
        <f t="shared" si="9"/>
        <v>26</v>
      </c>
      <c r="P144" s="11">
        <f t="shared" si="10"/>
        <v>5</v>
      </c>
      <c r="Q144" s="12" cm="1">
        <f t="array" ref="Q144">INDEX('HospitalDischargeRep-ConceptMap'!U128:Y382,1+O144,P144)</f>
        <v>0</v>
      </c>
    </row>
    <row r="145" spans="14:17" x14ac:dyDescent="0.75">
      <c r="N145" s="11">
        <v>136</v>
      </c>
      <c r="O145" s="11">
        <f t="shared" si="9"/>
        <v>27</v>
      </c>
      <c r="P145" s="11">
        <f t="shared" si="10"/>
        <v>1</v>
      </c>
      <c r="Q145" s="12" cm="1">
        <f t="array" ref="Q145">INDEX('HospitalDischargeRep-ConceptMap'!U129:Y383,1+O145,P145)</f>
        <v>0</v>
      </c>
    </row>
    <row r="146" spans="14:17" x14ac:dyDescent="0.75">
      <c r="N146" s="11">
        <v>137</v>
      </c>
      <c r="O146" s="11">
        <f t="shared" si="9"/>
        <v>27</v>
      </c>
      <c r="P146" s="11">
        <f t="shared" si="10"/>
        <v>2</v>
      </c>
      <c r="Q146" s="12" cm="1">
        <f t="array" ref="Q146">INDEX('HospitalDischargeRep-ConceptMap'!U130:Y384,1+O146,P146)</f>
        <v>0</v>
      </c>
    </row>
    <row r="147" spans="14:17" x14ac:dyDescent="0.75">
      <c r="N147" s="11">
        <v>138</v>
      </c>
      <c r="O147" s="11">
        <f t="shared" si="9"/>
        <v>27</v>
      </c>
      <c r="P147" s="11">
        <f t="shared" si="10"/>
        <v>3</v>
      </c>
      <c r="Q147" s="12" cm="1">
        <f t="array" ref="Q147">INDEX('HospitalDischargeRep-ConceptMap'!U131:Y385,1+O147,P147)</f>
        <v>0</v>
      </c>
    </row>
    <row r="148" spans="14:17" x14ac:dyDescent="0.75">
      <c r="N148" s="11">
        <v>139</v>
      </c>
      <c r="O148" s="11">
        <f t="shared" si="9"/>
        <v>27</v>
      </c>
      <c r="P148" s="11">
        <f t="shared" si="10"/>
        <v>4</v>
      </c>
      <c r="Q148" s="12" cm="1">
        <f t="array" ref="Q148">INDEX('HospitalDischargeRep-ConceptMap'!U132:Y386,1+O148,P148)</f>
        <v>0</v>
      </c>
    </row>
    <row r="149" spans="14:17" x14ac:dyDescent="0.75">
      <c r="N149" s="11">
        <v>140</v>
      </c>
      <c r="O149" s="11">
        <f t="shared" si="9"/>
        <v>27</v>
      </c>
      <c r="P149" s="11">
        <f t="shared" si="10"/>
        <v>5</v>
      </c>
      <c r="Q149" s="12" cm="1">
        <f t="array" ref="Q149">INDEX('HospitalDischargeRep-ConceptMap'!U133:Y387,1+O149,P149)</f>
        <v>0</v>
      </c>
    </row>
    <row r="150" spans="14:17" x14ac:dyDescent="0.75">
      <c r="N150" s="11">
        <v>141</v>
      </c>
      <c r="O150" s="11">
        <f t="shared" si="9"/>
        <v>28</v>
      </c>
      <c r="P150" s="11">
        <f t="shared" si="10"/>
        <v>1</v>
      </c>
      <c r="Q150" s="12" cm="1">
        <f t="array" ref="Q150">INDEX('HospitalDischargeRep-ConceptMap'!U134:Y388,1+O150,P150)</f>
        <v>0</v>
      </c>
    </row>
    <row r="151" spans="14:17" x14ac:dyDescent="0.75">
      <c r="N151" s="11">
        <v>142</v>
      </c>
      <c r="O151" s="11">
        <f t="shared" si="9"/>
        <v>28</v>
      </c>
      <c r="P151" s="11">
        <f t="shared" si="10"/>
        <v>2</v>
      </c>
      <c r="Q151" s="12" cm="1">
        <f t="array" ref="Q151">INDEX('HospitalDischargeRep-ConceptMap'!U135:Y389,1+O151,P151)</f>
        <v>0</v>
      </c>
    </row>
    <row r="152" spans="14:17" x14ac:dyDescent="0.75">
      <c r="N152" s="11">
        <v>143</v>
      </c>
      <c r="O152" s="11">
        <f t="shared" si="9"/>
        <v>28</v>
      </c>
      <c r="P152" s="11">
        <f t="shared" si="10"/>
        <v>3</v>
      </c>
      <c r="Q152" s="12" cm="1">
        <f t="array" ref="Q152">INDEX('HospitalDischargeRep-ConceptMap'!U136:Y390,1+O152,P152)</f>
        <v>0</v>
      </c>
    </row>
    <row r="153" spans="14:17" x14ac:dyDescent="0.75">
      <c r="N153" s="11">
        <v>144</v>
      </c>
      <c r="O153" s="11">
        <f t="shared" si="9"/>
        <v>28</v>
      </c>
      <c r="P153" s="11">
        <f t="shared" si="10"/>
        <v>4</v>
      </c>
      <c r="Q153" s="12" cm="1">
        <f t="array" ref="Q153">INDEX('HospitalDischargeRep-ConceptMap'!U137:Y391,1+O153,P153)</f>
        <v>0</v>
      </c>
    </row>
    <row r="154" spans="14:17" x14ac:dyDescent="0.75">
      <c r="N154" s="11">
        <v>145</v>
      </c>
      <c r="O154" s="11">
        <f t="shared" si="9"/>
        <v>28</v>
      </c>
      <c r="P154" s="11">
        <f t="shared" si="10"/>
        <v>5</v>
      </c>
      <c r="Q154" s="12" cm="1">
        <f t="array" ref="Q154">INDEX('HospitalDischargeRep-ConceptMap'!U138:Y392,1+O154,P154)</f>
        <v>0</v>
      </c>
    </row>
    <row r="155" spans="14:17" x14ac:dyDescent="0.75">
      <c r="N155" s="11">
        <v>146</v>
      </c>
      <c r="O155" s="11">
        <f t="shared" si="9"/>
        <v>29</v>
      </c>
      <c r="P155" s="11">
        <f t="shared" si="10"/>
        <v>1</v>
      </c>
      <c r="Q155" s="12" cm="1">
        <f t="array" ref="Q155">INDEX('HospitalDischargeRep-ConceptMap'!U139:Y393,1+O155,P155)</f>
        <v>0</v>
      </c>
    </row>
    <row r="156" spans="14:17" x14ac:dyDescent="0.75">
      <c r="N156" s="11">
        <v>147</v>
      </c>
      <c r="O156" s="11">
        <f t="shared" si="9"/>
        <v>29</v>
      </c>
      <c r="P156" s="11">
        <f t="shared" si="10"/>
        <v>2</v>
      </c>
      <c r="Q156" s="12" cm="1">
        <f t="array" ref="Q156">INDEX('HospitalDischargeRep-ConceptMap'!U140:Y394,1+O156,P156)</f>
        <v>0</v>
      </c>
    </row>
    <row r="157" spans="14:17" x14ac:dyDescent="0.75">
      <c r="N157" s="11">
        <v>148</v>
      </c>
      <c r="O157" s="11">
        <f t="shared" si="9"/>
        <v>29</v>
      </c>
      <c r="P157" s="11">
        <f t="shared" si="10"/>
        <v>3</v>
      </c>
      <c r="Q157" s="12" cm="1">
        <f t="array" ref="Q157">INDEX('HospitalDischargeRep-ConceptMap'!U141:Y395,1+O157,P157)</f>
        <v>0</v>
      </c>
    </row>
    <row r="158" spans="14:17" x14ac:dyDescent="0.75">
      <c r="N158" s="11">
        <v>149</v>
      </c>
      <c r="O158" s="11">
        <f t="shared" si="9"/>
        <v>29</v>
      </c>
      <c r="P158" s="11">
        <f t="shared" si="10"/>
        <v>4</v>
      </c>
      <c r="Q158" s="12" cm="1">
        <f t="array" ref="Q158">INDEX('HospitalDischargeRep-ConceptMap'!U142:Y396,1+O158,P158)</f>
        <v>0</v>
      </c>
    </row>
    <row r="159" spans="14:17" x14ac:dyDescent="0.75">
      <c r="N159" s="11">
        <v>150</v>
      </c>
      <c r="O159" s="11">
        <f t="shared" si="9"/>
        <v>29</v>
      </c>
      <c r="P159" s="11">
        <f t="shared" si="10"/>
        <v>5</v>
      </c>
      <c r="Q159" s="12" cm="1">
        <f t="array" ref="Q159">INDEX('HospitalDischargeRep-ConceptMap'!U143:Y397,1+O159,P159)</f>
        <v>0</v>
      </c>
    </row>
    <row r="160" spans="14:17" x14ac:dyDescent="0.75">
      <c r="N160" s="11">
        <v>151</v>
      </c>
      <c r="O160" s="11">
        <f t="shared" si="9"/>
        <v>30</v>
      </c>
      <c r="P160" s="11">
        <f t="shared" si="10"/>
        <v>1</v>
      </c>
      <c r="Q160" s="12" cm="1">
        <f t="array" ref="Q160">INDEX('HospitalDischargeRep-ConceptMap'!U144:Y398,1+O160,P160)</f>
        <v>0</v>
      </c>
    </row>
    <row r="161" spans="14:17" x14ac:dyDescent="0.75">
      <c r="N161" s="11">
        <v>152</v>
      </c>
      <c r="O161" s="11">
        <f t="shared" si="9"/>
        <v>30</v>
      </c>
      <c r="P161" s="11">
        <f t="shared" si="10"/>
        <v>2</v>
      </c>
      <c r="Q161" s="12" cm="1">
        <f t="array" ref="Q161">INDEX('HospitalDischargeRep-ConceptMap'!U145:Y399,1+O161,P161)</f>
        <v>0</v>
      </c>
    </row>
    <row r="162" spans="14:17" x14ac:dyDescent="0.75">
      <c r="N162" s="11">
        <v>153</v>
      </c>
      <c r="O162" s="11">
        <f t="shared" si="9"/>
        <v>30</v>
      </c>
      <c r="P162" s="11">
        <f t="shared" si="10"/>
        <v>3</v>
      </c>
      <c r="Q162" s="12" cm="1">
        <f t="array" ref="Q162">INDEX('HospitalDischargeRep-ConceptMap'!U146:Y400,1+O162,P162)</f>
        <v>0</v>
      </c>
    </row>
    <row r="163" spans="14:17" x14ac:dyDescent="0.75">
      <c r="N163" s="11">
        <v>154</v>
      </c>
      <c r="O163" s="11">
        <f t="shared" si="9"/>
        <v>30</v>
      </c>
      <c r="P163" s="11">
        <f t="shared" si="10"/>
        <v>4</v>
      </c>
      <c r="Q163" s="12" cm="1">
        <f t="array" ref="Q163">INDEX('HospitalDischargeRep-ConceptMap'!U147:Y401,1+O163,P163)</f>
        <v>0</v>
      </c>
    </row>
    <row r="164" spans="14:17" x14ac:dyDescent="0.75">
      <c r="N164" s="11">
        <v>155</v>
      </c>
      <c r="O164" s="11">
        <f t="shared" si="9"/>
        <v>30</v>
      </c>
      <c r="P164" s="11">
        <f t="shared" si="10"/>
        <v>5</v>
      </c>
      <c r="Q164" s="12" cm="1">
        <f t="array" ref="Q164">INDEX('HospitalDischargeRep-ConceptMap'!U148:Y402,1+O164,P164)</f>
        <v>0</v>
      </c>
    </row>
    <row r="165" spans="14:17" x14ac:dyDescent="0.75">
      <c r="N165" s="11">
        <v>156</v>
      </c>
      <c r="O165" s="11">
        <f t="shared" si="9"/>
        <v>31</v>
      </c>
      <c r="P165" s="11">
        <f t="shared" si="10"/>
        <v>1</v>
      </c>
      <c r="Q165" s="12" cm="1">
        <f t="array" ref="Q165">INDEX('HospitalDischargeRep-ConceptMap'!U149:Y403,1+O165,P165)</f>
        <v>0</v>
      </c>
    </row>
    <row r="166" spans="14:17" x14ac:dyDescent="0.75">
      <c r="N166" s="11">
        <v>157</v>
      </c>
      <c r="O166" s="11">
        <f t="shared" si="9"/>
        <v>31</v>
      </c>
      <c r="P166" s="11">
        <f t="shared" si="10"/>
        <v>2</v>
      </c>
      <c r="Q166" s="12" cm="1">
        <f t="array" ref="Q166">INDEX('HospitalDischargeRep-ConceptMap'!U150:Y404,1+O166,P166)</f>
        <v>0</v>
      </c>
    </row>
    <row r="167" spans="14:17" x14ac:dyDescent="0.75">
      <c r="N167" s="11">
        <v>158</v>
      </c>
      <c r="O167" s="11">
        <f t="shared" si="9"/>
        <v>31</v>
      </c>
      <c r="P167" s="11">
        <f t="shared" si="10"/>
        <v>3</v>
      </c>
      <c r="Q167" s="12" cm="1">
        <f t="array" ref="Q167">INDEX('HospitalDischargeRep-ConceptMap'!U151:Y405,1+O167,P167)</f>
        <v>0</v>
      </c>
    </row>
    <row r="168" spans="14:17" x14ac:dyDescent="0.75">
      <c r="N168" s="11">
        <v>159</v>
      </c>
      <c r="O168" s="11">
        <f t="shared" si="9"/>
        <v>31</v>
      </c>
      <c r="P168" s="11">
        <f t="shared" si="10"/>
        <v>4</v>
      </c>
      <c r="Q168" s="12" cm="1">
        <f t="array" ref="Q168">INDEX('HospitalDischargeRep-ConceptMap'!U152:Y406,1+O168,P168)</f>
        <v>0</v>
      </c>
    </row>
    <row r="169" spans="14:17" x14ac:dyDescent="0.75">
      <c r="N169" s="11">
        <v>160</v>
      </c>
      <c r="O169" s="11">
        <f t="shared" si="9"/>
        <v>31</v>
      </c>
      <c r="P169" s="11">
        <f t="shared" si="10"/>
        <v>5</v>
      </c>
      <c r="Q169" s="12" cm="1">
        <f t="array" ref="Q169">INDEX('HospitalDischargeRep-ConceptMap'!U153:Y407,1+O169,P169)</f>
        <v>0</v>
      </c>
    </row>
    <row r="170" spans="14:17" x14ac:dyDescent="0.75">
      <c r="N170" s="11">
        <v>161</v>
      </c>
      <c r="O170" s="11">
        <f t="shared" si="9"/>
        <v>32</v>
      </c>
      <c r="P170" s="11">
        <f t="shared" si="10"/>
        <v>1</v>
      </c>
      <c r="Q170" s="12" cm="1">
        <f t="array" ref="Q170">INDEX('HospitalDischargeRep-ConceptMap'!U154:Y408,1+O170,P170)</f>
        <v>0</v>
      </c>
    </row>
    <row r="171" spans="14:17" x14ac:dyDescent="0.75">
      <c r="N171" s="11">
        <v>162</v>
      </c>
      <c r="O171" s="11">
        <f t="shared" si="9"/>
        <v>32</v>
      </c>
      <c r="P171" s="11">
        <f t="shared" si="10"/>
        <v>2</v>
      </c>
      <c r="Q171" s="12" cm="1">
        <f t="array" ref="Q171">INDEX('HospitalDischargeRep-ConceptMap'!U155:Y409,1+O171,P171)</f>
        <v>0</v>
      </c>
    </row>
    <row r="172" spans="14:17" x14ac:dyDescent="0.75">
      <c r="N172" s="11">
        <v>163</v>
      </c>
      <c r="O172" s="11">
        <f t="shared" si="9"/>
        <v>32</v>
      </c>
      <c r="P172" s="11">
        <f t="shared" si="10"/>
        <v>3</v>
      </c>
      <c r="Q172" s="12" cm="1">
        <f t="array" ref="Q172">INDEX('HospitalDischargeRep-ConceptMap'!U156:Y410,1+O172,P172)</f>
        <v>0</v>
      </c>
    </row>
    <row r="173" spans="14:17" x14ac:dyDescent="0.75">
      <c r="N173" s="11">
        <v>164</v>
      </c>
      <c r="O173" s="11">
        <f t="shared" si="9"/>
        <v>32</v>
      </c>
      <c r="P173" s="11">
        <f t="shared" si="10"/>
        <v>4</v>
      </c>
      <c r="Q173" s="12" cm="1">
        <f t="array" ref="Q173">INDEX('HospitalDischargeRep-ConceptMap'!U157:Y411,1+O173,P173)</f>
        <v>0</v>
      </c>
    </row>
    <row r="174" spans="14:17" x14ac:dyDescent="0.75">
      <c r="N174" s="11">
        <v>165</v>
      </c>
      <c r="O174" s="11">
        <f t="shared" si="9"/>
        <v>32</v>
      </c>
      <c r="P174" s="11">
        <f t="shared" si="10"/>
        <v>5</v>
      </c>
      <c r="Q174" s="12" cm="1">
        <f t="array" ref="Q174">INDEX('HospitalDischargeRep-ConceptMap'!U158:Y412,1+O174,P174)</f>
        <v>0</v>
      </c>
    </row>
    <row r="175" spans="14:17" x14ac:dyDescent="0.75">
      <c r="N175" s="11">
        <v>166</v>
      </c>
      <c r="O175" s="11">
        <f t="shared" si="9"/>
        <v>33</v>
      </c>
      <c r="P175" s="11">
        <f t="shared" si="10"/>
        <v>1</v>
      </c>
      <c r="Q175" s="12" cm="1">
        <f t="array" ref="Q175">INDEX('HospitalDischargeRep-ConceptMap'!U159:Y413,1+O175,P175)</f>
        <v>0</v>
      </c>
    </row>
    <row r="176" spans="14:17" x14ac:dyDescent="0.75">
      <c r="N176" s="11">
        <v>167</v>
      </c>
      <c r="O176" s="11">
        <f t="shared" si="9"/>
        <v>33</v>
      </c>
      <c r="P176" s="11">
        <f t="shared" si="10"/>
        <v>2</v>
      </c>
      <c r="Q176" s="12" cm="1">
        <f t="array" ref="Q176">INDEX('HospitalDischargeRep-ConceptMap'!U160:Y414,1+O176,P176)</f>
        <v>0</v>
      </c>
    </row>
    <row r="177" spans="14:17" x14ac:dyDescent="0.75">
      <c r="N177" s="11">
        <v>168</v>
      </c>
      <c r="O177" s="11">
        <f t="shared" si="9"/>
        <v>33</v>
      </c>
      <c r="P177" s="11">
        <f t="shared" si="10"/>
        <v>3</v>
      </c>
      <c r="Q177" s="12" cm="1">
        <f t="array" ref="Q177">INDEX('HospitalDischargeRep-ConceptMap'!U161:Y415,1+O177,P177)</f>
        <v>0</v>
      </c>
    </row>
    <row r="178" spans="14:17" x14ac:dyDescent="0.75">
      <c r="N178" s="11">
        <v>169</v>
      </c>
      <c r="O178" s="11">
        <f t="shared" si="9"/>
        <v>33</v>
      </c>
      <c r="P178" s="11">
        <f t="shared" si="10"/>
        <v>4</v>
      </c>
      <c r="Q178" s="12" cm="1">
        <f t="array" ref="Q178">INDEX('HospitalDischargeRep-ConceptMap'!U162:Y416,1+O178,P178)</f>
        <v>0</v>
      </c>
    </row>
    <row r="179" spans="14:17" x14ac:dyDescent="0.75">
      <c r="N179" s="11">
        <v>170</v>
      </c>
      <c r="O179" s="11">
        <f t="shared" si="9"/>
        <v>33</v>
      </c>
      <c r="P179" s="11">
        <f t="shared" si="10"/>
        <v>5</v>
      </c>
      <c r="Q179" s="12" cm="1">
        <f t="array" ref="Q179">INDEX('HospitalDischargeRep-ConceptMap'!U163:Y417,1+O179,P179)</f>
        <v>0</v>
      </c>
    </row>
    <row r="180" spans="14:17" x14ac:dyDescent="0.75">
      <c r="N180" s="11">
        <v>171</v>
      </c>
      <c r="O180" s="11">
        <f t="shared" si="9"/>
        <v>34</v>
      </c>
      <c r="P180" s="11">
        <f t="shared" si="10"/>
        <v>1</v>
      </c>
      <c r="Q180" s="12" cm="1">
        <f t="array" ref="Q180">INDEX('HospitalDischargeRep-ConceptMap'!U164:Y418,1+O180,P180)</f>
        <v>0</v>
      </c>
    </row>
    <row r="181" spans="14:17" x14ac:dyDescent="0.75">
      <c r="N181" s="11">
        <v>172</v>
      </c>
      <c r="O181" s="11">
        <f t="shared" si="9"/>
        <v>34</v>
      </c>
      <c r="P181" s="11">
        <f t="shared" si="10"/>
        <v>2</v>
      </c>
      <c r="Q181" s="12" cm="1">
        <f t="array" ref="Q181">INDEX('HospitalDischargeRep-ConceptMap'!U165:Y419,1+O181,P181)</f>
        <v>0</v>
      </c>
    </row>
    <row r="182" spans="14:17" x14ac:dyDescent="0.75">
      <c r="N182" s="11">
        <v>173</v>
      </c>
      <c r="O182" s="11">
        <f t="shared" si="9"/>
        <v>34</v>
      </c>
      <c r="P182" s="11">
        <f t="shared" si="10"/>
        <v>3</v>
      </c>
      <c r="Q182" s="12" cm="1">
        <f t="array" ref="Q182">INDEX('HospitalDischargeRep-ConceptMap'!U166:Y420,1+O182,P182)</f>
        <v>0</v>
      </c>
    </row>
    <row r="183" spans="14:17" x14ac:dyDescent="0.75">
      <c r="N183" s="11">
        <v>174</v>
      </c>
      <c r="O183" s="11">
        <f t="shared" si="9"/>
        <v>34</v>
      </c>
      <c r="P183" s="11">
        <f t="shared" si="10"/>
        <v>4</v>
      </c>
      <c r="Q183" s="12" cm="1">
        <f t="array" ref="Q183">INDEX('HospitalDischargeRep-ConceptMap'!U167:Y421,1+O183,P183)</f>
        <v>0</v>
      </c>
    </row>
    <row r="184" spans="14:17" x14ac:dyDescent="0.75">
      <c r="N184" s="11">
        <v>175</v>
      </c>
      <c r="O184" s="11">
        <f t="shared" si="9"/>
        <v>34</v>
      </c>
      <c r="P184" s="11">
        <f t="shared" si="10"/>
        <v>5</v>
      </c>
      <c r="Q184" s="12" cm="1">
        <f t="array" ref="Q184">INDEX('HospitalDischargeRep-ConceptMap'!U168:Y422,1+O184,P184)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A048A39-E9DB-492F-941B-F4DC8B934434}">
          <x14:formula1>
            <xm:f>'CM-relationships'!$D$6:$D$15</xm:f>
          </x14:formula1>
          <xm:sqref>L37:L46 I34:I46 J21:K46 F10:G46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2B226-125B-4977-85C1-5ECFE82B6C10}">
  <sheetPr codeName="Foglio13">
    <tabColor theme="0" tint="-0.34998626667073579"/>
  </sheetPr>
  <dimension ref="B1:G77"/>
  <sheetViews>
    <sheetView workbookViewId="0">
      <selection activeCell="D35" sqref="D35"/>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81</v>
      </c>
      <c r="G2" s="29" t="s">
        <v>86</v>
      </c>
    </row>
    <row r="3" spans="2:7" x14ac:dyDescent="0.75">
      <c r="B3" s="24" t="s">
        <v>19</v>
      </c>
    </row>
    <row r="4" spans="2:7" x14ac:dyDescent="0.75">
      <c r="B4" s="46" t="s">
        <v>87</v>
      </c>
    </row>
    <row r="5" spans="2:7" x14ac:dyDescent="0.75">
      <c r="B5" s="46" t="s">
        <v>80</v>
      </c>
    </row>
    <row r="6" spans="2:7" x14ac:dyDescent="0.75">
      <c r="B6" s="46" t="s">
        <v>72</v>
      </c>
    </row>
    <row r="7" spans="2:7" x14ac:dyDescent="0.75">
      <c r="B7" s="46" t="s">
        <v>88</v>
      </c>
    </row>
    <row r="8" spans="2:7" x14ac:dyDescent="0.75">
      <c r="B8" s="46" t="s">
        <v>89</v>
      </c>
    </row>
    <row r="9" spans="2:7" x14ac:dyDescent="0.75">
      <c r="B9" s="46" t="s">
        <v>90</v>
      </c>
    </row>
    <row r="10" spans="2:7" x14ac:dyDescent="0.75">
      <c r="B10" s="46" t="s">
        <v>73</v>
      </c>
    </row>
    <row r="11" spans="2:7" x14ac:dyDescent="0.75">
      <c r="B11" s="46" t="s">
        <v>74</v>
      </c>
    </row>
    <row r="12" spans="2:7" x14ac:dyDescent="0.75">
      <c r="B12" s="46" t="s">
        <v>91</v>
      </c>
    </row>
    <row r="13" spans="2:7" x14ac:dyDescent="0.75">
      <c r="B13" s="46" t="s">
        <v>92</v>
      </c>
    </row>
    <row r="14" spans="2:7" x14ac:dyDescent="0.75">
      <c r="B14" s="50" t="s">
        <v>82</v>
      </c>
    </row>
    <row r="15" spans="2:7" x14ac:dyDescent="0.75">
      <c r="B15" s="50" t="s">
        <v>83</v>
      </c>
    </row>
    <row r="16" spans="2:7" x14ac:dyDescent="0.75">
      <c r="B16" s="46"/>
    </row>
    <row r="17" spans="2:7" x14ac:dyDescent="0.75">
      <c r="B17" s="49" t="s">
        <v>84</v>
      </c>
    </row>
    <row r="18" spans="2:7" x14ac:dyDescent="0.75">
      <c r="B18" s="49" t="s">
        <v>85</v>
      </c>
    </row>
    <row r="19" spans="2:7" x14ac:dyDescent="0.75">
      <c r="B19" s="51"/>
    </row>
    <row r="20" spans="2:7" x14ac:dyDescent="0.75">
      <c r="B20" s="12" t="str">
        <f>IF('HospitalDischargeRep-ConceptMap'!Q10=0,"//---END",'HospitalDischargeRep-ConceptMap'!Q10)</f>
        <v>* group[=].element[+].code = #HospitalDischargeReport</v>
      </c>
    </row>
    <row r="21" spans="2:7" x14ac:dyDescent="0.75">
      <c r="B21" s="12" t="str">
        <f>IF('HospitalDischargeRep-ConceptMap'!Q11=0,"//---END",'HospitalDischargeRep-ConceptMap'!Q11)</f>
        <v>* group[=].element[=].display = ##34#A - Hospital Discharge Report (eHN)##34#</v>
      </c>
    </row>
    <row r="22" spans="2:7" x14ac:dyDescent="0.75">
      <c r="B22" s="12" t="e">
        <f>IF('HospitalDischargeRep-ConceptMap'!Q12=0,"//---END",'HospitalDischargeRep-ConceptMap'!Q12)</f>
        <v>#REF!</v>
      </c>
    </row>
    <row r="23" spans="2:7" x14ac:dyDescent="0.75">
      <c r="B23" s="12" t="e">
        <f>IF('HospitalDischargeRep-ConceptMap'!Q13=0,"//---END",'HospitalDischargeRep-ConceptMap'!Q13)</f>
        <v>#REF!</v>
      </c>
    </row>
    <row r="24" spans="2:7" x14ac:dyDescent="0.75">
      <c r="B24" s="12" t="str">
        <f>IF('HospitalDischargeRep-ConceptMap'!Q14=0,"//---END",'HospitalDischargeRep-ConceptMap'!Q14)</f>
        <v>* group[=].element[=].target.equivalence = #equivalent</v>
      </c>
    </row>
    <row r="25" spans="2:7" x14ac:dyDescent="0.75">
      <c r="B25" s="12" t="str">
        <f>IF('HospitalDischargeRep-ConceptMap'!Q15=0,"//---END",'HospitalDischargeRep-ConceptMap'!Q15)</f>
        <v>* group[=].element[+].code = #HospitalDischargeReport.header</v>
      </c>
      <c r="G25" s="7"/>
    </row>
    <row r="26" spans="2:7" x14ac:dyDescent="0.75">
      <c r="B26" s="12" t="str">
        <f>IF('HospitalDischargeRep-ConceptMap'!Q16=0,"//---END",'HospitalDischargeRep-ConceptMap'!Q16)</f>
        <v>* group[=].element[=].display = ##34#A.1 - Report header data element [Mandatory]##34#</v>
      </c>
    </row>
    <row r="27" spans="2:7" x14ac:dyDescent="0.75">
      <c r="B27" s="12" t="e">
        <f>IF('HospitalDischargeRep-ConceptMap'!Q17=0,"//---END",'HospitalDischargeRep-ConceptMap'!Q17)</f>
        <v>#REF!</v>
      </c>
    </row>
    <row r="28" spans="2:7" x14ac:dyDescent="0.75">
      <c r="B28" s="12" t="e">
        <f>IF('HospitalDischargeRep-ConceptMap'!Q18=0,"//---END",'HospitalDischargeRep-ConceptMap'!Q18)</f>
        <v>#REF!</v>
      </c>
    </row>
    <row r="29" spans="2:7" x14ac:dyDescent="0.75">
      <c r="B29" s="12" t="str">
        <f>IF('HospitalDischargeRep-ConceptMap'!Q19=0,"//---END",'HospitalDischargeRep-ConceptMap'!Q19)</f>
        <v>* group[=].element[=].target.equivalence = #relatedto</v>
      </c>
    </row>
    <row r="30" spans="2:7" x14ac:dyDescent="0.75">
      <c r="B30" s="12" t="str">
        <f>IF('HospitalDischargeRep-ConceptMap'!Q20=0,"//---END",'HospitalDischargeRep-ConceptMap'!Q20)</f>
        <v>* group[=].element[+].code = #HospitalDischargeReport.header.subjectIdentification</v>
      </c>
    </row>
    <row r="31" spans="2:7" x14ac:dyDescent="0.75">
      <c r="B31" s="12" t="str">
        <f>IF('HospitalDischargeRep-ConceptMap'!Q21=0,"//---END",'HospitalDischargeRep-ConceptMap'!Q21)</f>
        <v>* group[=].element[=].display = ##34#A.1.1 - Identification of the patient/subject [Mandatory]##34#</v>
      </c>
    </row>
    <row r="32" spans="2:7" x14ac:dyDescent="0.75">
      <c r="B32" s="12" t="e">
        <f>IF('HospitalDischargeRep-ConceptMap'!Q22=0,"//---END",'HospitalDischargeRep-ConceptMap'!Q22)</f>
        <v>#REF!</v>
      </c>
    </row>
    <row r="33" spans="2:2" x14ac:dyDescent="0.75">
      <c r="B33" s="12" t="e">
        <f>IF('HospitalDischargeRep-ConceptMap'!Q23=0,"//---END",'HospitalDischargeRep-ConceptMap'!Q23)</f>
        <v>#REF!</v>
      </c>
    </row>
    <row r="34" spans="2:2" x14ac:dyDescent="0.75">
      <c r="B34" s="12" t="str">
        <f>IF('HospitalDischargeRep-ConceptMap'!Q24=0,"//---END",'HospitalDischargeRep-ConceptMap'!Q24)</f>
        <v>* group[=].element[=].target.equivalence = #equivalent</v>
      </c>
    </row>
    <row r="35" spans="2:2" x14ac:dyDescent="0.75">
      <c r="B35" s="12" t="str">
        <f>IF('HospitalDischargeRep-ConceptMap'!Q25=0,"//---END",'HospitalDischargeRep-ConceptMap'!Q25)</f>
        <v>* group[=].element[+].code = #HospitalDischargeReport.header.subjectIdentification.given</v>
      </c>
    </row>
    <row r="36" spans="2:2" x14ac:dyDescent="0.75">
      <c r="B36" s="12" t="str">
        <f>IF('HospitalDischargeRep-ConceptMap'!Q26=0,"//---END",'HospitalDischargeRep-ConceptMap'!Q26)</f>
        <v>* group[=].element[=].display = ##34#A.1.3 - Health insurance and payment information [Required]##34#</v>
      </c>
    </row>
    <row r="37" spans="2:2" x14ac:dyDescent="0.75">
      <c r="B37" s="12" t="str">
        <f>IF('HospitalDischargeRep-ConceptMap'!Q27=0,"//---END",'HospitalDischargeRep-ConceptMap'!Q27)</f>
        <v>//-- unmatched</v>
      </c>
    </row>
    <row r="38" spans="2:2" x14ac:dyDescent="0.75">
      <c r="B38" s="12" t="str">
        <f>IF('HospitalDischargeRep-ConceptMap'!Q28=0,"//---END",'HospitalDischargeRep-ConceptMap'!Q28)</f>
        <v>//-- unmatched</v>
      </c>
    </row>
    <row r="39" spans="2:2" x14ac:dyDescent="0.75">
      <c r="B39" s="12" t="str">
        <f>IF('HospitalDischargeRep-ConceptMap'!Q29=0,"//---END",'HospitalDischargeRep-ConceptMap'!Q29)</f>
        <v>* group[=].element[=].target.equivalence = #unmatched</v>
      </c>
    </row>
    <row r="40" spans="2:2" x14ac:dyDescent="0.75">
      <c r="B40" s="12" t="str">
        <f>IF('HospitalDischargeRep-ConceptMap'!Q30=0,"//---END",'HospitalDischargeRep-ConceptMap'!Q30)</f>
        <v>* group[=].element[+].code = #HospitalDischargeReport.header.subjectIdentification.family</v>
      </c>
    </row>
    <row r="41" spans="2:2" x14ac:dyDescent="0.75">
      <c r="B41" s="12" t="str">
        <f>IF('HospitalDischargeRep-ConceptMap'!Q31=0,"//---END",'HospitalDischargeRep-ConceptMap'!Q31)</f>
        <v>* group[=].element[=].display = ##34#A.1.4 - Information recipient [Required]##34#</v>
      </c>
    </row>
    <row r="42" spans="2:2" x14ac:dyDescent="0.75">
      <c r="B42" s="12" t="str">
        <f>IF('HospitalDischargeRep-ConceptMap'!Q32=0,"//---END",'HospitalDischargeRep-ConceptMap'!Q32)</f>
        <v>//-- unmatched</v>
      </c>
    </row>
    <row r="43" spans="2:2" x14ac:dyDescent="0.75">
      <c r="B43" s="12" t="str">
        <f>IF('HospitalDischargeRep-ConceptMap'!Q33=0,"//---END",'HospitalDischargeRep-ConceptMap'!Q33)</f>
        <v>//-- unmatched</v>
      </c>
    </row>
    <row r="44" spans="2:2" x14ac:dyDescent="0.75">
      <c r="B44" s="12" t="str">
        <f>IF('HospitalDischargeRep-ConceptMap'!Q34=0,"//---END",'HospitalDischargeRep-ConceptMap'!Q34)</f>
        <v>* group[=].element[=].target.equivalence = #unmatched</v>
      </c>
    </row>
    <row r="45" spans="2:2" x14ac:dyDescent="0.75">
      <c r="B45" s="12" t="str">
        <f>IF('HospitalDischargeRep-ConceptMap'!Q35=0,"//---END",'HospitalDischargeRep-ConceptMap'!Q35)</f>
        <v>* group[=].element[+].code = #HospitalDischargeReport.header.subjectIdentification.birthDate</v>
      </c>
    </row>
    <row r="46" spans="2:2" x14ac:dyDescent="0.75">
      <c r="B46" s="12" t="str">
        <f>IF('HospitalDischargeRep-ConceptMap'!Q36=0,"//---END",'HospitalDischargeRep-ConceptMap'!Q36)</f>
        <v>* group[=].element[=].display = ##34#A.1.5 - Author (by whom the Hospital discharge report was authored) [Mandatory]##34#</v>
      </c>
    </row>
    <row r="47" spans="2:2" x14ac:dyDescent="0.75">
      <c r="B47" s="12" t="e">
        <f>IF('HospitalDischargeRep-ConceptMap'!Q37=0,"//---END",'HospitalDischargeRep-ConceptMap'!Q37)</f>
        <v>#REF!</v>
      </c>
    </row>
    <row r="48" spans="2:2" x14ac:dyDescent="0.75">
      <c r="B48" s="12" t="e">
        <f>IF('HospitalDischargeRep-ConceptMap'!Q38=0,"//---END",'HospitalDischargeRep-ConceptMap'!Q38)</f>
        <v>#REF!</v>
      </c>
    </row>
    <row r="49" spans="2:2" x14ac:dyDescent="0.75">
      <c r="B49" s="12" t="str">
        <f>IF('HospitalDischargeRep-ConceptMap'!Q39=0,"//---END",'HospitalDischargeRep-ConceptMap'!Q39)</f>
        <v>* group[=].element[=].target.equivalence = #narrower</v>
      </c>
    </row>
    <row r="50" spans="2:2" x14ac:dyDescent="0.75">
      <c r="B50" s="12" t="str">
        <f>IF('HospitalDischargeRep-ConceptMap'!Q40=0,"//---END",'HospitalDischargeRep-ConceptMap'!Q40)</f>
        <v>* group[=].element[+].code = #HospitalDischargeReport.header.subjectIdentification.identifier</v>
      </c>
    </row>
    <row r="51" spans="2:2" x14ac:dyDescent="0.75">
      <c r="B51" s="12" t="str">
        <f>IF('HospitalDischargeRep-ConceptMap'!Q41=0,"//---END",'HospitalDischargeRep-ConceptMap'!Q41)</f>
        <v>* group[=].element[=].display = ##34#A.1.6 - Attester [Required]##34#</v>
      </c>
    </row>
    <row r="52" spans="2:2" x14ac:dyDescent="0.75">
      <c r="B52" s="12" t="e">
        <f>IF('HospitalDischargeRep-ConceptMap'!Q42=0,"//---END",'HospitalDischargeRep-ConceptMap'!Q42)</f>
        <v>#REF!</v>
      </c>
    </row>
    <row r="53" spans="2:2" x14ac:dyDescent="0.75">
      <c r="B53" s="12" t="e">
        <f>IF('HospitalDischargeRep-ConceptMap'!Q43=0,"//---END",'HospitalDischargeRep-ConceptMap'!Q43)</f>
        <v>#REF!</v>
      </c>
    </row>
    <row r="54" spans="2:2" x14ac:dyDescent="0.75">
      <c r="B54" s="12" t="str">
        <f>IF('HospitalDischargeRep-ConceptMap'!Q44=0,"//---END",'HospitalDischargeRep-ConceptMap'!Q44)</f>
        <v>* group[=].element[=].target.equivalence = #wider</v>
      </c>
    </row>
    <row r="55" spans="2:2" x14ac:dyDescent="0.75">
      <c r="B55" s="12" t="str">
        <f>IF('HospitalDischargeRep-ConceptMap'!Q45=0,"//---END",'HospitalDischargeRep-ConceptMap'!Q45)</f>
        <v>* group[=].element[+].code = #HospitalDischargeReport.header.subjectIdentification.nationality</v>
      </c>
    </row>
    <row r="56" spans="2:2" x14ac:dyDescent="0.75">
      <c r="B56" s="12" t="str">
        <f>IF('HospitalDischargeRep-ConceptMap'!Q46=0,"//---END",'HospitalDischargeRep-ConceptMap'!Q46)</f>
        <v>* group[=].element[=].display = ##34#A.1.7 - Legal authenticator [Required]##34#</v>
      </c>
    </row>
    <row r="57" spans="2:2" x14ac:dyDescent="0.75">
      <c r="B57" s="12" t="str">
        <f>IF('HospitalDischargeRep-ConceptMap'!Q47=0,"//---END",'HospitalDischargeRep-ConceptMap'!Q47)</f>
        <v>//-- unmatched</v>
      </c>
    </row>
    <row r="58" spans="2:2" x14ac:dyDescent="0.75">
      <c r="B58" s="12" t="str">
        <f>IF('HospitalDischargeRep-ConceptMap'!Q48=0,"//---END",'HospitalDischargeRep-ConceptMap'!Q48)</f>
        <v>//-- unmatched</v>
      </c>
    </row>
    <row r="59" spans="2:2" x14ac:dyDescent="0.75">
      <c r="B59" s="12" t="str">
        <f>IF('HospitalDischargeRep-ConceptMap'!Q49=0,"//---END",'HospitalDischargeRep-ConceptMap'!Q49)</f>
        <v>* group[=].element[=].target.equivalence = #unmatched</v>
      </c>
    </row>
    <row r="60" spans="2:2" x14ac:dyDescent="0.75">
      <c r="B60" s="12" t="str">
        <f>IF('HospitalDischargeRep-ConceptMap'!Q50=0,"//---END",'HospitalDischargeRep-ConceptMap'!Q50)</f>
        <v>//---END</v>
      </c>
    </row>
    <row r="61" spans="2:2" x14ac:dyDescent="0.75">
      <c r="B61" s="12" t="str">
        <f>IF('HospitalDischargeRep-ConceptMap'!Q51=0,"//---END",'HospitalDischargeRep-ConceptMap'!Q51)</f>
        <v>//---END</v>
      </c>
    </row>
    <row r="62" spans="2:2" x14ac:dyDescent="0.75">
      <c r="B62" s="12" t="str">
        <f>IF('HospitalDischargeRep-ConceptMap'!Q52=0,"//---END",'HospitalDischargeRep-ConceptMap'!Q52)</f>
        <v>//---END</v>
      </c>
    </row>
    <row r="63" spans="2:2" x14ac:dyDescent="0.75">
      <c r="B63" s="12"/>
    </row>
    <row r="64" spans="2:2" x14ac:dyDescent="0.75">
      <c r="B64" s="12"/>
    </row>
    <row r="65" spans="2:4" x14ac:dyDescent="0.75">
      <c r="B65" s="12"/>
    </row>
    <row r="66" spans="2:4" x14ac:dyDescent="0.75">
      <c r="B66" s="12"/>
    </row>
    <row r="67" spans="2:4" x14ac:dyDescent="0.75">
      <c r="B67" s="12"/>
    </row>
    <row r="68" spans="2:4" x14ac:dyDescent="0.75">
      <c r="B68" s="12"/>
    </row>
    <row r="69" spans="2:4" x14ac:dyDescent="0.75">
      <c r="B69" s="12"/>
    </row>
    <row r="70" spans="2:4" x14ac:dyDescent="0.75">
      <c r="B70" s="12"/>
      <c r="D70" s="39"/>
    </row>
    <row r="71" spans="2:4" x14ac:dyDescent="0.75">
      <c r="B71" s="12"/>
    </row>
    <row r="72" spans="2:4" x14ac:dyDescent="0.75">
      <c r="B72" s="12"/>
    </row>
    <row r="73" spans="2:4" x14ac:dyDescent="0.75">
      <c r="B73" s="12"/>
    </row>
    <row r="74" spans="2:4" x14ac:dyDescent="0.75">
      <c r="B74" s="12"/>
    </row>
    <row r="75" spans="2:4" x14ac:dyDescent="0.75">
      <c r="B75" s="12"/>
    </row>
    <row r="76" spans="2:4" x14ac:dyDescent="0.75">
      <c r="B76" s="12"/>
    </row>
    <row r="77" spans="2:4" x14ac:dyDescent="0.75">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B7E63-0060-4DD1-B42E-6B58D038FC49}">
  <sheetPr codeName="Foglio2"/>
  <dimension ref="A1:F493"/>
  <sheetViews>
    <sheetView zoomScaleNormal="100" workbookViewId="0">
      <selection activeCell="D35" sqref="D35"/>
    </sheetView>
  </sheetViews>
  <sheetFormatPr defaultColWidth="9.1328125" defaultRowHeight="14.75" x14ac:dyDescent="0.75"/>
  <cols>
    <col min="1" max="1" width="14.54296875" style="123" customWidth="1"/>
    <col min="2" max="2" width="87.90625" style="123" customWidth="1"/>
    <col min="3" max="3" width="63" style="123" customWidth="1"/>
    <col min="4" max="4" width="39.26953125" style="123" customWidth="1"/>
    <col min="5" max="6" width="39.26953125" style="56" customWidth="1"/>
    <col min="7" max="16384" width="9.1328125" style="56"/>
  </cols>
  <sheetData>
    <row r="1" spans="1:6" ht="16.25" thickBot="1" x14ac:dyDescent="0.9">
      <c r="A1" s="54" t="s">
        <v>103</v>
      </c>
      <c r="B1" s="55" t="s">
        <v>104</v>
      </c>
      <c r="C1" s="55" t="s">
        <v>3</v>
      </c>
      <c r="D1" s="55" t="s">
        <v>105</v>
      </c>
      <c r="E1" s="55" t="s">
        <v>106</v>
      </c>
      <c r="F1" s="55" t="s">
        <v>107</v>
      </c>
    </row>
    <row r="2" spans="1:6" ht="16.25" thickBot="1" x14ac:dyDescent="0.9">
      <c r="A2" s="57" t="s">
        <v>108</v>
      </c>
      <c r="B2" s="194" t="s">
        <v>109</v>
      </c>
      <c r="C2" s="195"/>
      <c r="D2" s="196"/>
      <c r="E2" s="61" t="s">
        <v>110</v>
      </c>
      <c r="F2" s="61" t="s">
        <v>111</v>
      </c>
    </row>
    <row r="3" spans="1:6" ht="16.5" thickBot="1" x14ac:dyDescent="0.9">
      <c r="A3" s="57" t="s">
        <v>112</v>
      </c>
      <c r="B3" s="194" t="s">
        <v>113</v>
      </c>
      <c r="C3" s="195"/>
      <c r="D3" s="196"/>
      <c r="E3" s="62" t="s">
        <v>110</v>
      </c>
      <c r="F3" s="62" t="s">
        <v>111</v>
      </c>
    </row>
    <row r="4" spans="1:6" ht="32.25" thickBot="1" x14ac:dyDescent="0.9">
      <c r="A4" s="63" t="s">
        <v>114</v>
      </c>
      <c r="B4" s="64" t="s">
        <v>115</v>
      </c>
      <c r="C4" s="62" t="s">
        <v>116</v>
      </c>
      <c r="D4" s="65"/>
      <c r="E4" s="62" t="s">
        <v>117</v>
      </c>
      <c r="F4" s="62" t="s">
        <v>111</v>
      </c>
    </row>
    <row r="5" spans="1:6" ht="32.25" thickBot="1" x14ac:dyDescent="0.9">
      <c r="A5" s="63" t="s">
        <v>118</v>
      </c>
      <c r="B5" s="64" t="s">
        <v>119</v>
      </c>
      <c r="C5" s="62" t="s">
        <v>120</v>
      </c>
      <c r="D5" s="65"/>
      <c r="E5" s="62" t="s">
        <v>117</v>
      </c>
      <c r="F5" s="62" t="s">
        <v>111</v>
      </c>
    </row>
    <row r="6" spans="1:6" ht="48" thickBot="1" x14ac:dyDescent="0.9">
      <c r="A6" s="63" t="s">
        <v>121</v>
      </c>
      <c r="B6" s="64" t="s">
        <v>122</v>
      </c>
      <c r="C6" s="62" t="s">
        <v>123</v>
      </c>
      <c r="D6" s="65"/>
      <c r="E6" s="62" t="s">
        <v>110</v>
      </c>
      <c r="F6" s="62" t="s">
        <v>23</v>
      </c>
    </row>
    <row r="7" spans="1:6" ht="48" thickBot="1" x14ac:dyDescent="0.9">
      <c r="A7" s="63" t="s">
        <v>124</v>
      </c>
      <c r="B7" s="64" t="s">
        <v>125</v>
      </c>
      <c r="C7" s="62" t="s">
        <v>126</v>
      </c>
      <c r="D7" s="65"/>
      <c r="E7" s="62" t="s">
        <v>117</v>
      </c>
      <c r="F7" s="62" t="s">
        <v>23</v>
      </c>
    </row>
    <row r="8" spans="1:6" ht="16.5" thickBot="1" x14ac:dyDescent="0.9">
      <c r="A8" s="63" t="s">
        <v>127</v>
      </c>
      <c r="B8" s="64" t="s">
        <v>128</v>
      </c>
      <c r="C8" s="62" t="s">
        <v>129</v>
      </c>
      <c r="D8" s="66" t="s">
        <v>130</v>
      </c>
      <c r="E8" s="62" t="s">
        <v>131</v>
      </c>
      <c r="F8" s="62" t="s">
        <v>23</v>
      </c>
    </row>
    <row r="9" spans="1:6" ht="48" thickBot="1" x14ac:dyDescent="0.9">
      <c r="A9" s="63" t="s">
        <v>132</v>
      </c>
      <c r="B9" s="64" t="s">
        <v>24</v>
      </c>
      <c r="C9" s="62" t="s">
        <v>133</v>
      </c>
      <c r="D9" s="66" t="s">
        <v>134</v>
      </c>
      <c r="E9" s="62" t="s">
        <v>110</v>
      </c>
      <c r="F9" s="62" t="s">
        <v>111</v>
      </c>
    </row>
    <row r="10" spans="1:6" ht="32.25" thickBot="1" x14ac:dyDescent="0.9">
      <c r="A10" s="63" t="s">
        <v>135</v>
      </c>
      <c r="B10" s="67" t="s">
        <v>136</v>
      </c>
      <c r="C10" s="62" t="s">
        <v>137</v>
      </c>
      <c r="D10" s="62" t="s">
        <v>138</v>
      </c>
      <c r="E10" s="62" t="s">
        <v>131</v>
      </c>
      <c r="F10" s="62" t="s">
        <v>139</v>
      </c>
    </row>
    <row r="11" spans="1:6" ht="16.5" thickBot="1" x14ac:dyDescent="0.9">
      <c r="A11" s="57" t="s">
        <v>140</v>
      </c>
      <c r="B11" s="194" t="s">
        <v>141</v>
      </c>
      <c r="C11" s="195"/>
      <c r="D11" s="196"/>
      <c r="E11" s="62" t="s">
        <v>142</v>
      </c>
      <c r="F11" s="62" t="s">
        <v>23</v>
      </c>
    </row>
    <row r="12" spans="1:6" ht="16.25" thickBot="1" x14ac:dyDescent="0.9">
      <c r="A12" s="57" t="s">
        <v>143</v>
      </c>
      <c r="B12" s="194" t="s">
        <v>144</v>
      </c>
      <c r="C12" s="195"/>
      <c r="D12" s="196"/>
      <c r="E12" s="65"/>
      <c r="F12" s="65"/>
    </row>
    <row r="13" spans="1:6" ht="95.25" thickBot="1" x14ac:dyDescent="0.9">
      <c r="A13" s="63" t="s">
        <v>145</v>
      </c>
      <c r="B13" s="68" t="s">
        <v>146</v>
      </c>
      <c r="C13" s="62" t="s">
        <v>147</v>
      </c>
      <c r="D13" s="66" t="s">
        <v>130</v>
      </c>
      <c r="E13" s="62" t="s">
        <v>131</v>
      </c>
      <c r="F13" s="62" t="s">
        <v>23</v>
      </c>
    </row>
    <row r="14" spans="1:6" ht="32.25" thickBot="1" x14ac:dyDescent="0.9">
      <c r="A14" s="63" t="s">
        <v>148</v>
      </c>
      <c r="B14" s="68" t="s">
        <v>149</v>
      </c>
      <c r="C14" s="62" t="s">
        <v>150</v>
      </c>
      <c r="D14" s="65"/>
      <c r="E14" s="62" t="s">
        <v>131</v>
      </c>
      <c r="F14" s="62" t="s">
        <v>23</v>
      </c>
    </row>
    <row r="15" spans="1:6" ht="16.5" thickBot="1" x14ac:dyDescent="0.9">
      <c r="A15" s="57" t="s">
        <v>151</v>
      </c>
      <c r="B15" s="194" t="s">
        <v>152</v>
      </c>
      <c r="C15" s="195"/>
      <c r="D15" s="196"/>
      <c r="E15" s="62" t="s">
        <v>131</v>
      </c>
      <c r="F15" s="62" t="s">
        <v>139</v>
      </c>
    </row>
    <row r="16" spans="1:6" ht="48" thickBot="1" x14ac:dyDescent="0.9">
      <c r="A16" s="63" t="s">
        <v>153</v>
      </c>
      <c r="B16" s="69" t="s">
        <v>154</v>
      </c>
      <c r="C16" s="62" t="s">
        <v>155</v>
      </c>
      <c r="D16" s="65"/>
      <c r="E16" s="62" t="s">
        <v>131</v>
      </c>
      <c r="F16" s="62" t="s">
        <v>23</v>
      </c>
    </row>
    <row r="17" spans="1:6" ht="31.5" x14ac:dyDescent="0.75">
      <c r="A17" s="171" t="s">
        <v>156</v>
      </c>
      <c r="B17" s="155" t="s">
        <v>157</v>
      </c>
      <c r="C17" s="72" t="s">
        <v>158</v>
      </c>
      <c r="D17" s="173"/>
      <c r="E17" s="171" t="s">
        <v>110</v>
      </c>
      <c r="F17" s="171" t="s">
        <v>23</v>
      </c>
    </row>
    <row r="18" spans="1:6" ht="31.5" x14ac:dyDescent="0.75">
      <c r="A18" s="175"/>
      <c r="B18" s="168"/>
      <c r="C18" s="72" t="s">
        <v>159</v>
      </c>
      <c r="D18" s="215"/>
      <c r="E18" s="175"/>
      <c r="F18" s="175"/>
    </row>
    <row r="19" spans="1:6" ht="48" thickBot="1" x14ac:dyDescent="0.9">
      <c r="A19" s="172"/>
      <c r="B19" s="156"/>
      <c r="C19" s="62" t="s">
        <v>160</v>
      </c>
      <c r="D19" s="174"/>
      <c r="E19" s="172"/>
      <c r="F19" s="172"/>
    </row>
    <row r="20" spans="1:6" ht="32.25" thickBot="1" x14ac:dyDescent="0.9">
      <c r="A20" s="63" t="s">
        <v>161</v>
      </c>
      <c r="B20" s="69" t="s">
        <v>162</v>
      </c>
      <c r="C20" s="62" t="s">
        <v>163</v>
      </c>
      <c r="D20" s="62" t="s">
        <v>164</v>
      </c>
      <c r="E20" s="62" t="s">
        <v>131</v>
      </c>
      <c r="F20" s="62" t="s">
        <v>23</v>
      </c>
    </row>
    <row r="21" spans="1:6" ht="16.5" thickBot="1" x14ac:dyDescent="0.9">
      <c r="A21" s="63" t="s">
        <v>165</v>
      </c>
      <c r="B21" s="69" t="s">
        <v>166</v>
      </c>
      <c r="C21" s="62" t="s">
        <v>167</v>
      </c>
      <c r="D21" s="65"/>
      <c r="E21" s="62" t="s">
        <v>142</v>
      </c>
      <c r="F21" s="62" t="s">
        <v>23</v>
      </c>
    </row>
    <row r="22" spans="1:6" ht="95.25" thickBot="1" x14ac:dyDescent="0.9">
      <c r="A22" s="63" t="s">
        <v>168</v>
      </c>
      <c r="B22" s="69" t="s">
        <v>146</v>
      </c>
      <c r="C22" s="62" t="s">
        <v>147</v>
      </c>
      <c r="D22" s="65"/>
      <c r="E22" s="62" t="s">
        <v>142</v>
      </c>
      <c r="F22" s="62" t="s">
        <v>139</v>
      </c>
    </row>
    <row r="23" spans="1:6" ht="32.25" thickBot="1" x14ac:dyDescent="0.9">
      <c r="A23" s="63" t="s">
        <v>169</v>
      </c>
      <c r="B23" s="69" t="s">
        <v>149</v>
      </c>
      <c r="C23" s="62" t="s">
        <v>150</v>
      </c>
      <c r="D23" s="65"/>
      <c r="E23" s="62" t="s">
        <v>131</v>
      </c>
      <c r="F23" s="62" t="s">
        <v>23</v>
      </c>
    </row>
    <row r="24" spans="1:6" ht="16.5" thickBot="1" x14ac:dyDescent="0.9">
      <c r="A24" s="57" t="s">
        <v>170</v>
      </c>
      <c r="B24" s="194" t="s">
        <v>171</v>
      </c>
      <c r="C24" s="195"/>
      <c r="D24" s="196"/>
      <c r="E24" s="62" t="s">
        <v>131</v>
      </c>
      <c r="F24" s="62" t="s">
        <v>23</v>
      </c>
    </row>
    <row r="25" spans="1:6" ht="32.25" thickBot="1" x14ac:dyDescent="0.9">
      <c r="A25" s="63" t="s">
        <v>172</v>
      </c>
      <c r="B25" s="67" t="s">
        <v>173</v>
      </c>
      <c r="C25" s="62" t="s">
        <v>174</v>
      </c>
      <c r="D25" s="66" t="s">
        <v>175</v>
      </c>
      <c r="E25" s="65"/>
      <c r="F25" s="62" t="s">
        <v>23</v>
      </c>
    </row>
    <row r="26" spans="1:6" ht="16.5" thickBot="1" x14ac:dyDescent="0.9">
      <c r="A26" s="63" t="s">
        <v>176</v>
      </c>
      <c r="B26" s="67" t="s">
        <v>177</v>
      </c>
      <c r="C26" s="62" t="s">
        <v>178</v>
      </c>
      <c r="D26" s="66" t="s">
        <v>179</v>
      </c>
      <c r="E26" s="62" t="s">
        <v>142</v>
      </c>
      <c r="F26" s="62" t="s">
        <v>23</v>
      </c>
    </row>
    <row r="27" spans="1:6" ht="48" thickBot="1" x14ac:dyDescent="0.9">
      <c r="A27" s="63" t="s">
        <v>180</v>
      </c>
      <c r="B27" s="67" t="s">
        <v>154</v>
      </c>
      <c r="C27" s="62" t="s">
        <v>181</v>
      </c>
      <c r="D27" s="76"/>
      <c r="E27" s="62" t="s">
        <v>131</v>
      </c>
      <c r="F27" s="62" t="s">
        <v>139</v>
      </c>
    </row>
    <row r="28" spans="1:6" ht="32.25" thickBot="1" x14ac:dyDescent="0.9">
      <c r="A28" s="63" t="s">
        <v>182</v>
      </c>
      <c r="B28" s="64" t="s">
        <v>183</v>
      </c>
      <c r="C28" s="62" t="s">
        <v>184</v>
      </c>
      <c r="D28" s="65"/>
      <c r="E28" s="62" t="s">
        <v>117</v>
      </c>
      <c r="F28" s="62" t="s">
        <v>111</v>
      </c>
    </row>
    <row r="29" spans="1:6" ht="32.25" thickBot="1" x14ac:dyDescent="0.9">
      <c r="A29" s="63" t="s">
        <v>185</v>
      </c>
      <c r="B29" s="64" t="s">
        <v>119</v>
      </c>
      <c r="C29" s="62" t="s">
        <v>186</v>
      </c>
      <c r="D29" s="65"/>
      <c r="E29" s="62" t="s">
        <v>117</v>
      </c>
      <c r="F29" s="62" t="s">
        <v>111</v>
      </c>
    </row>
    <row r="30" spans="1:6" ht="95.25" thickBot="1" x14ac:dyDescent="0.9">
      <c r="A30" s="63" t="s">
        <v>187</v>
      </c>
      <c r="B30" s="67" t="s">
        <v>146</v>
      </c>
      <c r="C30" s="62" t="s">
        <v>188</v>
      </c>
      <c r="D30" s="76"/>
      <c r="E30" s="62" t="s">
        <v>142</v>
      </c>
      <c r="F30" s="62" t="s">
        <v>139</v>
      </c>
    </row>
    <row r="31" spans="1:6" ht="32.25" thickBot="1" x14ac:dyDescent="0.9">
      <c r="A31" s="63" t="s">
        <v>189</v>
      </c>
      <c r="B31" s="67" t="s">
        <v>149</v>
      </c>
      <c r="C31" s="62" t="s">
        <v>150</v>
      </c>
      <c r="D31" s="65"/>
      <c r="E31" s="62" t="s">
        <v>131</v>
      </c>
      <c r="F31" s="62" t="s">
        <v>23</v>
      </c>
    </row>
    <row r="32" spans="1:6" ht="16.5" thickBot="1" x14ac:dyDescent="0.9">
      <c r="A32" s="57" t="s">
        <v>190</v>
      </c>
      <c r="B32" s="194" t="s">
        <v>191</v>
      </c>
      <c r="C32" s="195"/>
      <c r="D32" s="196"/>
      <c r="E32" s="62" t="s">
        <v>142</v>
      </c>
      <c r="F32" s="62" t="s">
        <v>23</v>
      </c>
    </row>
    <row r="33" spans="1:6" ht="16.5" thickBot="1" x14ac:dyDescent="0.9">
      <c r="A33" s="63" t="s">
        <v>192</v>
      </c>
      <c r="B33" s="64" t="s">
        <v>193</v>
      </c>
      <c r="C33" s="62" t="s">
        <v>194</v>
      </c>
      <c r="D33" s="65"/>
      <c r="E33" s="62" t="s">
        <v>142</v>
      </c>
      <c r="F33" s="62" t="s">
        <v>111</v>
      </c>
    </row>
    <row r="34" spans="1:6" ht="16.5" thickBot="1" x14ac:dyDescent="0.9">
      <c r="A34" s="63" t="s">
        <v>195</v>
      </c>
      <c r="B34" s="64" t="s">
        <v>196</v>
      </c>
      <c r="C34" s="62" t="s">
        <v>197</v>
      </c>
      <c r="D34" s="65"/>
      <c r="E34" s="62" t="s">
        <v>142</v>
      </c>
      <c r="F34" s="62" t="s">
        <v>23</v>
      </c>
    </row>
    <row r="35" spans="1:6" ht="32.25" thickBot="1" x14ac:dyDescent="0.9">
      <c r="A35" s="63" t="s">
        <v>198</v>
      </c>
      <c r="B35" s="64" t="s">
        <v>199</v>
      </c>
      <c r="C35" s="62" t="s">
        <v>200</v>
      </c>
      <c r="D35" s="65"/>
      <c r="E35" s="62" t="s">
        <v>142</v>
      </c>
      <c r="F35" s="62" t="s">
        <v>111</v>
      </c>
    </row>
    <row r="36" spans="1:6" ht="16.5" thickBot="1" x14ac:dyDescent="0.9">
      <c r="A36" s="57" t="s">
        <v>201</v>
      </c>
      <c r="B36" s="194" t="s">
        <v>202</v>
      </c>
      <c r="C36" s="195"/>
      <c r="D36" s="196"/>
      <c r="E36" s="62" t="s">
        <v>131</v>
      </c>
      <c r="F36" s="62" t="s">
        <v>23</v>
      </c>
    </row>
    <row r="37" spans="1:6" ht="79.5" thickBot="1" x14ac:dyDescent="0.9">
      <c r="A37" s="63" t="s">
        <v>203</v>
      </c>
      <c r="B37" s="67" t="s">
        <v>204</v>
      </c>
      <c r="C37" s="62" t="s">
        <v>205</v>
      </c>
      <c r="D37" s="65"/>
      <c r="E37" s="62" t="s">
        <v>142</v>
      </c>
      <c r="F37" s="62" t="s">
        <v>23</v>
      </c>
    </row>
    <row r="38" spans="1:6" ht="16.5" thickBot="1" x14ac:dyDescent="0.9">
      <c r="A38" s="63" t="s">
        <v>206</v>
      </c>
      <c r="B38" s="67" t="s">
        <v>207</v>
      </c>
      <c r="C38" s="62" t="s">
        <v>208</v>
      </c>
      <c r="D38" s="65"/>
      <c r="E38" s="62" t="s">
        <v>142</v>
      </c>
      <c r="F38" s="62" t="s">
        <v>23</v>
      </c>
    </row>
    <row r="39" spans="1:6" ht="48" thickBot="1" x14ac:dyDescent="0.9">
      <c r="A39" s="63" t="s">
        <v>209</v>
      </c>
      <c r="B39" s="67" t="s">
        <v>210</v>
      </c>
      <c r="C39" s="62" t="s">
        <v>211</v>
      </c>
      <c r="D39" s="65"/>
      <c r="E39" s="62" t="s">
        <v>131</v>
      </c>
      <c r="F39" s="62" t="s">
        <v>23</v>
      </c>
    </row>
    <row r="40" spans="1:6" ht="16.5" thickBot="1" x14ac:dyDescent="0.9">
      <c r="A40" s="63" t="s">
        <v>212</v>
      </c>
      <c r="B40" s="67" t="s">
        <v>213</v>
      </c>
      <c r="C40" s="62" t="s">
        <v>214</v>
      </c>
      <c r="D40" s="65"/>
      <c r="E40" s="62" t="s">
        <v>142</v>
      </c>
      <c r="F40" s="62" t="s">
        <v>23</v>
      </c>
    </row>
    <row r="41" spans="1:6" ht="16.5" thickBot="1" x14ac:dyDescent="0.9">
      <c r="A41" s="57" t="s">
        <v>215</v>
      </c>
      <c r="B41" s="194" t="s">
        <v>216</v>
      </c>
      <c r="C41" s="195"/>
      <c r="D41" s="196"/>
      <c r="E41" s="62" t="s">
        <v>117</v>
      </c>
      <c r="F41" s="62" t="s">
        <v>111</v>
      </c>
    </row>
    <row r="42" spans="1:6" ht="63.75" thickBot="1" x14ac:dyDescent="0.9">
      <c r="A42" s="63" t="s">
        <v>217</v>
      </c>
      <c r="B42" s="69" t="s">
        <v>218</v>
      </c>
      <c r="C42" s="62" t="s">
        <v>219</v>
      </c>
      <c r="D42" s="65"/>
      <c r="E42" s="62" t="s">
        <v>117</v>
      </c>
      <c r="F42" s="62" t="s">
        <v>111</v>
      </c>
    </row>
    <row r="43" spans="1:6" ht="16.5" thickBot="1" x14ac:dyDescent="0.9">
      <c r="A43" s="63" t="s">
        <v>220</v>
      </c>
      <c r="B43" s="69" t="s">
        <v>221</v>
      </c>
      <c r="C43" s="62" t="s">
        <v>208</v>
      </c>
      <c r="D43" s="65"/>
      <c r="E43" s="62" t="s">
        <v>110</v>
      </c>
      <c r="F43" s="62" t="s">
        <v>111</v>
      </c>
    </row>
    <row r="44" spans="1:6" ht="48" thickBot="1" x14ac:dyDescent="0.9">
      <c r="A44" s="63" t="s">
        <v>222</v>
      </c>
      <c r="B44" s="69" t="s">
        <v>223</v>
      </c>
      <c r="C44" s="62" t="s">
        <v>211</v>
      </c>
      <c r="D44" s="65"/>
      <c r="E44" s="62" t="s">
        <v>131</v>
      </c>
      <c r="F44" s="62" t="s">
        <v>23</v>
      </c>
    </row>
    <row r="45" spans="1:6" ht="48" thickBot="1" x14ac:dyDescent="0.9">
      <c r="A45" s="63" t="s">
        <v>224</v>
      </c>
      <c r="B45" s="69" t="s">
        <v>225</v>
      </c>
      <c r="C45" s="62" t="s">
        <v>211</v>
      </c>
      <c r="D45" s="65"/>
      <c r="E45" s="62" t="s">
        <v>110</v>
      </c>
      <c r="F45" s="62" t="s">
        <v>111</v>
      </c>
    </row>
    <row r="46" spans="1:6" ht="16.5" thickBot="1" x14ac:dyDescent="0.9">
      <c r="A46" s="63" t="s">
        <v>226</v>
      </c>
      <c r="B46" s="69" t="s">
        <v>227</v>
      </c>
      <c r="C46" s="62" t="s">
        <v>228</v>
      </c>
      <c r="D46" s="65"/>
      <c r="E46" s="62" t="s">
        <v>110</v>
      </c>
      <c r="F46" s="62" t="s">
        <v>111</v>
      </c>
    </row>
    <row r="47" spans="1:6" ht="16.5" thickBot="1" x14ac:dyDescent="0.9">
      <c r="A47" s="57" t="s">
        <v>229</v>
      </c>
      <c r="B47" s="194" t="s">
        <v>230</v>
      </c>
      <c r="C47" s="195"/>
      <c r="D47" s="196"/>
      <c r="E47" s="62" t="s">
        <v>131</v>
      </c>
      <c r="F47" s="62" t="s">
        <v>23</v>
      </c>
    </row>
    <row r="48" spans="1:6" ht="63.75" thickBot="1" x14ac:dyDescent="0.9">
      <c r="A48" s="63" t="s">
        <v>231</v>
      </c>
      <c r="B48" s="67" t="s">
        <v>232</v>
      </c>
      <c r="C48" s="62" t="s">
        <v>219</v>
      </c>
      <c r="D48" s="65"/>
      <c r="E48" s="62" t="s">
        <v>117</v>
      </c>
      <c r="F48" s="62" t="s">
        <v>111</v>
      </c>
    </row>
    <row r="49" spans="1:6" ht="16.5" thickBot="1" x14ac:dyDescent="0.9">
      <c r="A49" s="63" t="s">
        <v>233</v>
      </c>
      <c r="B49" s="62" t="s">
        <v>234</v>
      </c>
      <c r="C49" s="62" t="s">
        <v>208</v>
      </c>
      <c r="D49" s="65"/>
      <c r="E49" s="62" t="s">
        <v>110</v>
      </c>
      <c r="F49" s="62" t="s">
        <v>111</v>
      </c>
    </row>
    <row r="50" spans="1:6" ht="48" thickBot="1" x14ac:dyDescent="0.9">
      <c r="A50" s="63" t="s">
        <v>235</v>
      </c>
      <c r="B50" s="67" t="s">
        <v>236</v>
      </c>
      <c r="C50" s="62" t="s">
        <v>211</v>
      </c>
      <c r="D50" s="65"/>
      <c r="E50" s="62" t="s">
        <v>131</v>
      </c>
      <c r="F50" s="62" t="s">
        <v>23</v>
      </c>
    </row>
    <row r="51" spans="1:6" ht="16.5" thickBot="1" x14ac:dyDescent="0.9">
      <c r="A51" s="63" t="s">
        <v>237</v>
      </c>
      <c r="B51" s="67" t="s">
        <v>238</v>
      </c>
      <c r="C51" s="62" t="s">
        <v>214</v>
      </c>
      <c r="D51" s="65"/>
      <c r="E51" s="62" t="s">
        <v>110</v>
      </c>
      <c r="F51" s="62" t="s">
        <v>111</v>
      </c>
    </row>
    <row r="52" spans="1:6" ht="16.5" thickBot="1" x14ac:dyDescent="0.9">
      <c r="A52" s="63" t="s">
        <v>239</v>
      </c>
      <c r="B52" s="67" t="s">
        <v>240</v>
      </c>
      <c r="C52" s="62" t="s">
        <v>241</v>
      </c>
      <c r="D52" s="65"/>
      <c r="E52" s="62" t="s">
        <v>110</v>
      </c>
      <c r="F52" s="62" t="s">
        <v>111</v>
      </c>
    </row>
    <row r="53" spans="1:6" ht="16.5" thickBot="1" x14ac:dyDescent="0.9">
      <c r="A53" s="57" t="s">
        <v>242</v>
      </c>
      <c r="B53" s="194" t="s">
        <v>243</v>
      </c>
      <c r="C53" s="195"/>
      <c r="D53" s="196"/>
      <c r="E53" s="62" t="s">
        <v>142</v>
      </c>
      <c r="F53" s="62" t="s">
        <v>23</v>
      </c>
    </row>
    <row r="54" spans="1:6" ht="63.75" thickBot="1" x14ac:dyDescent="0.9">
      <c r="A54" s="63" t="s">
        <v>244</v>
      </c>
      <c r="B54" s="67" t="s">
        <v>245</v>
      </c>
      <c r="C54" s="62" t="s">
        <v>219</v>
      </c>
      <c r="D54" s="65"/>
      <c r="E54" s="62" t="s">
        <v>117</v>
      </c>
      <c r="F54" s="62" t="s">
        <v>111</v>
      </c>
    </row>
    <row r="55" spans="1:6" ht="16.5" thickBot="1" x14ac:dyDescent="0.9">
      <c r="A55" s="63" t="s">
        <v>246</v>
      </c>
      <c r="B55" s="62" t="s">
        <v>247</v>
      </c>
      <c r="C55" s="62" t="s">
        <v>208</v>
      </c>
      <c r="D55" s="65"/>
      <c r="E55" s="62" t="s">
        <v>110</v>
      </c>
      <c r="F55" s="62" t="s">
        <v>111</v>
      </c>
    </row>
    <row r="56" spans="1:6" ht="48" thickBot="1" x14ac:dyDescent="0.9">
      <c r="A56" s="75"/>
      <c r="B56" s="67" t="s">
        <v>248</v>
      </c>
      <c r="C56" s="62" t="s">
        <v>211</v>
      </c>
      <c r="D56" s="65"/>
      <c r="E56" s="62" t="s">
        <v>131</v>
      </c>
      <c r="F56" s="62" t="s">
        <v>23</v>
      </c>
    </row>
    <row r="57" spans="1:6" ht="16.5" thickBot="1" x14ac:dyDescent="0.9">
      <c r="A57" s="63" t="s">
        <v>249</v>
      </c>
      <c r="B57" s="67" t="s">
        <v>250</v>
      </c>
      <c r="C57" s="62" t="s">
        <v>214</v>
      </c>
      <c r="D57" s="65"/>
      <c r="E57" s="62" t="s">
        <v>110</v>
      </c>
      <c r="F57" s="62" t="s">
        <v>111</v>
      </c>
    </row>
    <row r="58" spans="1:6" ht="16.5" thickBot="1" x14ac:dyDescent="0.9">
      <c r="A58" s="63" t="s">
        <v>251</v>
      </c>
      <c r="B58" s="67" t="s">
        <v>252</v>
      </c>
      <c r="C58" s="62" t="s">
        <v>253</v>
      </c>
      <c r="D58" s="65"/>
      <c r="E58" s="62" t="s">
        <v>110</v>
      </c>
      <c r="F58" s="62" t="s">
        <v>111</v>
      </c>
    </row>
    <row r="59" spans="1:6" ht="16.5" thickBot="1" x14ac:dyDescent="0.9">
      <c r="A59" s="57" t="s">
        <v>254</v>
      </c>
      <c r="B59" s="194" t="s">
        <v>255</v>
      </c>
      <c r="C59" s="195"/>
      <c r="D59" s="196"/>
      <c r="E59" s="62" t="s">
        <v>110</v>
      </c>
      <c r="F59" s="62" t="s">
        <v>111</v>
      </c>
    </row>
    <row r="60" spans="1:6" ht="16.5" thickBot="1" x14ac:dyDescent="0.9">
      <c r="A60" s="63" t="s">
        <v>256</v>
      </c>
      <c r="B60" s="67" t="s">
        <v>257</v>
      </c>
      <c r="C60" s="62" t="s">
        <v>258</v>
      </c>
      <c r="D60" s="65"/>
      <c r="E60" s="62" t="s">
        <v>110</v>
      </c>
      <c r="F60" s="62" t="s">
        <v>111</v>
      </c>
    </row>
    <row r="61" spans="1:6" ht="32.25" thickBot="1" x14ac:dyDescent="0.9">
      <c r="A61" s="63" t="s">
        <v>259</v>
      </c>
      <c r="B61" s="67" t="s">
        <v>260</v>
      </c>
      <c r="C61" s="62" t="s">
        <v>261</v>
      </c>
      <c r="D61" s="66" t="s">
        <v>262</v>
      </c>
      <c r="E61" s="62" t="s">
        <v>110</v>
      </c>
      <c r="F61" s="62" t="s">
        <v>111</v>
      </c>
    </row>
    <row r="62" spans="1:6" ht="16.5" thickBot="1" x14ac:dyDescent="0.9">
      <c r="A62" s="63" t="s">
        <v>263</v>
      </c>
      <c r="B62" s="67" t="s">
        <v>264</v>
      </c>
      <c r="C62" s="62" t="s">
        <v>265</v>
      </c>
      <c r="D62" s="62" t="s">
        <v>266</v>
      </c>
      <c r="E62" s="62" t="s">
        <v>110</v>
      </c>
      <c r="F62" s="62" t="s">
        <v>111</v>
      </c>
    </row>
    <row r="63" spans="1:6" ht="16.5" thickBot="1" x14ac:dyDescent="0.9">
      <c r="A63" s="63" t="s">
        <v>267</v>
      </c>
      <c r="B63" s="67" t="s">
        <v>268</v>
      </c>
      <c r="C63" s="62" t="s">
        <v>269</v>
      </c>
      <c r="D63" s="65"/>
      <c r="E63" s="62" t="s">
        <v>110</v>
      </c>
      <c r="F63" s="62" t="s">
        <v>111</v>
      </c>
    </row>
    <row r="64" spans="1:6" ht="16.5" thickBot="1" x14ac:dyDescent="0.9">
      <c r="A64" s="63" t="s">
        <v>270</v>
      </c>
      <c r="B64" s="67" t="s">
        <v>271</v>
      </c>
      <c r="C64" s="62" t="s">
        <v>272</v>
      </c>
      <c r="D64" s="65"/>
      <c r="E64" s="62" t="s">
        <v>110</v>
      </c>
      <c r="F64" s="62" t="s">
        <v>111</v>
      </c>
    </row>
    <row r="65" spans="1:6" ht="16.5" thickBot="1" x14ac:dyDescent="0.9">
      <c r="A65" s="63" t="s">
        <v>273</v>
      </c>
      <c r="B65" s="67" t="s">
        <v>274</v>
      </c>
      <c r="C65" s="62" t="s">
        <v>275</v>
      </c>
      <c r="D65" s="65"/>
      <c r="E65" s="62" t="s">
        <v>110</v>
      </c>
      <c r="F65" s="62" t="s">
        <v>139</v>
      </c>
    </row>
    <row r="66" spans="1:6" ht="16.5" thickBot="1" x14ac:dyDescent="0.9">
      <c r="A66" s="63" t="s">
        <v>276</v>
      </c>
      <c r="B66" s="67" t="s">
        <v>277</v>
      </c>
      <c r="C66" s="62" t="s">
        <v>278</v>
      </c>
      <c r="D66" s="66" t="s">
        <v>279</v>
      </c>
      <c r="E66" s="62" t="s">
        <v>110</v>
      </c>
      <c r="F66" s="62" t="s">
        <v>111</v>
      </c>
    </row>
    <row r="67" spans="1:6" ht="32.25" thickBot="1" x14ac:dyDescent="0.9">
      <c r="A67" s="63" t="s">
        <v>280</v>
      </c>
      <c r="B67" s="67" t="s">
        <v>281</v>
      </c>
      <c r="C67" s="62" t="s">
        <v>282</v>
      </c>
      <c r="D67" s="62" t="s">
        <v>138</v>
      </c>
      <c r="E67" s="62" t="s">
        <v>110</v>
      </c>
      <c r="F67" s="62" t="s">
        <v>23</v>
      </c>
    </row>
    <row r="68" spans="1:6" ht="16.5" thickBot="1" x14ac:dyDescent="0.9">
      <c r="A68" s="63" t="s">
        <v>283</v>
      </c>
      <c r="B68" s="67" t="s">
        <v>30</v>
      </c>
      <c r="C68" s="62" t="s">
        <v>284</v>
      </c>
      <c r="D68" s="65"/>
      <c r="E68" s="62" t="s">
        <v>142</v>
      </c>
      <c r="F68" s="62" t="s">
        <v>23</v>
      </c>
    </row>
    <row r="69" spans="1:6" ht="16.5" thickBot="1" x14ac:dyDescent="0.9">
      <c r="A69" s="57" t="s">
        <v>285</v>
      </c>
      <c r="B69" s="194" t="s">
        <v>286</v>
      </c>
      <c r="C69" s="195"/>
      <c r="D69" s="196"/>
      <c r="E69" s="62" t="s">
        <v>142</v>
      </c>
      <c r="F69" s="62" t="s">
        <v>23</v>
      </c>
    </row>
    <row r="70" spans="1:6" ht="16.5" thickBot="1" x14ac:dyDescent="0.9">
      <c r="A70" s="63" t="s">
        <v>287</v>
      </c>
      <c r="B70" s="67" t="s">
        <v>288</v>
      </c>
      <c r="C70" s="62" t="s">
        <v>289</v>
      </c>
      <c r="D70" s="65"/>
      <c r="E70" s="62" t="s">
        <v>131</v>
      </c>
      <c r="F70" s="62" t="s">
        <v>23</v>
      </c>
    </row>
    <row r="71" spans="1:6" ht="16.5" thickBot="1" x14ac:dyDescent="0.9">
      <c r="A71" s="63" t="s">
        <v>290</v>
      </c>
      <c r="B71" s="67" t="s">
        <v>291</v>
      </c>
      <c r="C71" s="62" t="s">
        <v>292</v>
      </c>
      <c r="D71" s="65"/>
      <c r="E71" s="62" t="s">
        <v>142</v>
      </c>
      <c r="F71" s="62" t="s">
        <v>23</v>
      </c>
    </row>
    <row r="72" spans="1:6" ht="16.5" thickBot="1" x14ac:dyDescent="0.9">
      <c r="A72" s="57" t="s">
        <v>293</v>
      </c>
      <c r="B72" s="194" t="s">
        <v>294</v>
      </c>
      <c r="C72" s="195"/>
      <c r="D72" s="196"/>
      <c r="E72" s="62" t="s">
        <v>142</v>
      </c>
      <c r="F72" s="62" t="s">
        <v>23</v>
      </c>
    </row>
    <row r="73" spans="1:6" ht="16.5" thickBot="1" x14ac:dyDescent="0.9">
      <c r="A73" s="57" t="s">
        <v>295</v>
      </c>
      <c r="B73" s="61" t="s">
        <v>296</v>
      </c>
      <c r="C73" s="62" t="s">
        <v>297</v>
      </c>
      <c r="D73" s="65"/>
      <c r="E73" s="62" t="s">
        <v>117</v>
      </c>
      <c r="F73" s="62" t="s">
        <v>111</v>
      </c>
    </row>
    <row r="74" spans="1:6" ht="16.5" thickBot="1" x14ac:dyDescent="0.9">
      <c r="A74" s="63" t="s">
        <v>298</v>
      </c>
      <c r="B74" s="67" t="s">
        <v>299</v>
      </c>
      <c r="C74" s="62" t="s">
        <v>300</v>
      </c>
      <c r="D74" s="65"/>
      <c r="E74" s="62" t="s">
        <v>110</v>
      </c>
      <c r="F74" s="62" t="s">
        <v>111</v>
      </c>
    </row>
    <row r="75" spans="1:6" ht="32.25" thickBot="1" x14ac:dyDescent="0.9">
      <c r="A75" s="63" t="s">
        <v>301</v>
      </c>
      <c r="B75" s="67" t="s">
        <v>28</v>
      </c>
      <c r="C75" s="62" t="s">
        <v>302</v>
      </c>
      <c r="D75" s="66" t="s">
        <v>303</v>
      </c>
      <c r="E75" s="62" t="s">
        <v>110</v>
      </c>
      <c r="F75" s="62" t="s">
        <v>111</v>
      </c>
    </row>
    <row r="76" spans="1:6" ht="16.5" thickBot="1" x14ac:dyDescent="0.9">
      <c r="A76" s="63" t="s">
        <v>304</v>
      </c>
      <c r="B76" s="62" t="s">
        <v>95</v>
      </c>
      <c r="C76" s="62" t="s">
        <v>305</v>
      </c>
      <c r="D76" s="65"/>
      <c r="E76" s="62" t="s">
        <v>142</v>
      </c>
      <c r="F76" s="62" t="s">
        <v>139</v>
      </c>
    </row>
    <row r="77" spans="1:6" ht="15.75" x14ac:dyDescent="0.75">
      <c r="A77" s="171" t="s">
        <v>306</v>
      </c>
      <c r="B77" s="157" t="s">
        <v>307</v>
      </c>
      <c r="C77" s="171" t="s">
        <v>308</v>
      </c>
      <c r="D77" s="72" t="s">
        <v>309</v>
      </c>
      <c r="E77" s="171" t="s">
        <v>131</v>
      </c>
      <c r="F77" s="171" t="s">
        <v>23</v>
      </c>
    </row>
    <row r="78" spans="1:6" x14ac:dyDescent="0.75">
      <c r="A78" s="175"/>
      <c r="B78" s="158"/>
      <c r="C78" s="175"/>
      <c r="D78" s="78"/>
      <c r="E78" s="175"/>
      <c r="F78" s="175"/>
    </row>
    <row r="79" spans="1:6" ht="15.75" x14ac:dyDescent="0.75">
      <c r="A79" s="175"/>
      <c r="B79" s="158"/>
      <c r="C79" s="175"/>
      <c r="D79" s="79" t="s">
        <v>310</v>
      </c>
      <c r="E79" s="175"/>
      <c r="F79" s="175"/>
    </row>
    <row r="80" spans="1:6" x14ac:dyDescent="0.75">
      <c r="A80" s="175"/>
      <c r="B80" s="158"/>
      <c r="C80" s="175"/>
      <c r="D80" s="78"/>
      <c r="E80" s="175"/>
      <c r="F80" s="175"/>
    </row>
    <row r="81" spans="1:6" ht="16.5" thickBot="1" x14ac:dyDescent="0.9">
      <c r="A81" s="172"/>
      <c r="B81" s="159"/>
      <c r="C81" s="172"/>
      <c r="D81" s="80" t="s">
        <v>311</v>
      </c>
      <c r="E81" s="172"/>
      <c r="F81" s="172"/>
    </row>
    <row r="82" spans="1:6" ht="32.25" thickBot="1" x14ac:dyDescent="0.9">
      <c r="A82" s="63" t="s">
        <v>312</v>
      </c>
      <c r="B82" s="67" t="s">
        <v>313</v>
      </c>
      <c r="C82" s="62" t="s">
        <v>314</v>
      </c>
      <c r="D82" s="65"/>
      <c r="E82" s="62" t="s">
        <v>110</v>
      </c>
      <c r="F82" s="62" t="s">
        <v>23</v>
      </c>
    </row>
    <row r="83" spans="1:6" ht="16.5" thickBot="1" x14ac:dyDescent="0.9">
      <c r="A83" s="57" t="s">
        <v>315</v>
      </c>
      <c r="B83" s="194" t="s">
        <v>316</v>
      </c>
      <c r="C83" s="195"/>
      <c r="D83" s="196"/>
      <c r="E83" s="62" t="s">
        <v>110</v>
      </c>
      <c r="F83" s="62" t="s">
        <v>111</v>
      </c>
    </row>
    <row r="84" spans="1:6" ht="48" thickBot="1" x14ac:dyDescent="0.9">
      <c r="A84" s="63" t="s">
        <v>317</v>
      </c>
      <c r="B84" s="81" t="s">
        <v>318</v>
      </c>
      <c r="C84" s="62" t="s">
        <v>319</v>
      </c>
      <c r="D84" s="65"/>
      <c r="E84" s="62" t="s">
        <v>117</v>
      </c>
      <c r="F84" s="62" t="s">
        <v>111</v>
      </c>
    </row>
    <row r="85" spans="1:6" ht="16.5" thickBot="1" x14ac:dyDescent="0.9">
      <c r="A85" s="63" t="s">
        <v>320</v>
      </c>
      <c r="B85" s="82" t="s">
        <v>321</v>
      </c>
      <c r="C85" s="62" t="s">
        <v>322</v>
      </c>
      <c r="D85" s="65"/>
      <c r="E85" s="62" t="s">
        <v>142</v>
      </c>
      <c r="F85" s="62" t="s">
        <v>139</v>
      </c>
    </row>
    <row r="86" spans="1:6" ht="15.75" x14ac:dyDescent="0.75">
      <c r="A86" s="171" t="s">
        <v>323</v>
      </c>
      <c r="B86" s="199" t="s">
        <v>324</v>
      </c>
      <c r="C86" s="171" t="s">
        <v>325</v>
      </c>
      <c r="D86" s="72" t="s">
        <v>326</v>
      </c>
      <c r="E86" s="171" t="s">
        <v>110</v>
      </c>
      <c r="F86" s="171" t="s">
        <v>111</v>
      </c>
    </row>
    <row r="87" spans="1:6" ht="15.75" x14ac:dyDescent="0.75">
      <c r="A87" s="175"/>
      <c r="B87" s="214"/>
      <c r="C87" s="175"/>
      <c r="D87" s="84" t="s">
        <v>32</v>
      </c>
      <c r="E87" s="175"/>
      <c r="F87" s="175"/>
    </row>
    <row r="88" spans="1:6" ht="16.5" thickBot="1" x14ac:dyDescent="0.9">
      <c r="A88" s="172"/>
      <c r="B88" s="200"/>
      <c r="C88" s="172"/>
      <c r="D88" s="62" t="s">
        <v>327</v>
      </c>
      <c r="E88" s="172"/>
      <c r="F88" s="172"/>
    </row>
    <row r="89" spans="1:6" ht="48" thickBot="1" x14ac:dyDescent="0.9">
      <c r="A89" s="63" t="s">
        <v>328</v>
      </c>
      <c r="B89" s="82" t="s">
        <v>329</v>
      </c>
      <c r="C89" s="62" t="s">
        <v>330</v>
      </c>
      <c r="D89" s="62" t="s">
        <v>331</v>
      </c>
      <c r="E89" s="62" t="s">
        <v>142</v>
      </c>
      <c r="F89" s="62" t="s">
        <v>23</v>
      </c>
    </row>
    <row r="90" spans="1:6" ht="63.75" thickBot="1" x14ac:dyDescent="0.9">
      <c r="A90" s="63" t="s">
        <v>332</v>
      </c>
      <c r="B90" s="82" t="s">
        <v>333</v>
      </c>
      <c r="C90" s="62" t="s">
        <v>334</v>
      </c>
      <c r="D90" s="62" t="s">
        <v>326</v>
      </c>
      <c r="E90" s="62" t="s">
        <v>131</v>
      </c>
      <c r="F90" s="62" t="s">
        <v>23</v>
      </c>
    </row>
    <row r="91" spans="1:6" ht="32.25" thickBot="1" x14ac:dyDescent="0.9">
      <c r="A91" s="63" t="s">
        <v>335</v>
      </c>
      <c r="B91" s="67" t="s">
        <v>336</v>
      </c>
      <c r="C91" s="62" t="s">
        <v>337</v>
      </c>
      <c r="D91" s="62" t="s">
        <v>326</v>
      </c>
      <c r="E91" s="62" t="s">
        <v>142</v>
      </c>
      <c r="F91" s="62" t="s">
        <v>23</v>
      </c>
    </row>
    <row r="92" spans="1:6" ht="48" thickBot="1" x14ac:dyDescent="0.9">
      <c r="A92" s="63" t="s">
        <v>338</v>
      </c>
      <c r="B92" s="68" t="s">
        <v>339</v>
      </c>
      <c r="C92" s="62" t="s">
        <v>340</v>
      </c>
      <c r="D92" s="66" t="s">
        <v>341</v>
      </c>
      <c r="E92" s="62" t="s">
        <v>142</v>
      </c>
      <c r="F92" s="62" t="s">
        <v>23</v>
      </c>
    </row>
    <row r="93" spans="1:6" ht="32.25" thickBot="1" x14ac:dyDescent="0.9">
      <c r="A93" s="63" t="s">
        <v>342</v>
      </c>
      <c r="B93" s="67" t="s">
        <v>343</v>
      </c>
      <c r="C93" s="62" t="s">
        <v>344</v>
      </c>
      <c r="D93" s="65"/>
      <c r="E93" s="62" t="s">
        <v>142</v>
      </c>
      <c r="F93" s="62" t="s">
        <v>23</v>
      </c>
    </row>
    <row r="94" spans="1:6" ht="32.25" thickBot="1" x14ac:dyDescent="0.9">
      <c r="A94" s="63" t="s">
        <v>345</v>
      </c>
      <c r="B94" s="67" t="s">
        <v>31</v>
      </c>
      <c r="C94" s="62" t="s">
        <v>346</v>
      </c>
      <c r="D94" s="62" t="s">
        <v>347</v>
      </c>
      <c r="E94" s="62" t="s">
        <v>142</v>
      </c>
      <c r="F94" s="62" t="s">
        <v>23</v>
      </c>
    </row>
    <row r="95" spans="1:6" ht="48" thickBot="1" x14ac:dyDescent="0.9">
      <c r="A95" s="63" t="s">
        <v>348</v>
      </c>
      <c r="B95" s="82" t="s">
        <v>349</v>
      </c>
      <c r="C95" s="62" t="s">
        <v>350</v>
      </c>
      <c r="D95" s="64" t="s">
        <v>326</v>
      </c>
      <c r="E95" s="62" t="s">
        <v>142</v>
      </c>
      <c r="F95" s="62" t="s">
        <v>23</v>
      </c>
    </row>
    <row r="96" spans="1:6" ht="16.5" thickBot="1" x14ac:dyDescent="0.9">
      <c r="A96" s="63" t="s">
        <v>351</v>
      </c>
      <c r="B96" s="67" t="s">
        <v>352</v>
      </c>
      <c r="C96" s="62" t="s">
        <v>353</v>
      </c>
      <c r="D96" s="65"/>
      <c r="E96" s="62" t="s">
        <v>142</v>
      </c>
      <c r="F96" s="62" t="s">
        <v>139</v>
      </c>
    </row>
    <row r="97" spans="1:6" ht="16.5" thickBot="1" x14ac:dyDescent="0.9">
      <c r="A97" s="57" t="s">
        <v>354</v>
      </c>
      <c r="B97" s="194" t="s">
        <v>355</v>
      </c>
      <c r="C97" s="195"/>
      <c r="D97" s="196"/>
      <c r="E97" s="62" t="s">
        <v>131</v>
      </c>
      <c r="F97" s="62" t="s">
        <v>23</v>
      </c>
    </row>
    <row r="98" spans="1:6" ht="63" x14ac:dyDescent="0.75">
      <c r="A98" s="171" t="s">
        <v>356</v>
      </c>
      <c r="B98" s="157" t="s">
        <v>357</v>
      </c>
      <c r="C98" s="72" t="s">
        <v>358</v>
      </c>
      <c r="D98" s="72" t="s">
        <v>326</v>
      </c>
      <c r="E98" s="171" t="s">
        <v>142</v>
      </c>
      <c r="F98" s="171" t="s">
        <v>23</v>
      </c>
    </row>
    <row r="99" spans="1:6" ht="48" thickBot="1" x14ac:dyDescent="0.9">
      <c r="A99" s="172"/>
      <c r="B99" s="159"/>
      <c r="C99" s="62" t="s">
        <v>359</v>
      </c>
      <c r="D99" s="62" t="s">
        <v>262</v>
      </c>
      <c r="E99" s="172"/>
      <c r="F99" s="172"/>
    </row>
    <row r="100" spans="1:6" ht="15.75" x14ac:dyDescent="0.75">
      <c r="A100" s="171" t="s">
        <v>360</v>
      </c>
      <c r="B100" s="157" t="s">
        <v>361</v>
      </c>
      <c r="C100" s="171" t="s">
        <v>362</v>
      </c>
      <c r="D100" s="72" t="s">
        <v>363</v>
      </c>
      <c r="E100" s="171" t="s">
        <v>131</v>
      </c>
      <c r="F100" s="171" t="s">
        <v>23</v>
      </c>
    </row>
    <row r="101" spans="1:6" ht="15.75" x14ac:dyDescent="0.75">
      <c r="A101" s="175"/>
      <c r="B101" s="158"/>
      <c r="C101" s="175"/>
      <c r="D101" s="72" t="s">
        <v>326</v>
      </c>
      <c r="E101" s="175"/>
      <c r="F101" s="175"/>
    </row>
    <row r="102" spans="1:6" ht="16.5" thickBot="1" x14ac:dyDescent="0.9">
      <c r="A102" s="172"/>
      <c r="B102" s="159"/>
      <c r="C102" s="172"/>
      <c r="D102" s="62" t="s">
        <v>364</v>
      </c>
      <c r="E102" s="172"/>
      <c r="F102" s="172"/>
    </row>
    <row r="103" spans="1:6" ht="32.25" thickBot="1" x14ac:dyDescent="0.9">
      <c r="A103" s="63" t="s">
        <v>365</v>
      </c>
      <c r="B103" s="67" t="s">
        <v>366</v>
      </c>
      <c r="C103" s="62" t="s">
        <v>367</v>
      </c>
      <c r="D103" s="65"/>
      <c r="E103" s="62" t="s">
        <v>131</v>
      </c>
      <c r="F103" s="62" t="s">
        <v>23</v>
      </c>
    </row>
    <row r="104" spans="1:6" ht="32.25" thickBot="1" x14ac:dyDescent="0.9">
      <c r="A104" s="63" t="s">
        <v>368</v>
      </c>
      <c r="B104" s="67" t="s">
        <v>95</v>
      </c>
      <c r="C104" s="62" t="s">
        <v>369</v>
      </c>
      <c r="D104" s="65"/>
      <c r="E104" s="62" t="s">
        <v>142</v>
      </c>
      <c r="F104" s="62" t="s">
        <v>139</v>
      </c>
    </row>
    <row r="105" spans="1:6" ht="16.5" thickBot="1" x14ac:dyDescent="0.9">
      <c r="A105" s="63" t="s">
        <v>370</v>
      </c>
      <c r="B105" s="67" t="s">
        <v>371</v>
      </c>
      <c r="C105" s="62" t="s">
        <v>372</v>
      </c>
      <c r="D105" s="62" t="s">
        <v>326</v>
      </c>
      <c r="E105" s="62" t="s">
        <v>142</v>
      </c>
      <c r="F105" s="62" t="s">
        <v>23</v>
      </c>
    </row>
    <row r="106" spans="1:6" ht="32.25" thickBot="1" x14ac:dyDescent="0.9">
      <c r="A106" s="63" t="s">
        <v>373</v>
      </c>
      <c r="B106" s="67" t="s">
        <v>374</v>
      </c>
      <c r="C106" s="62" t="s">
        <v>375</v>
      </c>
      <c r="D106" s="65"/>
      <c r="E106" s="62" t="s">
        <v>142</v>
      </c>
      <c r="F106" s="62" t="s">
        <v>23</v>
      </c>
    </row>
    <row r="107" spans="1:6" ht="16.5" thickBot="1" x14ac:dyDescent="0.9">
      <c r="A107" s="57" t="s">
        <v>376</v>
      </c>
      <c r="B107" s="194" t="s">
        <v>377</v>
      </c>
      <c r="C107" s="195"/>
      <c r="D107" s="196"/>
      <c r="E107" s="62" t="s">
        <v>110</v>
      </c>
      <c r="F107" s="62" t="s">
        <v>111</v>
      </c>
    </row>
    <row r="108" spans="1:6" ht="16.5" thickBot="1" x14ac:dyDescent="0.9">
      <c r="A108" s="63" t="s">
        <v>378</v>
      </c>
      <c r="B108" s="67" t="s">
        <v>379</v>
      </c>
      <c r="C108" s="62" t="s">
        <v>380</v>
      </c>
      <c r="D108" s="66" t="s">
        <v>381</v>
      </c>
      <c r="E108" s="62" t="s">
        <v>110</v>
      </c>
      <c r="F108" s="62" t="s">
        <v>111</v>
      </c>
    </row>
    <row r="109" spans="1:6" ht="16.5" thickBot="1" x14ac:dyDescent="0.9">
      <c r="A109" s="63" t="s">
        <v>382</v>
      </c>
      <c r="B109" s="67" t="s">
        <v>383</v>
      </c>
      <c r="C109" s="62" t="s">
        <v>384</v>
      </c>
      <c r="D109" s="65"/>
      <c r="E109" s="62" t="s">
        <v>142</v>
      </c>
      <c r="F109" s="62" t="s">
        <v>139</v>
      </c>
    </row>
    <row r="110" spans="1:6" ht="16.5" thickBot="1" x14ac:dyDescent="0.9">
      <c r="A110" s="57" t="s">
        <v>385</v>
      </c>
      <c r="B110" s="194" t="s">
        <v>386</v>
      </c>
      <c r="C110" s="195"/>
      <c r="D110" s="196"/>
      <c r="E110" s="62" t="s">
        <v>110</v>
      </c>
      <c r="F110" s="62" t="s">
        <v>111</v>
      </c>
    </row>
    <row r="111" spans="1:6" ht="30.25" thickBot="1" x14ac:dyDescent="0.9">
      <c r="A111" s="63" t="s">
        <v>387</v>
      </c>
      <c r="B111" s="85" t="s">
        <v>388</v>
      </c>
      <c r="C111" s="62" t="s">
        <v>389</v>
      </c>
      <c r="D111" s="66" t="s">
        <v>390</v>
      </c>
      <c r="E111" s="62" t="s">
        <v>142</v>
      </c>
      <c r="F111" s="62" t="s">
        <v>23</v>
      </c>
    </row>
    <row r="112" spans="1:6" ht="16.5" thickBot="1" x14ac:dyDescent="0.9">
      <c r="A112" s="63" t="s">
        <v>391</v>
      </c>
      <c r="B112" s="85" t="s">
        <v>392</v>
      </c>
      <c r="C112" s="62" t="s">
        <v>393</v>
      </c>
      <c r="D112" s="65"/>
      <c r="E112" s="62" t="s">
        <v>110</v>
      </c>
      <c r="F112" s="62" t="s">
        <v>111</v>
      </c>
    </row>
    <row r="113" spans="1:6" ht="63.75" thickBot="1" x14ac:dyDescent="0.9">
      <c r="A113" s="63" t="s">
        <v>394</v>
      </c>
      <c r="B113" s="69" t="s">
        <v>395</v>
      </c>
      <c r="C113" s="62" t="s">
        <v>219</v>
      </c>
      <c r="D113" s="65"/>
      <c r="E113" s="62" t="s">
        <v>142</v>
      </c>
      <c r="F113" s="62" t="s">
        <v>23</v>
      </c>
    </row>
    <row r="114" spans="1:6" ht="16.5" thickBot="1" x14ac:dyDescent="0.9">
      <c r="A114" s="63" t="s">
        <v>396</v>
      </c>
      <c r="B114" s="69" t="s">
        <v>397</v>
      </c>
      <c r="C114" s="62" t="s">
        <v>208</v>
      </c>
      <c r="D114" s="65"/>
      <c r="E114" s="62" t="s">
        <v>142</v>
      </c>
      <c r="F114" s="62" t="s">
        <v>23</v>
      </c>
    </row>
    <row r="115" spans="1:6" ht="30.25" thickBot="1" x14ac:dyDescent="0.9">
      <c r="A115" s="63" t="s">
        <v>398</v>
      </c>
      <c r="B115" s="69" t="s">
        <v>399</v>
      </c>
      <c r="C115" s="62" t="s">
        <v>400</v>
      </c>
      <c r="D115" s="66" t="s">
        <v>401</v>
      </c>
      <c r="E115" s="62" t="s">
        <v>142</v>
      </c>
      <c r="F115" s="62" t="s">
        <v>23</v>
      </c>
    </row>
    <row r="116" spans="1:6" ht="63.75" thickBot="1" x14ac:dyDescent="0.9">
      <c r="A116" s="63" t="s">
        <v>402</v>
      </c>
      <c r="B116" s="69" t="s">
        <v>403</v>
      </c>
      <c r="C116" s="62" t="s">
        <v>219</v>
      </c>
      <c r="D116" s="65"/>
      <c r="E116" s="62" t="s">
        <v>142</v>
      </c>
      <c r="F116" s="62" t="s">
        <v>23</v>
      </c>
    </row>
    <row r="117" spans="1:6" ht="16.5" thickBot="1" x14ac:dyDescent="0.9">
      <c r="A117" s="63" t="s">
        <v>404</v>
      </c>
      <c r="B117" s="69" t="s">
        <v>405</v>
      </c>
      <c r="C117" s="62" t="s">
        <v>208</v>
      </c>
      <c r="D117" s="65"/>
      <c r="E117" s="62" t="s">
        <v>142</v>
      </c>
      <c r="F117" s="62" t="s">
        <v>23</v>
      </c>
    </row>
    <row r="118" spans="1:6" ht="16.5" thickBot="1" x14ac:dyDescent="0.9">
      <c r="A118" s="63" t="s">
        <v>406</v>
      </c>
      <c r="B118" s="69" t="s">
        <v>407</v>
      </c>
      <c r="C118" s="62" t="s">
        <v>214</v>
      </c>
      <c r="D118" s="65"/>
      <c r="E118" s="62" t="s">
        <v>142</v>
      </c>
      <c r="F118" s="62" t="s">
        <v>23</v>
      </c>
    </row>
    <row r="119" spans="1:6" ht="16.5" thickBot="1" x14ac:dyDescent="0.9">
      <c r="A119" s="57" t="s">
        <v>408</v>
      </c>
      <c r="B119" s="194" t="s">
        <v>409</v>
      </c>
      <c r="C119" s="195"/>
      <c r="D119" s="196"/>
      <c r="E119" s="62" t="s">
        <v>110</v>
      </c>
      <c r="F119" s="62" t="s">
        <v>111</v>
      </c>
    </row>
    <row r="120" spans="1:6" ht="15.75" x14ac:dyDescent="0.75">
      <c r="A120" s="171" t="s">
        <v>410</v>
      </c>
      <c r="B120" s="157" t="s">
        <v>409</v>
      </c>
      <c r="C120" s="171" t="s">
        <v>411</v>
      </c>
      <c r="D120" s="72" t="s">
        <v>309</v>
      </c>
      <c r="E120" s="171" t="s">
        <v>131</v>
      </c>
      <c r="F120" s="171" t="s">
        <v>23</v>
      </c>
    </row>
    <row r="121" spans="1:6" ht="15.75" x14ac:dyDescent="0.75">
      <c r="A121" s="175"/>
      <c r="B121" s="158"/>
      <c r="C121" s="175"/>
      <c r="D121" s="72" t="s">
        <v>326</v>
      </c>
      <c r="E121" s="175"/>
      <c r="F121" s="175"/>
    </row>
    <row r="122" spans="1:6" ht="16.5" thickBot="1" x14ac:dyDescent="0.9">
      <c r="A122" s="172"/>
      <c r="B122" s="159"/>
      <c r="C122" s="172"/>
      <c r="D122" s="62" t="s">
        <v>364</v>
      </c>
      <c r="E122" s="172"/>
      <c r="F122" s="172"/>
    </row>
    <row r="123" spans="1:6" ht="16.5" thickBot="1" x14ac:dyDescent="0.9">
      <c r="A123" s="63" t="s">
        <v>412</v>
      </c>
      <c r="B123" s="67" t="s">
        <v>413</v>
      </c>
      <c r="C123" s="62" t="s">
        <v>414</v>
      </c>
      <c r="D123" s="65"/>
      <c r="E123" s="62" t="s">
        <v>142</v>
      </c>
      <c r="F123" s="62" t="s">
        <v>139</v>
      </c>
    </row>
    <row r="124" spans="1:6" ht="95.25" thickBot="1" x14ac:dyDescent="0.9">
      <c r="A124" s="63" t="s">
        <v>415</v>
      </c>
      <c r="B124" s="85" t="s">
        <v>416</v>
      </c>
      <c r="C124" s="62" t="s">
        <v>417</v>
      </c>
      <c r="D124" s="62" t="s">
        <v>326</v>
      </c>
      <c r="E124" s="62" t="s">
        <v>142</v>
      </c>
      <c r="F124" s="62" t="s">
        <v>23</v>
      </c>
    </row>
    <row r="125" spans="1:6" ht="16.5" thickBot="1" x14ac:dyDescent="0.9">
      <c r="A125" s="57" t="s">
        <v>418</v>
      </c>
      <c r="B125" s="194" t="s">
        <v>419</v>
      </c>
      <c r="C125" s="195"/>
      <c r="D125" s="196"/>
      <c r="E125" s="65"/>
      <c r="F125" s="62" t="s">
        <v>111</v>
      </c>
    </row>
    <row r="126" spans="1:6" ht="16.5" thickBot="1" x14ac:dyDescent="0.9">
      <c r="A126" s="63" t="s">
        <v>420</v>
      </c>
      <c r="B126" s="67" t="s">
        <v>421</v>
      </c>
      <c r="C126" s="62" t="s">
        <v>422</v>
      </c>
      <c r="D126" s="65"/>
      <c r="E126" s="62" t="s">
        <v>110</v>
      </c>
      <c r="F126" s="62" t="s">
        <v>111</v>
      </c>
    </row>
    <row r="127" spans="1:6" ht="32.25" thickBot="1" x14ac:dyDescent="0.9">
      <c r="A127" s="63" t="s">
        <v>423</v>
      </c>
      <c r="B127" s="67" t="s">
        <v>424</v>
      </c>
      <c r="C127" s="62" t="s">
        <v>425</v>
      </c>
      <c r="D127" s="66" t="s">
        <v>426</v>
      </c>
      <c r="E127" s="62" t="s">
        <v>142</v>
      </c>
      <c r="F127" s="62" t="s">
        <v>23</v>
      </c>
    </row>
    <row r="128" spans="1:6" ht="32.25" thickBot="1" x14ac:dyDescent="0.9">
      <c r="A128" s="63" t="s">
        <v>427</v>
      </c>
      <c r="B128" s="67" t="s">
        <v>428</v>
      </c>
      <c r="C128" s="62" t="s">
        <v>429</v>
      </c>
      <c r="D128" s="65"/>
      <c r="E128" s="62" t="s">
        <v>142</v>
      </c>
      <c r="F128" s="62" t="s">
        <v>23</v>
      </c>
    </row>
    <row r="129" spans="1:6" ht="16.5" thickBot="1" x14ac:dyDescent="0.9">
      <c r="A129" s="57" t="s">
        <v>430</v>
      </c>
      <c r="B129" s="194" t="s">
        <v>431</v>
      </c>
      <c r="C129" s="195"/>
      <c r="D129" s="196"/>
      <c r="E129" s="62" t="s">
        <v>131</v>
      </c>
      <c r="F129" s="62" t="s">
        <v>23</v>
      </c>
    </row>
    <row r="130" spans="1:6" ht="16.5" thickBot="1" x14ac:dyDescent="0.9">
      <c r="A130" s="63" t="s">
        <v>432</v>
      </c>
      <c r="B130" s="67" t="s">
        <v>374</v>
      </c>
      <c r="C130" s="62" t="s">
        <v>433</v>
      </c>
      <c r="D130" s="65"/>
      <c r="E130" s="62" t="s">
        <v>110</v>
      </c>
      <c r="F130" s="62" t="s">
        <v>111</v>
      </c>
    </row>
    <row r="131" spans="1:6" ht="16.5" thickBot="1" x14ac:dyDescent="0.9">
      <c r="A131" s="63" t="s">
        <v>434</v>
      </c>
      <c r="B131" s="67" t="s">
        <v>435</v>
      </c>
      <c r="C131" s="62" t="s">
        <v>436</v>
      </c>
      <c r="D131" s="65"/>
      <c r="E131" s="62" t="s">
        <v>142</v>
      </c>
      <c r="F131" s="62" t="s">
        <v>23</v>
      </c>
    </row>
    <row r="132" spans="1:6" ht="16.5" thickBot="1" x14ac:dyDescent="0.9">
      <c r="A132" s="63" t="s">
        <v>437</v>
      </c>
      <c r="B132" s="67" t="s">
        <v>438</v>
      </c>
      <c r="C132" s="62" t="s">
        <v>439</v>
      </c>
      <c r="D132" s="65"/>
      <c r="E132" s="62" t="s">
        <v>110</v>
      </c>
      <c r="F132" s="62" t="s">
        <v>111</v>
      </c>
    </row>
    <row r="133" spans="1:6" ht="32.25" thickBot="1" x14ac:dyDescent="0.9">
      <c r="A133" s="63" t="s">
        <v>440</v>
      </c>
      <c r="B133" s="67" t="s">
        <v>441</v>
      </c>
      <c r="C133" s="62" t="s">
        <v>442</v>
      </c>
      <c r="D133" s="65"/>
      <c r="E133" s="62" t="s">
        <v>117</v>
      </c>
      <c r="F133" s="62" t="s">
        <v>23</v>
      </c>
    </row>
    <row r="134" spans="1:6" ht="16.5" thickBot="1" x14ac:dyDescent="0.9">
      <c r="A134" s="57" t="s">
        <v>443</v>
      </c>
      <c r="B134" s="194" t="s">
        <v>444</v>
      </c>
      <c r="C134" s="195"/>
      <c r="D134" s="196"/>
      <c r="E134" s="62" t="s">
        <v>142</v>
      </c>
      <c r="F134" s="62" t="s">
        <v>139</v>
      </c>
    </row>
    <row r="135" spans="1:6" ht="16.5" thickBot="1" x14ac:dyDescent="0.9">
      <c r="A135" s="86" t="s">
        <v>445</v>
      </c>
      <c r="B135" s="211" t="s">
        <v>446</v>
      </c>
      <c r="C135" s="212"/>
      <c r="D135" s="213"/>
      <c r="E135" s="62" t="s">
        <v>142</v>
      </c>
      <c r="F135" s="62" t="s">
        <v>139</v>
      </c>
    </row>
    <row r="136" spans="1:6" ht="16.5" thickBot="1" x14ac:dyDescent="0.9">
      <c r="A136" s="63" t="s">
        <v>447</v>
      </c>
      <c r="B136" s="67" t="s">
        <v>299</v>
      </c>
      <c r="C136" s="62" t="s">
        <v>448</v>
      </c>
      <c r="D136" s="65"/>
      <c r="E136" s="62" t="s">
        <v>142</v>
      </c>
      <c r="F136" s="62" t="s">
        <v>139</v>
      </c>
    </row>
    <row r="137" spans="1:6" ht="48" thickBot="1" x14ac:dyDescent="0.9">
      <c r="A137" s="63" t="s">
        <v>449</v>
      </c>
      <c r="B137" s="67" t="s">
        <v>450</v>
      </c>
      <c r="C137" s="62" t="s">
        <v>451</v>
      </c>
      <c r="D137" s="65"/>
      <c r="E137" s="62" t="s">
        <v>131</v>
      </c>
      <c r="F137" s="62" t="s">
        <v>139</v>
      </c>
    </row>
    <row r="138" spans="1:6" ht="15.75" x14ac:dyDescent="0.75">
      <c r="A138" s="160" t="s">
        <v>452</v>
      </c>
      <c r="B138" s="209" t="s">
        <v>453</v>
      </c>
      <c r="C138" s="181" t="s">
        <v>454</v>
      </c>
      <c r="D138" s="182"/>
      <c r="E138" s="171" t="s">
        <v>131</v>
      </c>
      <c r="F138" s="171" t="s">
        <v>139</v>
      </c>
    </row>
    <row r="139" spans="1:6" ht="16.5" thickBot="1" x14ac:dyDescent="0.9">
      <c r="A139" s="162"/>
      <c r="B139" s="210"/>
      <c r="C139" s="192" t="s">
        <v>455</v>
      </c>
      <c r="D139" s="193"/>
      <c r="E139" s="172"/>
      <c r="F139" s="172"/>
    </row>
    <row r="140" spans="1:6" ht="16.5" thickBot="1" x14ac:dyDescent="0.9">
      <c r="A140" s="63" t="s">
        <v>456</v>
      </c>
      <c r="B140" s="62" t="s">
        <v>457</v>
      </c>
      <c r="C140" s="62" t="s">
        <v>458</v>
      </c>
      <c r="D140" s="65"/>
      <c r="E140" s="62" t="s">
        <v>142</v>
      </c>
      <c r="F140" s="62" t="s">
        <v>23</v>
      </c>
    </row>
    <row r="141" spans="1:6" ht="15.75" x14ac:dyDescent="0.75">
      <c r="A141" s="171" t="s">
        <v>459</v>
      </c>
      <c r="B141" s="157" t="s">
        <v>460</v>
      </c>
      <c r="C141" s="171" t="s">
        <v>461</v>
      </c>
      <c r="D141" s="72" t="s">
        <v>326</v>
      </c>
      <c r="E141" s="171" t="s">
        <v>110</v>
      </c>
      <c r="F141" s="171" t="s">
        <v>111</v>
      </c>
    </row>
    <row r="142" spans="1:6" ht="31.5" x14ac:dyDescent="0.75">
      <c r="A142" s="175"/>
      <c r="B142" s="158"/>
      <c r="C142" s="175"/>
      <c r="D142" s="72" t="s">
        <v>462</v>
      </c>
      <c r="E142" s="175"/>
      <c r="F142" s="175"/>
    </row>
    <row r="143" spans="1:6" ht="111" thickBot="1" x14ac:dyDescent="0.9">
      <c r="A143" s="172"/>
      <c r="B143" s="159"/>
      <c r="C143" s="172"/>
      <c r="D143" s="62" t="s">
        <v>463</v>
      </c>
      <c r="E143" s="172"/>
      <c r="F143" s="172"/>
    </row>
    <row r="144" spans="1:6" ht="15.75" x14ac:dyDescent="0.75">
      <c r="A144" s="171" t="s">
        <v>464</v>
      </c>
      <c r="B144" s="157" t="s">
        <v>465</v>
      </c>
      <c r="C144" s="171" t="s">
        <v>466</v>
      </c>
      <c r="D144" s="72" t="s">
        <v>326</v>
      </c>
      <c r="E144" s="171" t="s">
        <v>110</v>
      </c>
      <c r="F144" s="171" t="s">
        <v>111</v>
      </c>
    </row>
    <row r="145" spans="1:6" ht="16.5" thickBot="1" x14ac:dyDescent="0.9">
      <c r="A145" s="172"/>
      <c r="B145" s="159"/>
      <c r="C145" s="172"/>
      <c r="D145" s="62" t="s">
        <v>467</v>
      </c>
      <c r="E145" s="172"/>
      <c r="F145" s="172"/>
    </row>
    <row r="146" spans="1:6" ht="48" thickBot="1" x14ac:dyDescent="0.9">
      <c r="A146" s="63" t="s">
        <v>468</v>
      </c>
      <c r="B146" s="67" t="s">
        <v>450</v>
      </c>
      <c r="C146" s="62" t="s">
        <v>469</v>
      </c>
      <c r="D146" s="65"/>
      <c r="E146" s="62" t="s">
        <v>131</v>
      </c>
      <c r="F146" s="62" t="s">
        <v>139</v>
      </c>
    </row>
    <row r="147" spans="1:6" ht="15.75" x14ac:dyDescent="0.75">
      <c r="A147" s="160" t="s">
        <v>470</v>
      </c>
      <c r="B147" s="160" t="s">
        <v>471</v>
      </c>
      <c r="C147" s="181" t="s">
        <v>472</v>
      </c>
      <c r="D147" s="182"/>
      <c r="E147" s="171" t="s">
        <v>131</v>
      </c>
      <c r="F147" s="171" t="s">
        <v>139</v>
      </c>
    </row>
    <row r="148" spans="1:6" ht="15.75" x14ac:dyDescent="0.75">
      <c r="A148" s="161"/>
      <c r="B148" s="161"/>
      <c r="C148" s="190" t="s">
        <v>473</v>
      </c>
      <c r="D148" s="191"/>
      <c r="E148" s="175"/>
      <c r="F148" s="175"/>
    </row>
    <row r="149" spans="1:6" ht="16.5" thickBot="1" x14ac:dyDescent="0.9">
      <c r="A149" s="162"/>
      <c r="B149" s="162"/>
      <c r="C149" s="192" t="s">
        <v>474</v>
      </c>
      <c r="D149" s="193"/>
      <c r="E149" s="172"/>
      <c r="F149" s="172"/>
    </row>
    <row r="150" spans="1:6" ht="29.5" x14ac:dyDescent="0.75">
      <c r="A150" s="171" t="s">
        <v>475</v>
      </c>
      <c r="B150" s="157" t="s">
        <v>457</v>
      </c>
      <c r="C150" s="171" t="s">
        <v>458</v>
      </c>
      <c r="D150" s="97" t="s">
        <v>476</v>
      </c>
      <c r="E150" s="171" t="s">
        <v>110</v>
      </c>
      <c r="F150" s="171" t="s">
        <v>111</v>
      </c>
    </row>
    <row r="151" spans="1:6" ht="15.5" thickBot="1" x14ac:dyDescent="0.9">
      <c r="A151" s="172"/>
      <c r="B151" s="159"/>
      <c r="C151" s="172"/>
      <c r="D151" s="66" t="s">
        <v>477</v>
      </c>
      <c r="E151" s="172"/>
      <c r="F151" s="172"/>
    </row>
    <row r="152" spans="1:6" ht="15.75" x14ac:dyDescent="0.75">
      <c r="A152" s="171" t="s">
        <v>478</v>
      </c>
      <c r="B152" s="157" t="s">
        <v>460</v>
      </c>
      <c r="C152" s="171" t="s">
        <v>461</v>
      </c>
      <c r="D152" s="72" t="s">
        <v>326</v>
      </c>
      <c r="E152" s="171" t="s">
        <v>110</v>
      </c>
      <c r="F152" s="171" t="s">
        <v>111</v>
      </c>
    </row>
    <row r="153" spans="1:6" ht="142.5" thickBot="1" x14ac:dyDescent="0.9">
      <c r="A153" s="172"/>
      <c r="B153" s="159"/>
      <c r="C153" s="172"/>
      <c r="D153" s="62" t="s">
        <v>479</v>
      </c>
      <c r="E153" s="172"/>
      <c r="F153" s="172"/>
    </row>
    <row r="154" spans="1:6" x14ac:dyDescent="0.75">
      <c r="A154" s="171" t="s">
        <v>480</v>
      </c>
      <c r="B154" s="157" t="s">
        <v>465</v>
      </c>
      <c r="C154" s="171" t="s">
        <v>466</v>
      </c>
      <c r="D154" s="78"/>
      <c r="E154" s="171" t="s">
        <v>110</v>
      </c>
      <c r="F154" s="171" t="s">
        <v>23</v>
      </c>
    </row>
    <row r="155" spans="1:6" ht="16.5" thickBot="1" x14ac:dyDescent="0.9">
      <c r="A155" s="172"/>
      <c r="B155" s="159"/>
      <c r="C155" s="172"/>
      <c r="D155" s="62" t="s">
        <v>481</v>
      </c>
      <c r="E155" s="172"/>
      <c r="F155" s="172"/>
    </row>
    <row r="156" spans="1:6" ht="48" thickBot="1" x14ac:dyDescent="0.9">
      <c r="A156" s="63" t="s">
        <v>482</v>
      </c>
      <c r="B156" s="67" t="s">
        <v>450</v>
      </c>
      <c r="C156" s="62" t="s">
        <v>469</v>
      </c>
      <c r="D156" s="65"/>
      <c r="E156" s="62" t="s">
        <v>131</v>
      </c>
      <c r="F156" s="62" t="s">
        <v>23</v>
      </c>
    </row>
    <row r="157" spans="1:6" ht="95.25" thickBot="1" x14ac:dyDescent="0.9">
      <c r="A157" s="57" t="s">
        <v>483</v>
      </c>
      <c r="B157" s="61" t="s">
        <v>484</v>
      </c>
      <c r="C157" s="62" t="s">
        <v>485</v>
      </c>
      <c r="D157" s="65"/>
      <c r="E157" s="62" t="s">
        <v>142</v>
      </c>
      <c r="F157" s="62" t="s">
        <v>139</v>
      </c>
    </row>
    <row r="158" spans="1:6" ht="16.5" thickBot="1" x14ac:dyDescent="0.9">
      <c r="A158" s="63" t="s">
        <v>486</v>
      </c>
      <c r="B158" s="67" t="s">
        <v>487</v>
      </c>
      <c r="C158" s="62" t="s">
        <v>488</v>
      </c>
      <c r="D158" s="65"/>
      <c r="E158" s="62" t="s">
        <v>110</v>
      </c>
      <c r="F158" s="62" t="s">
        <v>23</v>
      </c>
    </row>
    <row r="159" spans="1:6" ht="48" thickBot="1" x14ac:dyDescent="0.9">
      <c r="A159" s="63" t="s">
        <v>489</v>
      </c>
      <c r="B159" s="67" t="s">
        <v>450</v>
      </c>
      <c r="C159" s="62" t="s">
        <v>469</v>
      </c>
      <c r="D159" s="65"/>
      <c r="E159" s="62" t="s">
        <v>131</v>
      </c>
      <c r="F159" s="62" t="s">
        <v>139</v>
      </c>
    </row>
    <row r="160" spans="1:6" ht="15.5" x14ac:dyDescent="0.75">
      <c r="A160" s="160" t="s">
        <v>490</v>
      </c>
      <c r="B160" s="187" t="s">
        <v>491</v>
      </c>
      <c r="C160" s="188"/>
      <c r="D160" s="189"/>
      <c r="E160" s="171" t="s">
        <v>142</v>
      </c>
      <c r="F160" s="171" t="s">
        <v>139</v>
      </c>
    </row>
    <row r="161" spans="1:6" ht="15.75" x14ac:dyDescent="0.75">
      <c r="A161" s="161"/>
      <c r="B161" s="190" t="s">
        <v>492</v>
      </c>
      <c r="C161" s="206"/>
      <c r="D161" s="191"/>
      <c r="E161" s="175"/>
      <c r="F161" s="175"/>
    </row>
    <row r="162" spans="1:6" x14ac:dyDescent="0.75">
      <c r="A162" s="161"/>
      <c r="B162" s="183"/>
      <c r="C162" s="207"/>
      <c r="D162" s="184"/>
      <c r="E162" s="175"/>
      <c r="F162" s="175"/>
    </row>
    <row r="163" spans="1:6" ht="15.5" thickBot="1" x14ac:dyDescent="0.9">
      <c r="A163" s="162"/>
      <c r="B163" s="185" t="s">
        <v>493</v>
      </c>
      <c r="C163" s="208"/>
      <c r="D163" s="186"/>
      <c r="E163" s="172"/>
      <c r="F163" s="172"/>
    </row>
    <row r="164" spans="1:6" ht="16.5" thickBot="1" x14ac:dyDescent="0.9">
      <c r="A164" s="63" t="s">
        <v>494</v>
      </c>
      <c r="B164" s="62" t="s">
        <v>299</v>
      </c>
      <c r="C164" s="62" t="s">
        <v>448</v>
      </c>
      <c r="D164" s="65"/>
      <c r="E164" s="62" t="s">
        <v>110</v>
      </c>
      <c r="F164" s="62" t="s">
        <v>139</v>
      </c>
    </row>
    <row r="165" spans="1:6" ht="48" thickBot="1" x14ac:dyDescent="0.9">
      <c r="A165" s="63" t="s">
        <v>495</v>
      </c>
      <c r="B165" s="67" t="s">
        <v>450</v>
      </c>
      <c r="C165" s="62" t="s">
        <v>451</v>
      </c>
      <c r="D165" s="65"/>
      <c r="E165" s="62" t="s">
        <v>131</v>
      </c>
      <c r="F165" s="62" t="s">
        <v>139</v>
      </c>
    </row>
    <row r="166" spans="1:6" ht="48" thickBot="1" x14ac:dyDescent="0.9">
      <c r="A166" s="63" t="s">
        <v>496</v>
      </c>
      <c r="B166" s="67" t="s">
        <v>3</v>
      </c>
      <c r="C166" s="62" t="s">
        <v>497</v>
      </c>
      <c r="D166" s="65"/>
      <c r="E166" s="62" t="s">
        <v>142</v>
      </c>
      <c r="F166" s="62" t="s">
        <v>139</v>
      </c>
    </row>
    <row r="167" spans="1:6" ht="48" thickBot="1" x14ac:dyDescent="0.9">
      <c r="A167" s="63" t="s">
        <v>498</v>
      </c>
      <c r="B167" s="67" t="s">
        <v>499</v>
      </c>
      <c r="C167" s="62" t="s">
        <v>500</v>
      </c>
      <c r="D167" s="65"/>
      <c r="E167" s="62" t="s">
        <v>131</v>
      </c>
      <c r="F167" s="62" t="s">
        <v>139</v>
      </c>
    </row>
    <row r="168" spans="1:6" ht="30.25" thickBot="1" x14ac:dyDescent="0.9">
      <c r="A168" s="63" t="s">
        <v>475</v>
      </c>
      <c r="B168" s="67" t="s">
        <v>501</v>
      </c>
      <c r="C168" s="62" t="s">
        <v>502</v>
      </c>
      <c r="D168" s="66" t="s">
        <v>503</v>
      </c>
      <c r="E168" s="62" t="s">
        <v>110</v>
      </c>
      <c r="F168" s="62" t="s">
        <v>111</v>
      </c>
    </row>
    <row r="169" spans="1:6" ht="16.5" thickBot="1" x14ac:dyDescent="0.9">
      <c r="A169" s="63" t="s">
        <v>478</v>
      </c>
      <c r="B169" s="67" t="s">
        <v>504</v>
      </c>
      <c r="C169" s="62" t="s">
        <v>505</v>
      </c>
      <c r="D169" s="65"/>
      <c r="E169" s="62" t="s">
        <v>142</v>
      </c>
      <c r="F169" s="62" t="s">
        <v>23</v>
      </c>
    </row>
    <row r="170" spans="1:6" ht="16.5" thickBot="1" x14ac:dyDescent="0.9">
      <c r="A170" s="63" t="s">
        <v>480</v>
      </c>
      <c r="B170" s="67" t="s">
        <v>506</v>
      </c>
      <c r="C170" s="62" t="s">
        <v>507</v>
      </c>
      <c r="D170" s="65"/>
      <c r="E170" s="62" t="s">
        <v>142</v>
      </c>
      <c r="F170" s="62" t="s">
        <v>139</v>
      </c>
    </row>
    <row r="171" spans="1:6" ht="48" thickBot="1" x14ac:dyDescent="0.9">
      <c r="A171" s="63" t="s">
        <v>482</v>
      </c>
      <c r="B171" s="67" t="s">
        <v>508</v>
      </c>
      <c r="C171" s="62" t="s">
        <v>461</v>
      </c>
      <c r="D171" s="62" t="s">
        <v>509</v>
      </c>
      <c r="E171" s="62" t="s">
        <v>110</v>
      </c>
      <c r="F171" s="62" t="s">
        <v>23</v>
      </c>
    </row>
    <row r="172" spans="1:6" ht="79.5" thickBot="1" x14ac:dyDescent="0.9">
      <c r="A172" s="63" t="s">
        <v>510</v>
      </c>
      <c r="B172" s="67" t="s">
        <v>465</v>
      </c>
      <c r="C172" s="62" t="s">
        <v>466</v>
      </c>
      <c r="D172" s="62" t="s">
        <v>509</v>
      </c>
      <c r="E172" s="62" t="s">
        <v>110</v>
      </c>
      <c r="F172" s="62" t="s">
        <v>23</v>
      </c>
    </row>
    <row r="173" spans="1:6" ht="16.5" thickBot="1" x14ac:dyDescent="0.9">
      <c r="A173" s="57" t="s">
        <v>511</v>
      </c>
      <c r="B173" s="194" t="s">
        <v>512</v>
      </c>
      <c r="C173" s="195"/>
      <c r="D173" s="196"/>
      <c r="E173" s="62" t="s">
        <v>142</v>
      </c>
      <c r="F173" s="62" t="s">
        <v>139</v>
      </c>
    </row>
    <row r="174" spans="1:6" ht="16.5" thickBot="1" x14ac:dyDescent="0.9">
      <c r="A174" s="57" t="s">
        <v>513</v>
      </c>
      <c r="B174" s="194" t="s">
        <v>514</v>
      </c>
      <c r="C174" s="195"/>
      <c r="D174" s="196"/>
      <c r="E174" s="62" t="s">
        <v>110</v>
      </c>
      <c r="F174" s="62" t="s">
        <v>23</v>
      </c>
    </row>
    <row r="175" spans="1:6" ht="16.5" thickBot="1" x14ac:dyDescent="0.9">
      <c r="A175" s="86" t="s">
        <v>515</v>
      </c>
      <c r="B175" s="103" t="s">
        <v>516</v>
      </c>
      <c r="C175" s="203" t="s">
        <v>517</v>
      </c>
      <c r="D175" s="204"/>
      <c r="E175" s="62" t="s">
        <v>117</v>
      </c>
      <c r="F175" s="62" t="s">
        <v>23</v>
      </c>
    </row>
    <row r="176" spans="1:6" ht="16.5" thickBot="1" x14ac:dyDescent="0.9">
      <c r="A176" s="63" t="s">
        <v>518</v>
      </c>
      <c r="B176" s="85" t="s">
        <v>519</v>
      </c>
      <c r="C176" s="179" t="s">
        <v>520</v>
      </c>
      <c r="D176" s="180"/>
      <c r="E176" s="62" t="s">
        <v>110</v>
      </c>
      <c r="F176" s="62" t="s">
        <v>111</v>
      </c>
    </row>
    <row r="177" spans="1:6" ht="15.75" x14ac:dyDescent="0.75">
      <c r="A177" s="171" t="s">
        <v>521</v>
      </c>
      <c r="B177" s="163" t="s">
        <v>27</v>
      </c>
      <c r="C177" s="171" t="s">
        <v>522</v>
      </c>
      <c r="D177" s="72" t="s">
        <v>309</v>
      </c>
      <c r="E177" s="171" t="s">
        <v>131</v>
      </c>
      <c r="F177" s="171" t="s">
        <v>139</v>
      </c>
    </row>
    <row r="178" spans="1:6" ht="15.75" x14ac:dyDescent="0.75">
      <c r="A178" s="175"/>
      <c r="B178" s="205"/>
      <c r="C178" s="175"/>
      <c r="D178" s="72" t="s">
        <v>364</v>
      </c>
      <c r="E178" s="175"/>
      <c r="F178" s="175"/>
    </row>
    <row r="179" spans="1:6" ht="15.75" x14ac:dyDescent="0.75">
      <c r="A179" s="175"/>
      <c r="B179" s="205"/>
      <c r="C179" s="175"/>
      <c r="D179" s="72" t="s">
        <v>523</v>
      </c>
      <c r="E179" s="175"/>
      <c r="F179" s="175"/>
    </row>
    <row r="180" spans="1:6" ht="16.5" thickBot="1" x14ac:dyDescent="0.9">
      <c r="A180" s="172"/>
      <c r="B180" s="164"/>
      <c r="C180" s="172"/>
      <c r="D180" s="62" t="s">
        <v>524</v>
      </c>
      <c r="E180" s="172"/>
      <c r="F180" s="172"/>
    </row>
    <row r="181" spans="1:6" ht="16.5" thickBot="1" x14ac:dyDescent="0.9">
      <c r="A181" s="63" t="s">
        <v>525</v>
      </c>
      <c r="B181" s="64" t="s">
        <v>339</v>
      </c>
      <c r="C181" s="62" t="s">
        <v>526</v>
      </c>
      <c r="D181" s="65"/>
      <c r="E181" s="62" t="s">
        <v>110</v>
      </c>
      <c r="F181" s="62" t="s">
        <v>23</v>
      </c>
    </row>
    <row r="182" spans="1:6" ht="32.25" thickBot="1" x14ac:dyDescent="0.9">
      <c r="A182" s="63" t="s">
        <v>527</v>
      </c>
      <c r="B182" s="67" t="s">
        <v>528</v>
      </c>
      <c r="C182" s="62" t="s">
        <v>529</v>
      </c>
      <c r="D182" s="65"/>
      <c r="E182" s="62" t="s">
        <v>142</v>
      </c>
      <c r="F182" s="62" t="s">
        <v>23</v>
      </c>
    </row>
    <row r="183" spans="1:6" ht="16.5" thickBot="1" x14ac:dyDescent="0.9">
      <c r="A183" s="63" t="s">
        <v>530</v>
      </c>
      <c r="B183" s="67" t="s">
        <v>531</v>
      </c>
      <c r="C183" s="62" t="s">
        <v>532</v>
      </c>
      <c r="D183" s="66" t="s">
        <v>533</v>
      </c>
      <c r="E183" s="62" t="s">
        <v>142</v>
      </c>
      <c r="F183" s="62" t="s">
        <v>139</v>
      </c>
    </row>
    <row r="184" spans="1:6" ht="111" thickBot="1" x14ac:dyDescent="0.9">
      <c r="A184" s="63" t="s">
        <v>534</v>
      </c>
      <c r="B184" s="67" t="s">
        <v>535</v>
      </c>
      <c r="C184" s="62" t="s">
        <v>536</v>
      </c>
      <c r="D184" s="65"/>
      <c r="E184" s="62" t="s">
        <v>142</v>
      </c>
      <c r="F184" s="62" t="s">
        <v>139</v>
      </c>
    </row>
    <row r="185" spans="1:6" ht="32.25" thickBot="1" x14ac:dyDescent="0.9">
      <c r="A185" s="63" t="s">
        <v>537</v>
      </c>
      <c r="B185" s="85" t="s">
        <v>538</v>
      </c>
      <c r="C185" s="62" t="s">
        <v>539</v>
      </c>
      <c r="D185" s="76"/>
      <c r="E185" s="62" t="s">
        <v>142</v>
      </c>
      <c r="F185" s="62" t="s">
        <v>139</v>
      </c>
    </row>
    <row r="186" spans="1:6" ht="32.25" thickBot="1" x14ac:dyDescent="0.9">
      <c r="A186" s="63" t="s">
        <v>540</v>
      </c>
      <c r="B186" s="67" t="s">
        <v>541</v>
      </c>
      <c r="C186" s="62" t="s">
        <v>542</v>
      </c>
      <c r="D186" s="62" t="s">
        <v>29</v>
      </c>
      <c r="E186" s="62" t="s">
        <v>131</v>
      </c>
      <c r="F186" s="62" t="s">
        <v>139</v>
      </c>
    </row>
    <row r="187" spans="1:6" ht="16.5" thickBot="1" x14ac:dyDescent="0.9">
      <c r="A187" s="86" t="s">
        <v>543</v>
      </c>
      <c r="B187" s="109" t="s">
        <v>544</v>
      </c>
      <c r="C187" s="62" t="s">
        <v>544</v>
      </c>
      <c r="D187" s="65"/>
      <c r="E187" s="62" t="s">
        <v>117</v>
      </c>
      <c r="F187" s="62" t="s">
        <v>23</v>
      </c>
    </row>
    <row r="188" spans="1:6" ht="15.75" x14ac:dyDescent="0.75">
      <c r="A188" s="171" t="s">
        <v>545</v>
      </c>
      <c r="B188" s="165" t="s">
        <v>546</v>
      </c>
      <c r="C188" s="171" t="s">
        <v>547</v>
      </c>
      <c r="D188" s="72" t="s">
        <v>326</v>
      </c>
      <c r="E188" s="171" t="s">
        <v>110</v>
      </c>
      <c r="F188" s="171" t="s">
        <v>111</v>
      </c>
    </row>
    <row r="189" spans="1:6" ht="31.5" x14ac:dyDescent="0.75">
      <c r="A189" s="175"/>
      <c r="B189" s="166"/>
      <c r="C189" s="175"/>
      <c r="D189" s="72" t="s">
        <v>548</v>
      </c>
      <c r="E189" s="175"/>
      <c r="F189" s="175"/>
    </row>
    <row r="190" spans="1:6" ht="15.75" x14ac:dyDescent="0.75">
      <c r="A190" s="175"/>
      <c r="B190" s="166"/>
      <c r="C190" s="175"/>
      <c r="D190" s="72" t="s">
        <v>549</v>
      </c>
      <c r="E190" s="175"/>
      <c r="F190" s="175"/>
    </row>
    <row r="191" spans="1:6" ht="16.5" thickBot="1" x14ac:dyDescent="0.9">
      <c r="A191" s="172"/>
      <c r="B191" s="167"/>
      <c r="C191" s="172"/>
      <c r="D191" s="62" t="s">
        <v>550</v>
      </c>
      <c r="E191" s="172"/>
      <c r="F191" s="172"/>
    </row>
    <row r="192" spans="1:6" ht="32.25" thickBot="1" x14ac:dyDescent="0.9">
      <c r="A192" s="63" t="s">
        <v>551</v>
      </c>
      <c r="B192" s="85" t="s">
        <v>552</v>
      </c>
      <c r="C192" s="62" t="s">
        <v>553</v>
      </c>
      <c r="D192" s="65"/>
      <c r="E192" s="62" t="s">
        <v>142</v>
      </c>
      <c r="F192" s="62" t="s">
        <v>139</v>
      </c>
    </row>
    <row r="193" spans="1:6" ht="16.5" thickBot="1" x14ac:dyDescent="0.9">
      <c r="A193" s="63" t="s">
        <v>554</v>
      </c>
      <c r="B193" s="85" t="s">
        <v>555</v>
      </c>
      <c r="C193" s="62" t="s">
        <v>556</v>
      </c>
      <c r="D193" s="65"/>
      <c r="E193" s="62" t="s">
        <v>110</v>
      </c>
      <c r="F193" s="62" t="s">
        <v>23</v>
      </c>
    </row>
    <row r="194" spans="1:6" ht="48" thickBot="1" x14ac:dyDescent="0.9">
      <c r="A194" s="63" t="s">
        <v>557</v>
      </c>
      <c r="B194" s="67" t="s">
        <v>343</v>
      </c>
      <c r="C194" s="62" t="s">
        <v>558</v>
      </c>
      <c r="D194" s="65"/>
      <c r="E194" s="62" t="s">
        <v>142</v>
      </c>
      <c r="F194" s="62" t="s">
        <v>23</v>
      </c>
    </row>
    <row r="195" spans="1:6" ht="15.75" x14ac:dyDescent="0.75">
      <c r="A195" s="171" t="s">
        <v>559</v>
      </c>
      <c r="B195" s="157" t="s">
        <v>560</v>
      </c>
      <c r="C195" s="171" t="s">
        <v>561</v>
      </c>
      <c r="D195" s="72" t="s">
        <v>562</v>
      </c>
      <c r="E195" s="171" t="s">
        <v>142</v>
      </c>
      <c r="F195" s="171" t="s">
        <v>139</v>
      </c>
    </row>
    <row r="196" spans="1:6" ht="15.75" x14ac:dyDescent="0.75">
      <c r="A196" s="175"/>
      <c r="B196" s="158"/>
      <c r="C196" s="175"/>
      <c r="D196" s="72" t="s">
        <v>326</v>
      </c>
      <c r="E196" s="175"/>
      <c r="F196" s="175"/>
    </row>
    <row r="197" spans="1:6" ht="16.5" thickBot="1" x14ac:dyDescent="0.9">
      <c r="A197" s="172"/>
      <c r="B197" s="159"/>
      <c r="C197" s="172"/>
      <c r="D197" s="62" t="s">
        <v>364</v>
      </c>
      <c r="E197" s="172"/>
      <c r="F197" s="172"/>
    </row>
    <row r="198" spans="1:6" ht="31.5" x14ac:dyDescent="0.75">
      <c r="A198" s="201" t="s">
        <v>563</v>
      </c>
      <c r="B198" s="201" t="s">
        <v>564</v>
      </c>
      <c r="C198" s="72" t="s">
        <v>565</v>
      </c>
      <c r="D198" s="173"/>
      <c r="E198" s="171" t="s">
        <v>131</v>
      </c>
      <c r="F198" s="171" t="s">
        <v>23</v>
      </c>
    </row>
    <row r="199" spans="1:6" ht="48" thickBot="1" x14ac:dyDescent="0.9">
      <c r="A199" s="202"/>
      <c r="B199" s="202"/>
      <c r="C199" s="62" t="s">
        <v>566</v>
      </c>
      <c r="D199" s="174"/>
      <c r="E199" s="172"/>
      <c r="F199" s="172"/>
    </row>
    <row r="200" spans="1:6" ht="15.75" x14ac:dyDescent="0.75">
      <c r="A200" s="171" t="s">
        <v>567</v>
      </c>
      <c r="B200" s="157" t="s">
        <v>568</v>
      </c>
      <c r="C200" s="171" t="s">
        <v>568</v>
      </c>
      <c r="D200" s="72" t="s">
        <v>326</v>
      </c>
      <c r="E200" s="171" t="s">
        <v>142</v>
      </c>
      <c r="F200" s="171" t="s">
        <v>139</v>
      </c>
    </row>
    <row r="201" spans="1:6" ht="16.5" thickBot="1" x14ac:dyDescent="0.9">
      <c r="A201" s="172"/>
      <c r="B201" s="159"/>
      <c r="C201" s="172"/>
      <c r="D201" s="62" t="s">
        <v>569</v>
      </c>
      <c r="E201" s="172"/>
      <c r="F201" s="172"/>
    </row>
    <row r="202" spans="1:6" ht="16.5" thickBot="1" x14ac:dyDescent="0.9">
      <c r="A202" s="63" t="s">
        <v>570</v>
      </c>
      <c r="B202" s="64" t="s">
        <v>571</v>
      </c>
      <c r="C202" s="62" t="s">
        <v>572</v>
      </c>
      <c r="D202" s="65"/>
      <c r="E202" s="62" t="s">
        <v>110</v>
      </c>
      <c r="F202" s="62" t="s">
        <v>111</v>
      </c>
    </row>
    <row r="203" spans="1:6" ht="15.75" x14ac:dyDescent="0.75">
      <c r="A203" s="171" t="s">
        <v>573</v>
      </c>
      <c r="B203" s="157" t="s">
        <v>574</v>
      </c>
      <c r="C203" s="171" t="s">
        <v>575</v>
      </c>
      <c r="D203" s="72" t="s">
        <v>326</v>
      </c>
      <c r="E203" s="171" t="s">
        <v>142</v>
      </c>
      <c r="F203" s="171" t="s">
        <v>139</v>
      </c>
    </row>
    <row r="204" spans="1:6" ht="32.25" thickBot="1" x14ac:dyDescent="0.9">
      <c r="A204" s="172"/>
      <c r="B204" s="159"/>
      <c r="C204" s="172"/>
      <c r="D204" s="62" t="s">
        <v>576</v>
      </c>
      <c r="E204" s="172"/>
      <c r="F204" s="172"/>
    </row>
    <row r="205" spans="1:6" ht="16.5" thickBot="1" x14ac:dyDescent="0.9">
      <c r="A205" s="63" t="s">
        <v>577</v>
      </c>
      <c r="B205" s="67" t="s">
        <v>578</v>
      </c>
      <c r="C205" s="62" t="s">
        <v>579</v>
      </c>
      <c r="D205" s="65"/>
      <c r="E205" s="62" t="s">
        <v>142</v>
      </c>
      <c r="F205" s="62" t="s">
        <v>23</v>
      </c>
    </row>
    <row r="206" spans="1:6" ht="15.75" x14ac:dyDescent="0.75">
      <c r="A206" s="171" t="s">
        <v>580</v>
      </c>
      <c r="B206" s="157" t="s">
        <v>581</v>
      </c>
      <c r="C206" s="171" t="s">
        <v>582</v>
      </c>
      <c r="D206" s="72" t="s">
        <v>309</v>
      </c>
      <c r="E206" s="171" t="s">
        <v>142</v>
      </c>
      <c r="F206" s="171" t="s">
        <v>23</v>
      </c>
    </row>
    <row r="207" spans="1:6" ht="15.75" x14ac:dyDescent="0.75">
      <c r="A207" s="175"/>
      <c r="B207" s="158"/>
      <c r="C207" s="175"/>
      <c r="D207" s="72" t="s">
        <v>326</v>
      </c>
      <c r="E207" s="175"/>
      <c r="F207" s="175"/>
    </row>
    <row r="208" spans="1:6" ht="16.5" thickBot="1" x14ac:dyDescent="0.9">
      <c r="A208" s="172"/>
      <c r="B208" s="159"/>
      <c r="C208" s="172"/>
      <c r="D208" s="62" t="s">
        <v>364</v>
      </c>
      <c r="E208" s="172"/>
      <c r="F208" s="172"/>
    </row>
    <row r="209" spans="1:6" ht="15.75" x14ac:dyDescent="0.75">
      <c r="A209" s="171" t="s">
        <v>583</v>
      </c>
      <c r="B209" s="157" t="s">
        <v>584</v>
      </c>
      <c r="C209" s="171" t="s">
        <v>585</v>
      </c>
      <c r="D209" s="72" t="s">
        <v>326</v>
      </c>
      <c r="E209" s="171" t="s">
        <v>142</v>
      </c>
      <c r="F209" s="171" t="s">
        <v>139</v>
      </c>
    </row>
    <row r="210" spans="1:6" ht="15.75" x14ac:dyDescent="0.75">
      <c r="A210" s="175"/>
      <c r="B210" s="158"/>
      <c r="C210" s="175"/>
      <c r="D210" s="72" t="s">
        <v>586</v>
      </c>
      <c r="E210" s="175"/>
      <c r="F210" s="175"/>
    </row>
    <row r="211" spans="1:6" ht="15.75" x14ac:dyDescent="0.75">
      <c r="A211" s="175"/>
      <c r="B211" s="158"/>
      <c r="C211" s="175"/>
      <c r="D211" s="72" t="s">
        <v>587</v>
      </c>
      <c r="E211" s="175"/>
      <c r="F211" s="175"/>
    </row>
    <row r="212" spans="1:6" ht="16.5" thickBot="1" x14ac:dyDescent="0.9">
      <c r="A212" s="172"/>
      <c r="B212" s="159"/>
      <c r="C212" s="172"/>
      <c r="D212" s="62" t="s">
        <v>588</v>
      </c>
      <c r="E212" s="172"/>
      <c r="F212" s="172"/>
    </row>
    <row r="213" spans="1:6" ht="48" thickBot="1" x14ac:dyDescent="0.9">
      <c r="A213" s="63" t="s">
        <v>589</v>
      </c>
      <c r="B213" s="67" t="s">
        <v>590</v>
      </c>
      <c r="C213" s="62" t="s">
        <v>591</v>
      </c>
      <c r="D213" s="65"/>
      <c r="E213" s="62" t="s">
        <v>131</v>
      </c>
      <c r="F213" s="62" t="s">
        <v>139</v>
      </c>
    </row>
    <row r="214" spans="1:6" ht="16.5" thickBot="1" x14ac:dyDescent="0.9">
      <c r="A214" s="86" t="s">
        <v>592</v>
      </c>
      <c r="B214" s="109" t="s">
        <v>593</v>
      </c>
      <c r="C214" s="62" t="s">
        <v>594</v>
      </c>
      <c r="D214" s="65"/>
      <c r="E214" s="62" t="s">
        <v>131</v>
      </c>
      <c r="F214" s="62" t="s">
        <v>23</v>
      </c>
    </row>
    <row r="215" spans="1:6" ht="15.75" x14ac:dyDescent="0.75">
      <c r="A215" s="171" t="s">
        <v>595</v>
      </c>
      <c r="B215" s="199" t="s">
        <v>596</v>
      </c>
      <c r="C215" s="171" t="s">
        <v>597</v>
      </c>
      <c r="D215" s="112" t="s">
        <v>309</v>
      </c>
      <c r="E215" s="171" t="s">
        <v>131</v>
      </c>
      <c r="F215" s="171" t="s">
        <v>139</v>
      </c>
    </row>
    <row r="216" spans="1:6" ht="16.5" thickBot="1" x14ac:dyDescent="0.9">
      <c r="A216" s="172"/>
      <c r="B216" s="200"/>
      <c r="C216" s="172"/>
      <c r="D216" s="82" t="s">
        <v>326</v>
      </c>
      <c r="E216" s="172"/>
      <c r="F216" s="172"/>
    </row>
    <row r="217" spans="1:6" ht="15.75" x14ac:dyDescent="0.75">
      <c r="A217" s="171" t="s">
        <v>598</v>
      </c>
      <c r="B217" s="199" t="s">
        <v>599</v>
      </c>
      <c r="C217" s="171" t="s">
        <v>600</v>
      </c>
      <c r="D217" s="72" t="s">
        <v>326</v>
      </c>
      <c r="E217" s="171" t="s">
        <v>110</v>
      </c>
      <c r="F217" s="171" t="s">
        <v>23</v>
      </c>
    </row>
    <row r="218" spans="1:6" ht="16.5" thickBot="1" x14ac:dyDescent="0.9">
      <c r="A218" s="172"/>
      <c r="B218" s="200"/>
      <c r="C218" s="172"/>
      <c r="D218" s="64" t="s">
        <v>601</v>
      </c>
      <c r="E218" s="172"/>
      <c r="F218" s="172"/>
    </row>
    <row r="219" spans="1:6" ht="16.5" thickBot="1" x14ac:dyDescent="0.9">
      <c r="A219" s="63" t="s">
        <v>602</v>
      </c>
      <c r="B219" s="82" t="s">
        <v>603</v>
      </c>
      <c r="C219" s="62" t="s">
        <v>604</v>
      </c>
      <c r="D219" s="65"/>
      <c r="E219" s="62" t="s">
        <v>142</v>
      </c>
      <c r="F219" s="62" t="s">
        <v>139</v>
      </c>
    </row>
    <row r="220" spans="1:6" ht="32.25" thickBot="1" x14ac:dyDescent="0.9">
      <c r="A220" s="63" t="s">
        <v>605</v>
      </c>
      <c r="B220" s="67" t="s">
        <v>606</v>
      </c>
      <c r="C220" s="62" t="s">
        <v>607</v>
      </c>
      <c r="D220" s="62" t="s">
        <v>608</v>
      </c>
      <c r="E220" s="62" t="s">
        <v>142</v>
      </c>
      <c r="F220" s="62" t="s">
        <v>139</v>
      </c>
    </row>
    <row r="221" spans="1:6" ht="16.5" thickBot="1" x14ac:dyDescent="0.9">
      <c r="A221" s="63" t="s">
        <v>609</v>
      </c>
      <c r="B221" s="69" t="s">
        <v>610</v>
      </c>
      <c r="C221" s="62" t="s">
        <v>611</v>
      </c>
      <c r="D221" s="65"/>
      <c r="E221" s="62" t="s">
        <v>142</v>
      </c>
      <c r="F221" s="62" t="s">
        <v>23</v>
      </c>
    </row>
    <row r="222" spans="1:6" ht="16.5" thickBot="1" x14ac:dyDescent="0.9">
      <c r="A222" s="63" t="s">
        <v>612</v>
      </c>
      <c r="B222" s="82" t="s">
        <v>613</v>
      </c>
      <c r="C222" s="62" t="s">
        <v>614</v>
      </c>
      <c r="D222" s="65"/>
      <c r="E222" s="62" t="s">
        <v>110</v>
      </c>
      <c r="F222" s="62" t="s">
        <v>23</v>
      </c>
    </row>
    <row r="223" spans="1:6" ht="32.25" thickBot="1" x14ac:dyDescent="0.9">
      <c r="A223" s="63" t="s">
        <v>615</v>
      </c>
      <c r="B223" s="67" t="s">
        <v>616</v>
      </c>
      <c r="C223" s="62" t="s">
        <v>617</v>
      </c>
      <c r="D223" s="65"/>
      <c r="E223" s="62" t="s">
        <v>142</v>
      </c>
      <c r="F223" s="62" t="s">
        <v>23</v>
      </c>
    </row>
    <row r="224" spans="1:6" ht="16.5" thickBot="1" x14ac:dyDescent="0.9">
      <c r="A224" s="86" t="s">
        <v>618</v>
      </c>
      <c r="B224" s="109" t="s">
        <v>619</v>
      </c>
      <c r="C224" s="62" t="s">
        <v>620</v>
      </c>
      <c r="D224" s="65"/>
      <c r="E224" s="62" t="s">
        <v>142</v>
      </c>
      <c r="F224" s="62" t="s">
        <v>23</v>
      </c>
    </row>
    <row r="225" spans="1:6" ht="16.5" thickBot="1" x14ac:dyDescent="0.9">
      <c r="A225" s="113" t="s">
        <v>621</v>
      </c>
      <c r="B225" s="114" t="s">
        <v>622</v>
      </c>
      <c r="C225" s="62" t="s">
        <v>623</v>
      </c>
      <c r="D225" s="65"/>
      <c r="E225" s="62" t="s">
        <v>131</v>
      </c>
      <c r="F225" s="62" t="s">
        <v>23</v>
      </c>
    </row>
    <row r="226" spans="1:6" ht="32.25" thickBot="1" x14ac:dyDescent="0.9">
      <c r="A226" s="63" t="s">
        <v>624</v>
      </c>
      <c r="B226" s="67" t="s">
        <v>625</v>
      </c>
      <c r="C226" s="62" t="s">
        <v>626</v>
      </c>
      <c r="D226" s="65"/>
      <c r="E226" s="62" t="s">
        <v>142</v>
      </c>
      <c r="F226" s="62" t="s">
        <v>23</v>
      </c>
    </row>
    <row r="227" spans="1:6" ht="32.25" thickBot="1" x14ac:dyDescent="0.9">
      <c r="A227" s="63" t="s">
        <v>627</v>
      </c>
      <c r="B227" s="67" t="s">
        <v>628</v>
      </c>
      <c r="C227" s="62" t="s">
        <v>629</v>
      </c>
      <c r="D227" s="62" t="s">
        <v>630</v>
      </c>
      <c r="E227" s="62" t="s">
        <v>131</v>
      </c>
      <c r="F227" s="62" t="s">
        <v>23</v>
      </c>
    </row>
    <row r="228" spans="1:6" ht="15.75" x14ac:dyDescent="0.75">
      <c r="A228" s="171" t="s">
        <v>631</v>
      </c>
      <c r="B228" s="157" t="s">
        <v>632</v>
      </c>
      <c r="C228" s="171" t="s">
        <v>633</v>
      </c>
      <c r="D228" s="72" t="s">
        <v>326</v>
      </c>
      <c r="E228" s="171" t="s">
        <v>142</v>
      </c>
      <c r="F228" s="171" t="s">
        <v>23</v>
      </c>
    </row>
    <row r="229" spans="1:6" ht="15.75" x14ac:dyDescent="0.75">
      <c r="A229" s="175"/>
      <c r="B229" s="158"/>
      <c r="C229" s="175"/>
      <c r="D229" s="72" t="s">
        <v>634</v>
      </c>
      <c r="E229" s="175"/>
      <c r="F229" s="175"/>
    </row>
    <row r="230" spans="1:6" ht="16.5" thickBot="1" x14ac:dyDescent="0.9">
      <c r="A230" s="172"/>
      <c r="B230" s="159"/>
      <c r="C230" s="172"/>
      <c r="D230" s="62" t="s">
        <v>635</v>
      </c>
      <c r="E230" s="172"/>
      <c r="F230" s="172"/>
    </row>
    <row r="231" spans="1:6" ht="32.25" thickBot="1" x14ac:dyDescent="0.9">
      <c r="A231" s="63" t="s">
        <v>636</v>
      </c>
      <c r="B231" s="67" t="s">
        <v>637</v>
      </c>
      <c r="C231" s="62" t="s">
        <v>638</v>
      </c>
      <c r="D231" s="62" t="s">
        <v>639</v>
      </c>
      <c r="E231" s="62" t="s">
        <v>142</v>
      </c>
      <c r="F231" s="62" t="s">
        <v>23</v>
      </c>
    </row>
    <row r="232" spans="1:6" ht="16.5" thickBot="1" x14ac:dyDescent="0.9">
      <c r="A232" s="63" t="s">
        <v>640</v>
      </c>
      <c r="B232" s="67" t="s">
        <v>641</v>
      </c>
      <c r="C232" s="62" t="s">
        <v>642</v>
      </c>
      <c r="D232" s="65"/>
      <c r="E232" s="62" t="s">
        <v>142</v>
      </c>
      <c r="F232" s="62" t="s">
        <v>23</v>
      </c>
    </row>
    <row r="233" spans="1:6" ht="16.5" thickBot="1" x14ac:dyDescent="0.9">
      <c r="A233" s="113" t="s">
        <v>643</v>
      </c>
      <c r="B233" s="114" t="s">
        <v>644</v>
      </c>
      <c r="C233" s="62" t="s">
        <v>645</v>
      </c>
      <c r="D233" s="65"/>
      <c r="E233" s="62" t="s">
        <v>131</v>
      </c>
      <c r="F233" s="62" t="s">
        <v>139</v>
      </c>
    </row>
    <row r="234" spans="1:6" ht="32.25" thickBot="1" x14ac:dyDescent="0.9">
      <c r="A234" s="63" t="s">
        <v>646</v>
      </c>
      <c r="B234" s="67" t="s">
        <v>625</v>
      </c>
      <c r="C234" s="62" t="s">
        <v>647</v>
      </c>
      <c r="D234" s="65"/>
      <c r="E234" s="62" t="s">
        <v>142</v>
      </c>
      <c r="F234" s="62" t="s">
        <v>23</v>
      </c>
    </row>
    <row r="235" spans="1:6" ht="16.5" thickBot="1" x14ac:dyDescent="0.9">
      <c r="A235" s="63" t="s">
        <v>648</v>
      </c>
      <c r="B235" s="67" t="s">
        <v>649</v>
      </c>
      <c r="C235" s="62" t="s">
        <v>650</v>
      </c>
      <c r="D235" s="62" t="s">
        <v>639</v>
      </c>
      <c r="E235" s="62" t="s">
        <v>110</v>
      </c>
      <c r="F235" s="62" t="s">
        <v>111</v>
      </c>
    </row>
    <row r="236" spans="1:6" ht="16.5" thickBot="1" x14ac:dyDescent="0.9">
      <c r="A236" s="63" t="s">
        <v>651</v>
      </c>
      <c r="B236" s="67" t="s">
        <v>95</v>
      </c>
      <c r="C236" s="62" t="s">
        <v>652</v>
      </c>
      <c r="D236" s="65"/>
      <c r="E236" s="62" t="s">
        <v>142</v>
      </c>
      <c r="F236" s="62" t="s">
        <v>23</v>
      </c>
    </row>
    <row r="237" spans="1:6" ht="48" thickBot="1" x14ac:dyDescent="0.9">
      <c r="A237" s="86" t="s">
        <v>653</v>
      </c>
      <c r="B237" s="109" t="s">
        <v>654</v>
      </c>
      <c r="C237" s="62" t="s">
        <v>655</v>
      </c>
      <c r="D237" s="65"/>
      <c r="E237" s="62" t="s">
        <v>131</v>
      </c>
      <c r="F237" s="62" t="s">
        <v>139</v>
      </c>
    </row>
    <row r="238" spans="1:6" ht="30.25" thickBot="1" x14ac:dyDescent="0.9">
      <c r="A238" s="63" t="s">
        <v>656</v>
      </c>
      <c r="B238" s="67" t="s">
        <v>657</v>
      </c>
      <c r="C238" s="62" t="s">
        <v>658</v>
      </c>
      <c r="D238" s="66" t="s">
        <v>659</v>
      </c>
      <c r="E238" s="62" t="s">
        <v>142</v>
      </c>
      <c r="F238" s="62" t="s">
        <v>23</v>
      </c>
    </row>
    <row r="239" spans="1:6" ht="16.5" thickBot="1" x14ac:dyDescent="0.9">
      <c r="A239" s="63" t="s">
        <v>660</v>
      </c>
      <c r="B239" s="67" t="s">
        <v>21</v>
      </c>
      <c r="C239" s="62" t="s">
        <v>661</v>
      </c>
      <c r="D239" s="65"/>
      <c r="E239" s="62" t="s">
        <v>142</v>
      </c>
      <c r="F239" s="62" t="s">
        <v>139</v>
      </c>
    </row>
    <row r="240" spans="1:6" ht="16.5" thickBot="1" x14ac:dyDescent="0.9">
      <c r="A240" s="63" t="s">
        <v>662</v>
      </c>
      <c r="B240" s="67" t="s">
        <v>663</v>
      </c>
      <c r="C240" s="62" t="s">
        <v>664</v>
      </c>
      <c r="D240" s="65"/>
      <c r="E240" s="62" t="s">
        <v>142</v>
      </c>
      <c r="F240" s="62" t="s">
        <v>139</v>
      </c>
    </row>
    <row r="241" spans="1:6" ht="32.25" thickBot="1" x14ac:dyDescent="0.9">
      <c r="A241" s="63" t="s">
        <v>665</v>
      </c>
      <c r="B241" s="67" t="s">
        <v>666</v>
      </c>
      <c r="C241" s="62" t="s">
        <v>667</v>
      </c>
      <c r="D241" s="66" t="s">
        <v>668</v>
      </c>
      <c r="E241" s="62" t="s">
        <v>669</v>
      </c>
      <c r="F241" s="62" t="s">
        <v>139</v>
      </c>
    </row>
    <row r="242" spans="1:6" ht="15.75" x14ac:dyDescent="0.75">
      <c r="A242" s="171" t="s">
        <v>670</v>
      </c>
      <c r="B242" s="157" t="s">
        <v>361</v>
      </c>
      <c r="C242" s="171" t="s">
        <v>671</v>
      </c>
      <c r="D242" s="72" t="s">
        <v>309</v>
      </c>
      <c r="E242" s="171" t="s">
        <v>131</v>
      </c>
      <c r="F242" s="171" t="s">
        <v>23</v>
      </c>
    </row>
    <row r="243" spans="1:6" ht="15.75" x14ac:dyDescent="0.75">
      <c r="A243" s="175"/>
      <c r="B243" s="158"/>
      <c r="C243" s="175"/>
      <c r="D243" s="72" t="s">
        <v>326</v>
      </c>
      <c r="E243" s="175"/>
      <c r="F243" s="175"/>
    </row>
    <row r="244" spans="1:6" ht="16.5" thickBot="1" x14ac:dyDescent="0.9">
      <c r="A244" s="172"/>
      <c r="B244" s="159"/>
      <c r="C244" s="172"/>
      <c r="D244" s="62" t="s">
        <v>364</v>
      </c>
      <c r="E244" s="172"/>
      <c r="F244" s="172"/>
    </row>
    <row r="245" spans="1:6" ht="15.75" x14ac:dyDescent="0.75">
      <c r="A245" s="171" t="s">
        <v>672</v>
      </c>
      <c r="B245" s="157" t="s">
        <v>26</v>
      </c>
      <c r="C245" s="171" t="s">
        <v>673</v>
      </c>
      <c r="D245" s="72" t="s">
        <v>309</v>
      </c>
      <c r="E245" s="171" t="s">
        <v>142</v>
      </c>
      <c r="F245" s="171" t="s">
        <v>139</v>
      </c>
    </row>
    <row r="246" spans="1:6" ht="15.75" x14ac:dyDescent="0.75">
      <c r="A246" s="175"/>
      <c r="B246" s="158"/>
      <c r="C246" s="175"/>
      <c r="D246" s="72" t="s">
        <v>326</v>
      </c>
      <c r="E246" s="175"/>
      <c r="F246" s="175"/>
    </row>
    <row r="247" spans="1:6" ht="16.5" thickBot="1" x14ac:dyDescent="0.9">
      <c r="A247" s="172"/>
      <c r="B247" s="159"/>
      <c r="C247" s="172"/>
      <c r="D247" s="62" t="s">
        <v>364</v>
      </c>
      <c r="E247" s="172"/>
      <c r="F247" s="172"/>
    </row>
    <row r="248" spans="1:6" ht="16.5" thickBot="1" x14ac:dyDescent="0.9">
      <c r="A248" s="86" t="s">
        <v>674</v>
      </c>
      <c r="B248" s="109" t="s">
        <v>675</v>
      </c>
      <c r="C248" s="65"/>
      <c r="D248" s="65"/>
      <c r="E248" s="62" t="s">
        <v>142</v>
      </c>
      <c r="F248" s="62" t="s">
        <v>139</v>
      </c>
    </row>
    <row r="249" spans="1:6" ht="16.5" thickBot="1" x14ac:dyDescent="0.9">
      <c r="A249" s="63" t="s">
        <v>676</v>
      </c>
      <c r="B249" s="67" t="s">
        <v>677</v>
      </c>
      <c r="C249" s="62" t="s">
        <v>678</v>
      </c>
      <c r="D249" s="65"/>
      <c r="E249" s="62" t="s">
        <v>142</v>
      </c>
      <c r="F249" s="62" t="s">
        <v>139</v>
      </c>
    </row>
    <row r="250" spans="1:6" ht="79.5" thickBot="1" x14ac:dyDescent="0.9">
      <c r="A250" s="63" t="s">
        <v>679</v>
      </c>
      <c r="B250" s="67" t="s">
        <v>680</v>
      </c>
      <c r="C250" s="62" t="s">
        <v>681</v>
      </c>
      <c r="D250" s="65"/>
      <c r="E250" s="62" t="s">
        <v>142</v>
      </c>
      <c r="F250" s="62" t="s">
        <v>23</v>
      </c>
    </row>
    <row r="251" spans="1:6" ht="16.5" thickBot="1" x14ac:dyDescent="0.9">
      <c r="A251" s="63" t="s">
        <v>682</v>
      </c>
      <c r="B251" s="67" t="s">
        <v>683</v>
      </c>
      <c r="C251" s="62" t="s">
        <v>684</v>
      </c>
      <c r="D251" s="65"/>
      <c r="E251" s="62" t="s">
        <v>142</v>
      </c>
      <c r="F251" s="62" t="s">
        <v>23</v>
      </c>
    </row>
    <row r="252" spans="1:6" ht="32.25" thickBot="1" x14ac:dyDescent="0.9">
      <c r="A252" s="63" t="s">
        <v>685</v>
      </c>
      <c r="B252" s="67" t="s">
        <v>686</v>
      </c>
      <c r="C252" s="62" t="s">
        <v>687</v>
      </c>
      <c r="D252" s="65"/>
      <c r="E252" s="62" t="s">
        <v>142</v>
      </c>
      <c r="F252" s="62" t="s">
        <v>23</v>
      </c>
    </row>
    <row r="253" spans="1:6" ht="16.5" thickBot="1" x14ac:dyDescent="0.9">
      <c r="A253" s="63" t="s">
        <v>688</v>
      </c>
      <c r="B253" s="62" t="s">
        <v>666</v>
      </c>
      <c r="C253" s="65"/>
      <c r="D253" s="65"/>
      <c r="E253" s="62" t="s">
        <v>142</v>
      </c>
      <c r="F253" s="62" t="s">
        <v>139</v>
      </c>
    </row>
    <row r="254" spans="1:6" ht="16.5" thickBot="1" x14ac:dyDescent="0.9">
      <c r="A254" s="63" t="s">
        <v>689</v>
      </c>
      <c r="B254" s="67" t="s">
        <v>690</v>
      </c>
      <c r="C254" s="62" t="s">
        <v>691</v>
      </c>
      <c r="D254" s="66" t="s">
        <v>692</v>
      </c>
      <c r="E254" s="62" t="s">
        <v>142</v>
      </c>
      <c r="F254" s="62" t="s">
        <v>23</v>
      </c>
    </row>
    <row r="255" spans="1:6" ht="48" thickBot="1" x14ac:dyDescent="0.9">
      <c r="A255" s="63" t="s">
        <v>693</v>
      </c>
      <c r="B255" s="67" t="s">
        <v>95</v>
      </c>
      <c r="C255" s="62" t="s">
        <v>694</v>
      </c>
      <c r="D255" s="65"/>
      <c r="E255" s="62" t="s">
        <v>142</v>
      </c>
      <c r="F255" s="62" t="s">
        <v>23</v>
      </c>
    </row>
    <row r="256" spans="1:6" ht="16.5" thickBot="1" x14ac:dyDescent="0.9">
      <c r="A256" s="63" t="s">
        <v>695</v>
      </c>
      <c r="B256" s="67" t="s">
        <v>696</v>
      </c>
      <c r="C256" s="62" t="s">
        <v>697</v>
      </c>
      <c r="D256" s="65"/>
      <c r="E256" s="62" t="s">
        <v>142</v>
      </c>
      <c r="F256" s="62" t="s">
        <v>139</v>
      </c>
    </row>
    <row r="257" spans="1:6" ht="15.75" x14ac:dyDescent="0.75">
      <c r="A257" s="171" t="s">
        <v>698</v>
      </c>
      <c r="B257" s="157" t="s">
        <v>699</v>
      </c>
      <c r="C257" s="171" t="s">
        <v>700</v>
      </c>
      <c r="D257" s="72" t="s">
        <v>326</v>
      </c>
      <c r="E257" s="171" t="s">
        <v>142</v>
      </c>
      <c r="F257" s="171" t="s">
        <v>23</v>
      </c>
    </row>
    <row r="258" spans="1:6" ht="32.25" thickBot="1" x14ac:dyDescent="0.9">
      <c r="A258" s="172"/>
      <c r="B258" s="159"/>
      <c r="C258" s="172"/>
      <c r="D258" s="62" t="s">
        <v>701</v>
      </c>
      <c r="E258" s="172"/>
      <c r="F258" s="172"/>
    </row>
    <row r="259" spans="1:6" ht="15.75" x14ac:dyDescent="0.75">
      <c r="A259" s="171" t="s">
        <v>702</v>
      </c>
      <c r="B259" s="157" t="s">
        <v>703</v>
      </c>
      <c r="C259" s="171" t="s">
        <v>704</v>
      </c>
      <c r="D259" s="72" t="s">
        <v>326</v>
      </c>
      <c r="E259" s="171" t="s">
        <v>131</v>
      </c>
      <c r="F259" s="171" t="s">
        <v>23</v>
      </c>
    </row>
    <row r="260" spans="1:6" ht="15.75" x14ac:dyDescent="0.75">
      <c r="A260" s="175"/>
      <c r="B260" s="158"/>
      <c r="C260" s="175"/>
      <c r="D260" s="72" t="s">
        <v>705</v>
      </c>
      <c r="E260" s="175"/>
      <c r="F260" s="175"/>
    </row>
    <row r="261" spans="1:6" ht="15.75" x14ac:dyDescent="0.75">
      <c r="A261" s="175"/>
      <c r="B261" s="158"/>
      <c r="C261" s="175"/>
      <c r="D261" s="72" t="s">
        <v>706</v>
      </c>
      <c r="E261" s="175"/>
      <c r="F261" s="175"/>
    </row>
    <row r="262" spans="1:6" ht="15.75" x14ac:dyDescent="0.75">
      <c r="A262" s="175"/>
      <c r="B262" s="158"/>
      <c r="C262" s="175"/>
      <c r="D262" s="72" t="s">
        <v>707</v>
      </c>
      <c r="E262" s="175"/>
      <c r="F262" s="175"/>
    </row>
    <row r="263" spans="1:6" ht="15.75" x14ac:dyDescent="0.75">
      <c r="A263" s="175"/>
      <c r="B263" s="158"/>
      <c r="C263" s="175"/>
      <c r="D263" s="72" t="s">
        <v>708</v>
      </c>
      <c r="E263" s="175"/>
      <c r="F263" s="175"/>
    </row>
    <row r="264" spans="1:6" ht="31.5" x14ac:dyDescent="0.75">
      <c r="A264" s="175"/>
      <c r="B264" s="158"/>
      <c r="C264" s="175"/>
      <c r="D264" s="72" t="s">
        <v>709</v>
      </c>
      <c r="E264" s="175"/>
      <c r="F264" s="175"/>
    </row>
    <row r="265" spans="1:6" ht="16.5" thickBot="1" x14ac:dyDescent="0.9">
      <c r="A265" s="172"/>
      <c r="B265" s="159"/>
      <c r="C265" s="172"/>
      <c r="D265" s="62" t="s">
        <v>710</v>
      </c>
      <c r="E265" s="172"/>
      <c r="F265" s="172"/>
    </row>
    <row r="266" spans="1:6" ht="15.75" x14ac:dyDescent="0.75">
      <c r="A266" s="171" t="s">
        <v>711</v>
      </c>
      <c r="B266" s="157" t="s">
        <v>712</v>
      </c>
      <c r="C266" s="171" t="s">
        <v>713</v>
      </c>
      <c r="D266" s="72" t="s">
        <v>326</v>
      </c>
      <c r="E266" s="171" t="s">
        <v>131</v>
      </c>
      <c r="F266" s="171" t="s">
        <v>23</v>
      </c>
    </row>
    <row r="267" spans="1:6" ht="15.75" x14ac:dyDescent="0.75">
      <c r="A267" s="175"/>
      <c r="B267" s="158"/>
      <c r="C267" s="175"/>
      <c r="D267" s="72" t="s">
        <v>714</v>
      </c>
      <c r="E267" s="175"/>
      <c r="F267" s="175"/>
    </row>
    <row r="268" spans="1:6" ht="31.5" x14ac:dyDescent="0.75">
      <c r="A268" s="175"/>
      <c r="B268" s="158"/>
      <c r="C268" s="175"/>
      <c r="D268" s="72" t="s">
        <v>715</v>
      </c>
      <c r="E268" s="175"/>
      <c r="F268" s="175"/>
    </row>
    <row r="269" spans="1:6" ht="15.75" x14ac:dyDescent="0.75">
      <c r="A269" s="175"/>
      <c r="B269" s="158"/>
      <c r="C269" s="175"/>
      <c r="D269" s="72" t="s">
        <v>716</v>
      </c>
      <c r="E269" s="175"/>
      <c r="F269" s="175"/>
    </row>
    <row r="270" spans="1:6" ht="31.5" x14ac:dyDescent="0.75">
      <c r="A270" s="175"/>
      <c r="B270" s="158"/>
      <c r="C270" s="175"/>
      <c r="D270" s="72" t="s">
        <v>717</v>
      </c>
      <c r="E270" s="175"/>
      <c r="F270" s="175"/>
    </row>
    <row r="271" spans="1:6" ht="31.5" x14ac:dyDescent="0.75">
      <c r="A271" s="175"/>
      <c r="B271" s="158"/>
      <c r="C271" s="175"/>
      <c r="D271" s="72" t="s">
        <v>718</v>
      </c>
      <c r="E271" s="175"/>
      <c r="F271" s="175"/>
    </row>
    <row r="272" spans="1:6" ht="15.75" x14ac:dyDescent="0.75">
      <c r="A272" s="175"/>
      <c r="B272" s="158"/>
      <c r="C272" s="175"/>
      <c r="D272" s="72" t="s">
        <v>719</v>
      </c>
      <c r="E272" s="175"/>
      <c r="F272" s="175"/>
    </row>
    <row r="273" spans="1:6" ht="15.75" x14ac:dyDescent="0.75">
      <c r="A273" s="175"/>
      <c r="B273" s="158"/>
      <c r="C273" s="175"/>
      <c r="D273" s="72" t="s">
        <v>720</v>
      </c>
      <c r="E273" s="175"/>
      <c r="F273" s="175"/>
    </row>
    <row r="274" spans="1:6" ht="15.75" x14ac:dyDescent="0.75">
      <c r="A274" s="175"/>
      <c r="B274" s="158"/>
      <c r="C274" s="175"/>
      <c r="D274" s="72" t="s">
        <v>721</v>
      </c>
      <c r="E274" s="175"/>
      <c r="F274" s="175"/>
    </row>
    <row r="275" spans="1:6" ht="16.5" thickBot="1" x14ac:dyDescent="0.9">
      <c r="A275" s="172"/>
      <c r="B275" s="159"/>
      <c r="C275" s="172"/>
      <c r="D275" s="62" t="s">
        <v>722</v>
      </c>
      <c r="E275" s="172"/>
      <c r="F275" s="172"/>
    </row>
    <row r="276" spans="1:6" ht="16.5" thickBot="1" x14ac:dyDescent="0.9">
      <c r="A276" s="63" t="s">
        <v>723</v>
      </c>
      <c r="B276" s="62" t="s">
        <v>724</v>
      </c>
      <c r="C276" s="62" t="s">
        <v>725</v>
      </c>
      <c r="D276" s="65"/>
      <c r="E276" s="62" t="s">
        <v>142</v>
      </c>
      <c r="F276" s="62" t="s">
        <v>139</v>
      </c>
    </row>
    <row r="277" spans="1:6" ht="16.5" thickBot="1" x14ac:dyDescent="0.9">
      <c r="A277" s="63" t="s">
        <v>726</v>
      </c>
      <c r="B277" s="62" t="s">
        <v>95</v>
      </c>
      <c r="C277" s="62" t="s">
        <v>727</v>
      </c>
      <c r="D277" s="65"/>
      <c r="E277" s="62" t="s">
        <v>142</v>
      </c>
      <c r="F277" s="62" t="s">
        <v>23</v>
      </c>
    </row>
    <row r="278" spans="1:6" ht="31.5" x14ac:dyDescent="0.75">
      <c r="A278" s="171" t="s">
        <v>728</v>
      </c>
      <c r="B278" s="157" t="s">
        <v>729</v>
      </c>
      <c r="C278" s="72" t="s">
        <v>730</v>
      </c>
      <c r="D278" s="72" t="s">
        <v>326</v>
      </c>
      <c r="E278" s="171" t="s">
        <v>142</v>
      </c>
      <c r="F278" s="171" t="s">
        <v>23</v>
      </c>
    </row>
    <row r="279" spans="1:6" ht="32.25" thickBot="1" x14ac:dyDescent="0.9">
      <c r="A279" s="172"/>
      <c r="B279" s="159"/>
      <c r="C279" s="62" t="s">
        <v>731</v>
      </c>
      <c r="D279" s="62" t="s">
        <v>732</v>
      </c>
      <c r="E279" s="172"/>
      <c r="F279" s="172"/>
    </row>
    <row r="280" spans="1:6" ht="32.25" thickBot="1" x14ac:dyDescent="0.9">
      <c r="A280" s="63" t="s">
        <v>733</v>
      </c>
      <c r="B280" s="67" t="s">
        <v>22</v>
      </c>
      <c r="C280" s="62" t="s">
        <v>734</v>
      </c>
      <c r="D280" s="66" t="s">
        <v>735</v>
      </c>
      <c r="E280" s="62" t="s">
        <v>142</v>
      </c>
      <c r="F280" s="62" t="s">
        <v>23</v>
      </c>
    </row>
    <row r="281" spans="1:6" ht="48" thickBot="1" x14ac:dyDescent="0.9">
      <c r="A281" s="63" t="s">
        <v>736</v>
      </c>
      <c r="B281" s="67" t="s">
        <v>737</v>
      </c>
      <c r="C281" s="62" t="s">
        <v>738</v>
      </c>
      <c r="D281" s="65"/>
      <c r="E281" s="62" t="s">
        <v>142</v>
      </c>
      <c r="F281" s="62" t="s">
        <v>23</v>
      </c>
    </row>
    <row r="282" spans="1:6" ht="16.5" thickBot="1" x14ac:dyDescent="0.9">
      <c r="A282" s="63" t="s">
        <v>739</v>
      </c>
      <c r="B282" s="67" t="s">
        <v>740</v>
      </c>
      <c r="C282" s="62" t="s">
        <v>741</v>
      </c>
      <c r="D282" s="65"/>
      <c r="E282" s="65"/>
      <c r="F282" s="62" t="s">
        <v>23</v>
      </c>
    </row>
    <row r="283" spans="1:6" ht="16.5" thickBot="1" x14ac:dyDescent="0.9">
      <c r="A283" s="63" t="s">
        <v>742</v>
      </c>
      <c r="B283" s="67" t="s">
        <v>743</v>
      </c>
      <c r="C283" s="62" t="s">
        <v>744</v>
      </c>
      <c r="D283" s="65"/>
      <c r="E283" s="62" t="s">
        <v>131</v>
      </c>
      <c r="F283" s="62" t="s">
        <v>139</v>
      </c>
    </row>
    <row r="284" spans="1:6" ht="32.25" thickBot="1" x14ac:dyDescent="0.9">
      <c r="A284" s="63" t="s">
        <v>745</v>
      </c>
      <c r="B284" s="67" t="s">
        <v>746</v>
      </c>
      <c r="C284" s="62" t="s">
        <v>747</v>
      </c>
      <c r="D284" s="65"/>
      <c r="E284" s="62" t="s">
        <v>131</v>
      </c>
      <c r="F284" s="62" t="s">
        <v>23</v>
      </c>
    </row>
    <row r="285" spans="1:6" ht="16.5" thickBot="1" x14ac:dyDescent="0.9">
      <c r="A285" s="86" t="s">
        <v>748</v>
      </c>
      <c r="B285" s="109" t="s">
        <v>749</v>
      </c>
      <c r="C285" s="65"/>
      <c r="D285" s="65"/>
      <c r="E285" s="62" t="s">
        <v>142</v>
      </c>
      <c r="F285" s="62" t="s">
        <v>139</v>
      </c>
    </row>
    <row r="286" spans="1:6" ht="16.5" thickBot="1" x14ac:dyDescent="0.9">
      <c r="A286" s="113" t="s">
        <v>750</v>
      </c>
      <c r="B286" s="115" t="s">
        <v>751</v>
      </c>
      <c r="C286" s="62" t="s">
        <v>752</v>
      </c>
      <c r="D286" s="65"/>
      <c r="E286" s="62" t="s">
        <v>131</v>
      </c>
      <c r="F286" s="62" t="s">
        <v>139</v>
      </c>
    </row>
    <row r="287" spans="1:6" ht="15.75" x14ac:dyDescent="0.75">
      <c r="A287" s="171" t="s">
        <v>753</v>
      </c>
      <c r="B287" s="155" t="s">
        <v>31</v>
      </c>
      <c r="C287" s="171" t="s">
        <v>754</v>
      </c>
      <c r="D287" s="72" t="s">
        <v>326</v>
      </c>
      <c r="E287" s="171" t="s">
        <v>142</v>
      </c>
      <c r="F287" s="171" t="s">
        <v>23</v>
      </c>
    </row>
    <row r="288" spans="1:6" ht="15.75" x14ac:dyDescent="0.75">
      <c r="A288" s="175"/>
      <c r="B288" s="168"/>
      <c r="C288" s="175"/>
      <c r="D288" s="72" t="s">
        <v>755</v>
      </c>
      <c r="E288" s="175"/>
      <c r="F288" s="175"/>
    </row>
    <row r="289" spans="1:6" ht="15.75" x14ac:dyDescent="0.75">
      <c r="A289" s="175"/>
      <c r="B289" s="168"/>
      <c r="C289" s="175"/>
      <c r="D289" s="72" t="s">
        <v>756</v>
      </c>
      <c r="E289" s="175"/>
      <c r="F289" s="175"/>
    </row>
    <row r="290" spans="1:6" ht="15.75" x14ac:dyDescent="0.75">
      <c r="A290" s="175"/>
      <c r="B290" s="168"/>
      <c r="C290" s="175"/>
      <c r="D290" s="72" t="s">
        <v>757</v>
      </c>
      <c r="E290" s="175"/>
      <c r="F290" s="175"/>
    </row>
    <row r="291" spans="1:6" ht="32.25" thickBot="1" x14ac:dyDescent="0.9">
      <c r="A291" s="172"/>
      <c r="B291" s="156"/>
      <c r="C291" s="172"/>
      <c r="D291" s="62" t="s">
        <v>758</v>
      </c>
      <c r="E291" s="172"/>
      <c r="F291" s="172"/>
    </row>
    <row r="292" spans="1:6" ht="32.25" thickBot="1" x14ac:dyDescent="0.9">
      <c r="A292" s="63" t="s">
        <v>759</v>
      </c>
      <c r="B292" s="69" t="s">
        <v>760</v>
      </c>
      <c r="C292" s="62" t="s">
        <v>761</v>
      </c>
      <c r="D292" s="65"/>
      <c r="E292" s="62" t="s">
        <v>131</v>
      </c>
      <c r="F292" s="62" t="s">
        <v>23</v>
      </c>
    </row>
    <row r="293" spans="1:6" ht="16.5" thickBot="1" x14ac:dyDescent="0.9">
      <c r="A293" s="63" t="s">
        <v>762</v>
      </c>
      <c r="B293" s="69" t="s">
        <v>95</v>
      </c>
      <c r="C293" s="62" t="s">
        <v>763</v>
      </c>
      <c r="D293" s="65"/>
      <c r="E293" s="62" t="s">
        <v>142</v>
      </c>
      <c r="F293" s="62" t="s">
        <v>23</v>
      </c>
    </row>
    <row r="294" spans="1:6" ht="16.5" thickBot="1" x14ac:dyDescent="0.9">
      <c r="A294" s="113" t="s">
        <v>764</v>
      </c>
      <c r="B294" s="116" t="s">
        <v>765</v>
      </c>
      <c r="C294" s="62" t="s">
        <v>766</v>
      </c>
      <c r="D294" s="65"/>
      <c r="E294" s="62" t="s">
        <v>131</v>
      </c>
      <c r="F294" s="62" t="s">
        <v>139</v>
      </c>
    </row>
    <row r="295" spans="1:6" ht="15.75" x14ac:dyDescent="0.75">
      <c r="A295" s="171" t="s">
        <v>767</v>
      </c>
      <c r="B295" s="155" t="s">
        <v>31</v>
      </c>
      <c r="C295" s="171" t="s">
        <v>768</v>
      </c>
      <c r="D295" s="72" t="s">
        <v>326</v>
      </c>
      <c r="E295" s="171" t="s">
        <v>142</v>
      </c>
      <c r="F295" s="171" t="s">
        <v>23</v>
      </c>
    </row>
    <row r="296" spans="1:6" ht="15.75" x14ac:dyDescent="0.75">
      <c r="A296" s="175"/>
      <c r="B296" s="168"/>
      <c r="C296" s="175"/>
      <c r="D296" s="72" t="s">
        <v>769</v>
      </c>
      <c r="E296" s="175"/>
      <c r="F296" s="175"/>
    </row>
    <row r="297" spans="1:6" ht="31.5" x14ac:dyDescent="0.75">
      <c r="A297" s="175"/>
      <c r="B297" s="168"/>
      <c r="C297" s="175"/>
      <c r="D297" s="72" t="s">
        <v>770</v>
      </c>
      <c r="E297" s="175"/>
      <c r="F297" s="175"/>
    </row>
    <row r="298" spans="1:6" ht="15.75" x14ac:dyDescent="0.75">
      <c r="A298" s="175"/>
      <c r="B298" s="168"/>
      <c r="C298" s="175"/>
      <c r="D298" s="72" t="s">
        <v>771</v>
      </c>
      <c r="E298" s="175"/>
      <c r="F298" s="175"/>
    </row>
    <row r="299" spans="1:6" ht="15.75" x14ac:dyDescent="0.75">
      <c r="A299" s="175"/>
      <c r="B299" s="168"/>
      <c r="C299" s="175"/>
      <c r="D299" s="72" t="s">
        <v>772</v>
      </c>
      <c r="E299" s="175"/>
      <c r="F299" s="175"/>
    </row>
    <row r="300" spans="1:6" ht="63.75" thickBot="1" x14ac:dyDescent="0.9">
      <c r="A300" s="172"/>
      <c r="B300" s="156"/>
      <c r="C300" s="172"/>
      <c r="D300" s="62" t="s">
        <v>773</v>
      </c>
      <c r="E300" s="172"/>
      <c r="F300" s="172"/>
    </row>
    <row r="301" spans="1:6" ht="32.25" thickBot="1" x14ac:dyDescent="0.9">
      <c r="A301" s="63" t="s">
        <v>774</v>
      </c>
      <c r="B301" s="69" t="s">
        <v>760</v>
      </c>
      <c r="C301" s="62" t="s">
        <v>775</v>
      </c>
      <c r="D301" s="65"/>
      <c r="E301" s="62" t="s">
        <v>131</v>
      </c>
      <c r="F301" s="62" t="s">
        <v>23</v>
      </c>
    </row>
    <row r="302" spans="1:6" ht="16.5" thickBot="1" x14ac:dyDescent="0.9">
      <c r="A302" s="63" t="s">
        <v>776</v>
      </c>
      <c r="B302" s="69" t="s">
        <v>95</v>
      </c>
      <c r="C302" s="62" t="s">
        <v>763</v>
      </c>
      <c r="D302" s="65"/>
      <c r="E302" s="62" t="s">
        <v>142</v>
      </c>
      <c r="F302" s="62" t="s">
        <v>23</v>
      </c>
    </row>
    <row r="303" spans="1:6" ht="16.5" thickBot="1" x14ac:dyDescent="0.9">
      <c r="A303" s="113" t="s">
        <v>777</v>
      </c>
      <c r="B303" s="116" t="s">
        <v>778</v>
      </c>
      <c r="C303" s="62" t="s">
        <v>779</v>
      </c>
      <c r="D303" s="65"/>
      <c r="E303" s="62" t="s">
        <v>131</v>
      </c>
      <c r="F303" s="62" t="s">
        <v>139</v>
      </c>
    </row>
    <row r="304" spans="1:6" ht="15.75" x14ac:dyDescent="0.75">
      <c r="A304" s="171" t="s">
        <v>780</v>
      </c>
      <c r="B304" s="155" t="s">
        <v>31</v>
      </c>
      <c r="C304" s="171" t="s">
        <v>781</v>
      </c>
      <c r="D304" s="72" t="s">
        <v>326</v>
      </c>
      <c r="E304" s="171" t="s">
        <v>142</v>
      </c>
      <c r="F304" s="171" t="s">
        <v>23</v>
      </c>
    </row>
    <row r="305" spans="1:6" ht="15.75" x14ac:dyDescent="0.75">
      <c r="A305" s="175"/>
      <c r="B305" s="168"/>
      <c r="C305" s="175"/>
      <c r="D305" s="72" t="s">
        <v>782</v>
      </c>
      <c r="E305" s="175"/>
      <c r="F305" s="175"/>
    </row>
    <row r="306" spans="1:6" ht="31.5" x14ac:dyDescent="0.75">
      <c r="A306" s="175"/>
      <c r="B306" s="168"/>
      <c r="C306" s="175"/>
      <c r="D306" s="72" t="s">
        <v>783</v>
      </c>
      <c r="E306" s="175"/>
      <c r="F306" s="175"/>
    </row>
    <row r="307" spans="1:6" ht="31.5" x14ac:dyDescent="0.75">
      <c r="A307" s="175"/>
      <c r="B307" s="168"/>
      <c r="C307" s="175"/>
      <c r="D307" s="72" t="s">
        <v>784</v>
      </c>
      <c r="E307" s="175"/>
      <c r="F307" s="175"/>
    </row>
    <row r="308" spans="1:6" ht="32.25" thickBot="1" x14ac:dyDescent="0.9">
      <c r="A308" s="172"/>
      <c r="B308" s="156"/>
      <c r="C308" s="172"/>
      <c r="D308" s="62" t="s">
        <v>785</v>
      </c>
      <c r="E308" s="172"/>
      <c r="F308" s="172"/>
    </row>
    <row r="309" spans="1:6" ht="16.5" thickBot="1" x14ac:dyDescent="0.9">
      <c r="A309" s="63" t="s">
        <v>786</v>
      </c>
      <c r="B309" s="69" t="s">
        <v>760</v>
      </c>
      <c r="C309" s="62" t="s">
        <v>787</v>
      </c>
      <c r="D309" s="65"/>
      <c r="E309" s="62" t="s">
        <v>142</v>
      </c>
      <c r="F309" s="62" t="s">
        <v>23</v>
      </c>
    </row>
    <row r="310" spans="1:6" ht="15.75" x14ac:dyDescent="0.75">
      <c r="A310" s="171" t="s">
        <v>788</v>
      </c>
      <c r="B310" s="155" t="s">
        <v>789</v>
      </c>
      <c r="C310" s="171" t="s">
        <v>790</v>
      </c>
      <c r="D310" s="72" t="s">
        <v>326</v>
      </c>
      <c r="E310" s="171" t="s">
        <v>142</v>
      </c>
      <c r="F310" s="171" t="s">
        <v>23</v>
      </c>
    </row>
    <row r="311" spans="1:6" ht="15.75" x14ac:dyDescent="0.75">
      <c r="A311" s="175"/>
      <c r="B311" s="168"/>
      <c r="C311" s="175"/>
      <c r="D311" s="72" t="s">
        <v>791</v>
      </c>
      <c r="E311" s="175"/>
      <c r="F311" s="175"/>
    </row>
    <row r="312" spans="1:6" ht="15.75" x14ac:dyDescent="0.75">
      <c r="A312" s="175"/>
      <c r="B312" s="168"/>
      <c r="C312" s="175"/>
      <c r="D312" s="72" t="s">
        <v>792</v>
      </c>
      <c r="E312" s="175"/>
      <c r="F312" s="175"/>
    </row>
    <row r="313" spans="1:6" ht="15.75" x14ac:dyDescent="0.75">
      <c r="A313" s="175"/>
      <c r="B313" s="168"/>
      <c r="C313" s="175"/>
      <c r="D313" s="72" t="s">
        <v>793</v>
      </c>
      <c r="E313" s="175"/>
      <c r="F313" s="175"/>
    </row>
    <row r="314" spans="1:6" ht="31.5" x14ac:dyDescent="0.75">
      <c r="A314" s="175"/>
      <c r="B314" s="168"/>
      <c r="C314" s="175"/>
      <c r="D314" s="72" t="s">
        <v>794</v>
      </c>
      <c r="E314" s="175"/>
      <c r="F314" s="175"/>
    </row>
    <row r="315" spans="1:6" ht="15.75" x14ac:dyDescent="0.75">
      <c r="A315" s="175"/>
      <c r="B315" s="168"/>
      <c r="C315" s="175"/>
      <c r="D315" s="72" t="s">
        <v>795</v>
      </c>
      <c r="E315" s="175"/>
      <c r="F315" s="175"/>
    </row>
    <row r="316" spans="1:6" ht="15.75" x14ac:dyDescent="0.75">
      <c r="A316" s="175"/>
      <c r="B316" s="168"/>
      <c r="C316" s="175"/>
      <c r="D316" s="72" t="s">
        <v>796</v>
      </c>
      <c r="E316" s="175"/>
      <c r="F316" s="175"/>
    </row>
    <row r="317" spans="1:6" ht="31.5" x14ac:dyDescent="0.75">
      <c r="A317" s="175"/>
      <c r="B317" s="168"/>
      <c r="C317" s="175"/>
      <c r="D317" s="72" t="s">
        <v>797</v>
      </c>
      <c r="E317" s="175"/>
      <c r="F317" s="175"/>
    </row>
    <row r="318" spans="1:6" ht="15.75" x14ac:dyDescent="0.75">
      <c r="A318" s="175"/>
      <c r="B318" s="168"/>
      <c r="C318" s="175"/>
      <c r="D318" s="72" t="s">
        <v>798</v>
      </c>
      <c r="E318" s="175"/>
      <c r="F318" s="175"/>
    </row>
    <row r="319" spans="1:6" ht="15.75" x14ac:dyDescent="0.75">
      <c r="A319" s="175"/>
      <c r="B319" s="168"/>
      <c r="C319" s="175"/>
      <c r="D319" s="72" t="s">
        <v>799</v>
      </c>
      <c r="E319" s="175"/>
      <c r="F319" s="175"/>
    </row>
    <row r="320" spans="1:6" ht="31.5" x14ac:dyDescent="0.75">
      <c r="A320" s="175"/>
      <c r="B320" s="168"/>
      <c r="C320" s="175"/>
      <c r="D320" s="72" t="s">
        <v>800</v>
      </c>
      <c r="E320" s="175"/>
      <c r="F320" s="175"/>
    </row>
    <row r="321" spans="1:6" ht="31.5" x14ac:dyDescent="0.75">
      <c r="A321" s="175"/>
      <c r="B321" s="168"/>
      <c r="C321" s="175"/>
      <c r="D321" s="72" t="s">
        <v>801</v>
      </c>
      <c r="E321" s="175"/>
      <c r="F321" s="175"/>
    </row>
    <row r="322" spans="1:6" ht="15.75" x14ac:dyDescent="0.75">
      <c r="A322" s="175"/>
      <c r="B322" s="168"/>
      <c r="C322" s="175"/>
      <c r="D322" s="72" t="s">
        <v>802</v>
      </c>
      <c r="E322" s="175"/>
      <c r="F322" s="175"/>
    </row>
    <row r="323" spans="1:6" ht="15.75" x14ac:dyDescent="0.75">
      <c r="A323" s="175"/>
      <c r="B323" s="168"/>
      <c r="C323" s="175"/>
      <c r="D323" s="72" t="s">
        <v>803</v>
      </c>
      <c r="E323" s="175"/>
      <c r="F323" s="175"/>
    </row>
    <row r="324" spans="1:6" ht="15.75" x14ac:dyDescent="0.75">
      <c r="A324" s="175"/>
      <c r="B324" s="168"/>
      <c r="C324" s="175"/>
      <c r="D324" s="72" t="s">
        <v>804</v>
      </c>
      <c r="E324" s="175"/>
      <c r="F324" s="175"/>
    </row>
    <row r="325" spans="1:6" ht="15.75" x14ac:dyDescent="0.75">
      <c r="A325" s="175"/>
      <c r="B325" s="168"/>
      <c r="C325" s="175"/>
      <c r="D325" s="72" t="s">
        <v>805</v>
      </c>
      <c r="E325" s="175"/>
      <c r="F325" s="175"/>
    </row>
    <row r="326" spans="1:6" ht="15.75" x14ac:dyDescent="0.75">
      <c r="A326" s="175"/>
      <c r="B326" s="168"/>
      <c r="C326" s="175"/>
      <c r="D326" s="72" t="s">
        <v>806</v>
      </c>
      <c r="E326" s="175"/>
      <c r="F326" s="175"/>
    </row>
    <row r="327" spans="1:6" ht="15.75" x14ac:dyDescent="0.75">
      <c r="A327" s="175"/>
      <c r="B327" s="168"/>
      <c r="C327" s="175"/>
      <c r="D327" s="72" t="s">
        <v>807</v>
      </c>
      <c r="E327" s="175"/>
      <c r="F327" s="175"/>
    </row>
    <row r="328" spans="1:6" ht="15.75" x14ac:dyDescent="0.75">
      <c r="A328" s="175"/>
      <c r="B328" s="168"/>
      <c r="C328" s="175"/>
      <c r="D328" s="72" t="s">
        <v>808</v>
      </c>
      <c r="E328" s="175"/>
      <c r="F328" s="175"/>
    </row>
    <row r="329" spans="1:6" ht="16.5" thickBot="1" x14ac:dyDescent="0.9">
      <c r="A329" s="172"/>
      <c r="B329" s="156"/>
      <c r="C329" s="172"/>
      <c r="D329" s="62" t="s">
        <v>809</v>
      </c>
      <c r="E329" s="172"/>
      <c r="F329" s="172"/>
    </row>
    <row r="330" spans="1:6" ht="16.5" thickBot="1" x14ac:dyDescent="0.9">
      <c r="A330" s="63" t="s">
        <v>810</v>
      </c>
      <c r="B330" s="69" t="s">
        <v>811</v>
      </c>
      <c r="C330" s="62" t="s">
        <v>811</v>
      </c>
      <c r="D330" s="62" t="s">
        <v>812</v>
      </c>
      <c r="E330" s="62" t="s">
        <v>131</v>
      </c>
      <c r="F330" s="62" t="s">
        <v>23</v>
      </c>
    </row>
    <row r="331" spans="1:6" ht="16.5" thickBot="1" x14ac:dyDescent="0.9">
      <c r="A331" s="63" t="s">
        <v>813</v>
      </c>
      <c r="B331" s="69" t="s">
        <v>95</v>
      </c>
      <c r="C331" s="62" t="s">
        <v>814</v>
      </c>
      <c r="D331" s="65"/>
      <c r="E331" s="62" t="s">
        <v>142</v>
      </c>
      <c r="F331" s="62" t="s">
        <v>23</v>
      </c>
    </row>
    <row r="332" spans="1:6" ht="15.75" x14ac:dyDescent="0.75">
      <c r="A332" s="197" t="s">
        <v>815</v>
      </c>
      <c r="B332" s="169" t="s">
        <v>816</v>
      </c>
      <c r="C332" s="171" t="s">
        <v>817</v>
      </c>
      <c r="D332" s="72" t="s">
        <v>309</v>
      </c>
      <c r="E332" s="171" t="s">
        <v>131</v>
      </c>
      <c r="F332" s="171" t="s">
        <v>139</v>
      </c>
    </row>
    <row r="333" spans="1:6" ht="16.5" thickBot="1" x14ac:dyDescent="0.9">
      <c r="A333" s="198"/>
      <c r="B333" s="170"/>
      <c r="C333" s="172"/>
      <c r="D333" s="62" t="s">
        <v>326</v>
      </c>
      <c r="E333" s="172"/>
      <c r="F333" s="172"/>
    </row>
    <row r="334" spans="1:6" ht="16.5" thickBot="1" x14ac:dyDescent="0.9">
      <c r="A334" s="57" t="s">
        <v>818</v>
      </c>
      <c r="B334" s="194" t="s">
        <v>819</v>
      </c>
      <c r="C334" s="195"/>
      <c r="D334" s="196"/>
      <c r="E334" s="62" t="s">
        <v>110</v>
      </c>
      <c r="F334" s="62" t="s">
        <v>111</v>
      </c>
    </row>
    <row r="335" spans="1:6" ht="16.5" thickBot="1" x14ac:dyDescent="0.9">
      <c r="A335" s="57" t="s">
        <v>820</v>
      </c>
      <c r="B335" s="118" t="s">
        <v>821</v>
      </c>
      <c r="C335" s="179" t="s">
        <v>822</v>
      </c>
      <c r="D335" s="180"/>
      <c r="E335" s="62" t="s">
        <v>117</v>
      </c>
      <c r="F335" s="62" t="s">
        <v>23</v>
      </c>
    </row>
    <row r="336" spans="1:6" ht="16.5" thickBot="1" x14ac:dyDescent="0.9">
      <c r="A336" s="63" t="s">
        <v>823</v>
      </c>
      <c r="B336" s="62" t="s">
        <v>519</v>
      </c>
      <c r="C336" s="62" t="s">
        <v>824</v>
      </c>
      <c r="D336" s="65"/>
      <c r="E336" s="62" t="s">
        <v>110</v>
      </c>
      <c r="F336" s="62" t="s">
        <v>111</v>
      </c>
    </row>
    <row r="337" spans="1:6" ht="15.75" x14ac:dyDescent="0.75">
      <c r="A337" s="171" t="s">
        <v>825</v>
      </c>
      <c r="B337" s="155" t="s">
        <v>27</v>
      </c>
      <c r="C337" s="171" t="s">
        <v>522</v>
      </c>
      <c r="D337" s="72" t="s">
        <v>309</v>
      </c>
      <c r="E337" s="171" t="s">
        <v>131</v>
      </c>
      <c r="F337" s="171" t="s">
        <v>23</v>
      </c>
    </row>
    <row r="338" spans="1:6" ht="15.75" x14ac:dyDescent="0.75">
      <c r="A338" s="175"/>
      <c r="B338" s="168"/>
      <c r="C338" s="175"/>
      <c r="D338" s="72" t="s">
        <v>326</v>
      </c>
      <c r="E338" s="175"/>
      <c r="F338" s="175"/>
    </row>
    <row r="339" spans="1:6" ht="15.75" x14ac:dyDescent="0.75">
      <c r="A339" s="175"/>
      <c r="B339" s="168"/>
      <c r="C339" s="175"/>
      <c r="D339" s="72" t="s">
        <v>93</v>
      </c>
      <c r="E339" s="175"/>
      <c r="F339" s="175"/>
    </row>
    <row r="340" spans="1:6" ht="16.5" thickBot="1" x14ac:dyDescent="0.9">
      <c r="A340" s="172"/>
      <c r="B340" s="156"/>
      <c r="C340" s="172"/>
      <c r="D340" s="62" t="s">
        <v>364</v>
      </c>
      <c r="E340" s="172"/>
      <c r="F340" s="172"/>
    </row>
    <row r="341" spans="1:6" ht="16.5" thickBot="1" x14ac:dyDescent="0.9">
      <c r="A341" s="63" t="s">
        <v>826</v>
      </c>
      <c r="B341" s="85" t="s">
        <v>339</v>
      </c>
      <c r="C341" s="62" t="s">
        <v>827</v>
      </c>
      <c r="D341" s="65"/>
      <c r="E341" s="62" t="s">
        <v>110</v>
      </c>
      <c r="F341" s="62" t="s">
        <v>23</v>
      </c>
    </row>
    <row r="342" spans="1:6" ht="32.25" thickBot="1" x14ac:dyDescent="0.9">
      <c r="A342" s="63" t="s">
        <v>828</v>
      </c>
      <c r="B342" s="67" t="s">
        <v>829</v>
      </c>
      <c r="C342" s="62" t="s">
        <v>529</v>
      </c>
      <c r="D342" s="65"/>
      <c r="E342" s="62" t="s">
        <v>142</v>
      </c>
      <c r="F342" s="62" t="s">
        <v>23</v>
      </c>
    </row>
    <row r="343" spans="1:6" ht="15.75" x14ac:dyDescent="0.75">
      <c r="A343" s="171" t="s">
        <v>830</v>
      </c>
      <c r="B343" s="157" t="s">
        <v>831</v>
      </c>
      <c r="C343" s="171" t="s">
        <v>832</v>
      </c>
      <c r="D343" s="72" t="s">
        <v>833</v>
      </c>
      <c r="E343" s="171" t="s">
        <v>142</v>
      </c>
      <c r="F343" s="171" t="s">
        <v>23</v>
      </c>
    </row>
    <row r="344" spans="1:6" ht="15.75" x14ac:dyDescent="0.75">
      <c r="A344" s="175"/>
      <c r="B344" s="158"/>
      <c r="C344" s="175"/>
      <c r="D344" s="72" t="s">
        <v>834</v>
      </c>
      <c r="E344" s="175"/>
      <c r="F344" s="175"/>
    </row>
    <row r="345" spans="1:6" x14ac:dyDescent="0.75">
      <c r="A345" s="175"/>
      <c r="B345" s="158"/>
      <c r="C345" s="175"/>
      <c r="D345" s="78"/>
      <c r="E345" s="175"/>
      <c r="F345" s="175"/>
    </row>
    <row r="346" spans="1:6" ht="16.5" thickBot="1" x14ac:dyDescent="0.9">
      <c r="A346" s="172"/>
      <c r="B346" s="159"/>
      <c r="C346" s="172"/>
      <c r="D346" s="62" t="s">
        <v>835</v>
      </c>
      <c r="E346" s="172"/>
      <c r="F346" s="172"/>
    </row>
    <row r="347" spans="1:6" ht="95.25" thickBot="1" x14ac:dyDescent="0.9">
      <c r="A347" s="63" t="s">
        <v>836</v>
      </c>
      <c r="B347" s="119" t="s">
        <v>837</v>
      </c>
      <c r="C347" s="62" t="s">
        <v>838</v>
      </c>
      <c r="D347" s="62" t="s">
        <v>839</v>
      </c>
      <c r="E347" s="65"/>
      <c r="F347" s="65"/>
    </row>
    <row r="348" spans="1:6" ht="111" thickBot="1" x14ac:dyDescent="0.9">
      <c r="A348" s="63" t="s">
        <v>840</v>
      </c>
      <c r="B348" s="69" t="s">
        <v>535</v>
      </c>
      <c r="C348" s="62" t="s">
        <v>536</v>
      </c>
      <c r="D348" s="65"/>
      <c r="E348" s="62" t="s">
        <v>142</v>
      </c>
      <c r="F348" s="62" t="s">
        <v>139</v>
      </c>
    </row>
    <row r="349" spans="1:6" ht="32.25" thickBot="1" x14ac:dyDescent="0.9">
      <c r="A349" s="63" t="s">
        <v>841</v>
      </c>
      <c r="B349" s="69" t="s">
        <v>538</v>
      </c>
      <c r="C349" s="62" t="s">
        <v>539</v>
      </c>
      <c r="D349" s="66" t="s">
        <v>842</v>
      </c>
      <c r="E349" s="62" t="s">
        <v>142</v>
      </c>
      <c r="F349" s="62" t="s">
        <v>139</v>
      </c>
    </row>
    <row r="350" spans="1:6" ht="15.75" x14ac:dyDescent="0.75">
      <c r="A350" s="171" t="s">
        <v>843</v>
      </c>
      <c r="B350" s="157" t="s">
        <v>541</v>
      </c>
      <c r="C350" s="171" t="s">
        <v>844</v>
      </c>
      <c r="D350" s="72" t="s">
        <v>29</v>
      </c>
      <c r="E350" s="171" t="s">
        <v>131</v>
      </c>
      <c r="F350" s="171" t="s">
        <v>139</v>
      </c>
    </row>
    <row r="351" spans="1:6" ht="16.5" thickBot="1" x14ac:dyDescent="0.9">
      <c r="A351" s="172"/>
      <c r="B351" s="159"/>
      <c r="C351" s="172"/>
      <c r="D351" s="62" t="s">
        <v>93</v>
      </c>
      <c r="E351" s="172"/>
      <c r="F351" s="172"/>
    </row>
    <row r="352" spans="1:6" ht="15.75" x14ac:dyDescent="0.75">
      <c r="A352" s="160" t="s">
        <v>845</v>
      </c>
      <c r="B352" s="160" t="s">
        <v>846</v>
      </c>
      <c r="C352" s="181" t="s">
        <v>847</v>
      </c>
      <c r="D352" s="182"/>
      <c r="E352" s="171" t="s">
        <v>117</v>
      </c>
      <c r="F352" s="171" t="s">
        <v>23</v>
      </c>
    </row>
    <row r="353" spans="1:6" ht="16.5" thickBot="1" x14ac:dyDescent="0.9">
      <c r="A353" s="162"/>
      <c r="B353" s="162"/>
      <c r="C353" s="192" t="s">
        <v>848</v>
      </c>
      <c r="D353" s="193"/>
      <c r="E353" s="172"/>
      <c r="F353" s="172"/>
    </row>
    <row r="354" spans="1:6" ht="16.5" thickBot="1" x14ac:dyDescent="0.9">
      <c r="A354" s="63" t="s">
        <v>849</v>
      </c>
      <c r="B354" s="67" t="s">
        <v>568</v>
      </c>
      <c r="C354" s="62" t="s">
        <v>850</v>
      </c>
      <c r="D354" s="62" t="s">
        <v>326</v>
      </c>
      <c r="E354" s="62" t="s">
        <v>131</v>
      </c>
      <c r="F354" s="62" t="s">
        <v>139</v>
      </c>
    </row>
    <row r="355" spans="1:6" ht="16.5" thickBot="1" x14ac:dyDescent="0.9">
      <c r="A355" s="63" t="s">
        <v>851</v>
      </c>
      <c r="B355" s="64" t="s">
        <v>571</v>
      </c>
      <c r="C355" s="62" t="s">
        <v>572</v>
      </c>
      <c r="D355" s="65"/>
      <c r="E355" s="62" t="s">
        <v>110</v>
      </c>
      <c r="F355" s="62" t="s">
        <v>111</v>
      </c>
    </row>
    <row r="356" spans="1:6" ht="15.75" x14ac:dyDescent="0.75">
      <c r="A356" s="171" t="s">
        <v>852</v>
      </c>
      <c r="B356" s="157" t="s">
        <v>574</v>
      </c>
      <c r="C356" s="171" t="s">
        <v>575</v>
      </c>
      <c r="D356" s="72" t="s">
        <v>326</v>
      </c>
      <c r="E356" s="171" t="s">
        <v>142</v>
      </c>
      <c r="F356" s="171" t="s">
        <v>23</v>
      </c>
    </row>
    <row r="357" spans="1:6" ht="32.25" thickBot="1" x14ac:dyDescent="0.9">
      <c r="A357" s="172"/>
      <c r="B357" s="159"/>
      <c r="C357" s="172"/>
      <c r="D357" s="62" t="s">
        <v>576</v>
      </c>
      <c r="E357" s="172"/>
      <c r="F357" s="172"/>
    </row>
    <row r="358" spans="1:6" ht="16.5" thickBot="1" x14ac:dyDescent="0.9">
      <c r="A358" s="63" t="s">
        <v>853</v>
      </c>
      <c r="B358" s="67" t="s">
        <v>578</v>
      </c>
      <c r="C358" s="62" t="s">
        <v>579</v>
      </c>
      <c r="D358" s="65"/>
      <c r="E358" s="62" t="s">
        <v>110</v>
      </c>
      <c r="F358" s="62" t="s">
        <v>23</v>
      </c>
    </row>
    <row r="359" spans="1:6" ht="15.75" x14ac:dyDescent="0.75">
      <c r="A359" s="171" t="s">
        <v>854</v>
      </c>
      <c r="B359" s="157" t="s">
        <v>581</v>
      </c>
      <c r="C359" s="171" t="s">
        <v>582</v>
      </c>
      <c r="D359" s="72" t="s">
        <v>309</v>
      </c>
      <c r="E359" s="171" t="s">
        <v>142</v>
      </c>
      <c r="F359" s="171" t="s">
        <v>23</v>
      </c>
    </row>
    <row r="360" spans="1:6" ht="15.75" x14ac:dyDescent="0.75">
      <c r="A360" s="175"/>
      <c r="B360" s="158"/>
      <c r="C360" s="175"/>
      <c r="D360" s="72" t="s">
        <v>326</v>
      </c>
      <c r="E360" s="175"/>
      <c r="F360" s="175"/>
    </row>
    <row r="361" spans="1:6" ht="16.5" thickBot="1" x14ac:dyDescent="0.9">
      <c r="A361" s="172"/>
      <c r="B361" s="159"/>
      <c r="C361" s="172"/>
      <c r="D361" s="62" t="s">
        <v>364</v>
      </c>
      <c r="E361" s="172"/>
      <c r="F361" s="172"/>
    </row>
    <row r="362" spans="1:6" ht="15.75" x14ac:dyDescent="0.75">
      <c r="A362" s="171" t="s">
        <v>855</v>
      </c>
      <c r="B362" s="157" t="s">
        <v>584</v>
      </c>
      <c r="C362" s="171" t="s">
        <v>856</v>
      </c>
      <c r="D362" s="72" t="s">
        <v>326</v>
      </c>
      <c r="E362" s="171" t="s">
        <v>142</v>
      </c>
      <c r="F362" s="171" t="s">
        <v>139</v>
      </c>
    </row>
    <row r="363" spans="1:6" ht="15.75" x14ac:dyDescent="0.75">
      <c r="A363" s="175"/>
      <c r="B363" s="158"/>
      <c r="C363" s="175"/>
      <c r="D363" s="72" t="s">
        <v>586</v>
      </c>
      <c r="E363" s="175"/>
      <c r="F363" s="175"/>
    </row>
    <row r="364" spans="1:6" ht="15.75" x14ac:dyDescent="0.75">
      <c r="A364" s="175"/>
      <c r="B364" s="158"/>
      <c r="C364" s="175"/>
      <c r="D364" s="72" t="s">
        <v>587</v>
      </c>
      <c r="E364" s="175"/>
      <c r="F364" s="175"/>
    </row>
    <row r="365" spans="1:6" ht="16.5" thickBot="1" x14ac:dyDescent="0.9">
      <c r="A365" s="172"/>
      <c r="B365" s="159"/>
      <c r="C365" s="172"/>
      <c r="D365" s="62" t="s">
        <v>588</v>
      </c>
      <c r="E365" s="172"/>
      <c r="F365" s="172"/>
    </row>
    <row r="366" spans="1:6" ht="15.75" x14ac:dyDescent="0.75">
      <c r="A366" s="171" t="s">
        <v>857</v>
      </c>
      <c r="B366" s="157" t="s">
        <v>858</v>
      </c>
      <c r="C366" s="171" t="s">
        <v>859</v>
      </c>
      <c r="D366" s="72" t="s">
        <v>309</v>
      </c>
      <c r="E366" s="171" t="s">
        <v>131</v>
      </c>
      <c r="F366" s="171" t="s">
        <v>23</v>
      </c>
    </row>
    <row r="367" spans="1:6" ht="15.75" x14ac:dyDescent="0.75">
      <c r="A367" s="175"/>
      <c r="B367" s="158"/>
      <c r="C367" s="175"/>
      <c r="D367" s="72" t="s">
        <v>326</v>
      </c>
      <c r="E367" s="175"/>
      <c r="F367" s="175"/>
    </row>
    <row r="368" spans="1:6" ht="16.5" thickBot="1" x14ac:dyDescent="0.9">
      <c r="A368" s="172"/>
      <c r="B368" s="159"/>
      <c r="C368" s="172"/>
      <c r="D368" s="62" t="s">
        <v>364</v>
      </c>
      <c r="E368" s="172"/>
      <c r="F368" s="172"/>
    </row>
    <row r="369" spans="1:6" ht="48" thickBot="1" x14ac:dyDescent="0.9">
      <c r="A369" s="63" t="s">
        <v>860</v>
      </c>
      <c r="B369" s="67" t="s">
        <v>590</v>
      </c>
      <c r="C369" s="62" t="s">
        <v>861</v>
      </c>
      <c r="D369" s="65"/>
      <c r="E369" s="62" t="s">
        <v>131</v>
      </c>
      <c r="F369" s="62" t="s">
        <v>23</v>
      </c>
    </row>
    <row r="370" spans="1:6" ht="79.5" thickBot="1" x14ac:dyDescent="0.9">
      <c r="A370" s="57" t="s">
        <v>862</v>
      </c>
      <c r="B370" s="61" t="s">
        <v>863</v>
      </c>
      <c r="C370" s="62" t="s">
        <v>864</v>
      </c>
      <c r="D370" s="65"/>
      <c r="E370" s="62" t="s">
        <v>117</v>
      </c>
      <c r="F370" s="62" t="s">
        <v>23</v>
      </c>
    </row>
    <row r="371" spans="1:6" x14ac:dyDescent="0.75">
      <c r="A371" s="171" t="s">
        <v>865</v>
      </c>
      <c r="B371" s="163" t="s">
        <v>546</v>
      </c>
      <c r="C371" s="171" t="s">
        <v>547</v>
      </c>
      <c r="D371" s="97" t="s">
        <v>326</v>
      </c>
      <c r="E371" s="171" t="s">
        <v>110</v>
      </c>
      <c r="F371" s="171" t="s">
        <v>111</v>
      </c>
    </row>
    <row r="372" spans="1:6" ht="15.5" thickBot="1" x14ac:dyDescent="0.9">
      <c r="A372" s="172"/>
      <c r="B372" s="164"/>
      <c r="C372" s="172"/>
      <c r="D372" s="66" t="s">
        <v>550</v>
      </c>
      <c r="E372" s="172"/>
      <c r="F372" s="172"/>
    </row>
    <row r="373" spans="1:6" ht="32.25" thickBot="1" x14ac:dyDescent="0.9">
      <c r="A373" s="63" t="s">
        <v>866</v>
      </c>
      <c r="B373" s="67" t="s">
        <v>552</v>
      </c>
      <c r="C373" s="62" t="s">
        <v>553</v>
      </c>
      <c r="D373" s="65"/>
      <c r="E373" s="62" t="s">
        <v>142</v>
      </c>
      <c r="F373" s="62" t="s">
        <v>139</v>
      </c>
    </row>
    <row r="374" spans="1:6" ht="16.5" thickBot="1" x14ac:dyDescent="0.9">
      <c r="A374" s="63" t="s">
        <v>867</v>
      </c>
      <c r="B374" s="67" t="s">
        <v>555</v>
      </c>
      <c r="C374" s="62" t="s">
        <v>556</v>
      </c>
      <c r="D374" s="65"/>
      <c r="E374" s="62" t="s">
        <v>110</v>
      </c>
      <c r="F374" s="62" t="s">
        <v>23</v>
      </c>
    </row>
    <row r="375" spans="1:6" ht="48" thickBot="1" x14ac:dyDescent="0.9">
      <c r="A375" s="63" t="s">
        <v>868</v>
      </c>
      <c r="B375" s="67" t="s">
        <v>343</v>
      </c>
      <c r="C375" s="62" t="s">
        <v>558</v>
      </c>
      <c r="D375" s="65"/>
      <c r="E375" s="62" t="s">
        <v>142</v>
      </c>
      <c r="F375" s="62" t="s">
        <v>23</v>
      </c>
    </row>
    <row r="376" spans="1:6" ht="15.75" x14ac:dyDescent="0.75">
      <c r="A376" s="171" t="s">
        <v>869</v>
      </c>
      <c r="B376" s="157" t="s">
        <v>560</v>
      </c>
      <c r="C376" s="171" t="s">
        <v>561</v>
      </c>
      <c r="D376" s="72" t="s">
        <v>309</v>
      </c>
      <c r="E376" s="171" t="s">
        <v>142</v>
      </c>
      <c r="F376" s="171" t="s">
        <v>139</v>
      </c>
    </row>
    <row r="377" spans="1:6" ht="15.75" x14ac:dyDescent="0.75">
      <c r="A377" s="175"/>
      <c r="B377" s="158"/>
      <c r="C377" s="175"/>
      <c r="D377" s="72" t="s">
        <v>326</v>
      </c>
      <c r="E377" s="175"/>
      <c r="F377" s="175"/>
    </row>
    <row r="378" spans="1:6" ht="16.5" thickBot="1" x14ac:dyDescent="0.9">
      <c r="A378" s="172"/>
      <c r="B378" s="159"/>
      <c r="C378" s="172"/>
      <c r="D378" s="62" t="s">
        <v>364</v>
      </c>
      <c r="E378" s="172"/>
      <c r="F378" s="172"/>
    </row>
    <row r="379" spans="1:6" ht="16.5" thickBot="1" x14ac:dyDescent="0.9">
      <c r="A379" s="57" t="s">
        <v>870</v>
      </c>
      <c r="B379" s="61" t="s">
        <v>871</v>
      </c>
      <c r="C379" s="179" t="s">
        <v>872</v>
      </c>
      <c r="D379" s="180"/>
      <c r="E379" s="62" t="s">
        <v>131</v>
      </c>
      <c r="F379" s="62" t="s">
        <v>139</v>
      </c>
    </row>
    <row r="380" spans="1:6" ht="16.5" thickBot="1" x14ac:dyDescent="0.9">
      <c r="A380" s="63" t="s">
        <v>873</v>
      </c>
      <c r="B380" s="67" t="s">
        <v>874</v>
      </c>
      <c r="C380" s="62" t="s">
        <v>850</v>
      </c>
      <c r="D380" s="62" t="s">
        <v>326</v>
      </c>
      <c r="E380" s="62" t="s">
        <v>131</v>
      </c>
      <c r="F380" s="62" t="s">
        <v>139</v>
      </c>
    </row>
    <row r="381" spans="1:6" ht="16.5" thickBot="1" x14ac:dyDescent="0.9">
      <c r="A381" s="63" t="s">
        <v>875</v>
      </c>
      <c r="B381" s="67" t="s">
        <v>571</v>
      </c>
      <c r="C381" s="62" t="s">
        <v>572</v>
      </c>
      <c r="D381" s="65"/>
      <c r="E381" s="62" t="s">
        <v>110</v>
      </c>
      <c r="F381" s="62" t="s">
        <v>111</v>
      </c>
    </row>
    <row r="382" spans="1:6" ht="15.75" x14ac:dyDescent="0.75">
      <c r="A382" s="171" t="s">
        <v>876</v>
      </c>
      <c r="B382" s="157" t="s">
        <v>574</v>
      </c>
      <c r="C382" s="171" t="s">
        <v>575</v>
      </c>
      <c r="D382" s="72" t="s">
        <v>326</v>
      </c>
      <c r="E382" s="171" t="s">
        <v>669</v>
      </c>
      <c r="F382" s="171" t="s">
        <v>23</v>
      </c>
    </row>
    <row r="383" spans="1:6" ht="32.25" thickBot="1" x14ac:dyDescent="0.9">
      <c r="A383" s="172"/>
      <c r="B383" s="159"/>
      <c r="C383" s="172"/>
      <c r="D383" s="62" t="s">
        <v>576</v>
      </c>
      <c r="E383" s="172"/>
      <c r="F383" s="172"/>
    </row>
    <row r="384" spans="1:6" ht="16.5" thickBot="1" x14ac:dyDescent="0.9">
      <c r="A384" s="63" t="s">
        <v>877</v>
      </c>
      <c r="B384" s="67" t="s">
        <v>578</v>
      </c>
      <c r="C384" s="62" t="s">
        <v>579</v>
      </c>
      <c r="D384" s="65"/>
      <c r="E384" s="62" t="s">
        <v>110</v>
      </c>
      <c r="F384" s="62" t="s">
        <v>23</v>
      </c>
    </row>
    <row r="385" spans="1:6" ht="15.75" x14ac:dyDescent="0.75">
      <c r="A385" s="171" t="s">
        <v>878</v>
      </c>
      <c r="B385" s="157" t="s">
        <v>581</v>
      </c>
      <c r="C385" s="171" t="s">
        <v>582</v>
      </c>
      <c r="D385" s="72" t="s">
        <v>309</v>
      </c>
      <c r="E385" s="171" t="s">
        <v>142</v>
      </c>
      <c r="F385" s="171" t="s">
        <v>23</v>
      </c>
    </row>
    <row r="386" spans="1:6" ht="15.75" x14ac:dyDescent="0.75">
      <c r="A386" s="175"/>
      <c r="B386" s="158"/>
      <c r="C386" s="175"/>
      <c r="D386" s="72" t="s">
        <v>326</v>
      </c>
      <c r="E386" s="175"/>
      <c r="F386" s="175"/>
    </row>
    <row r="387" spans="1:6" ht="16.5" thickBot="1" x14ac:dyDescent="0.9">
      <c r="A387" s="172"/>
      <c r="B387" s="159"/>
      <c r="C387" s="172"/>
      <c r="D387" s="62" t="s">
        <v>364</v>
      </c>
      <c r="E387" s="172"/>
      <c r="F387" s="172"/>
    </row>
    <row r="388" spans="1:6" ht="15.75" x14ac:dyDescent="0.75">
      <c r="A388" s="160" t="s">
        <v>879</v>
      </c>
      <c r="B388" s="160" t="s">
        <v>880</v>
      </c>
      <c r="C388" s="181" t="s">
        <v>881</v>
      </c>
      <c r="D388" s="182"/>
      <c r="E388" s="171" t="s">
        <v>131</v>
      </c>
      <c r="F388" s="171" t="s">
        <v>23</v>
      </c>
    </row>
    <row r="389" spans="1:6" ht="16.5" thickBot="1" x14ac:dyDescent="0.9">
      <c r="A389" s="162"/>
      <c r="B389" s="162"/>
      <c r="C389" s="192" t="s">
        <v>882</v>
      </c>
      <c r="D389" s="193"/>
      <c r="E389" s="172"/>
      <c r="F389" s="172"/>
    </row>
    <row r="390" spans="1:6" ht="15.75" x14ac:dyDescent="0.75">
      <c r="A390" s="171" t="s">
        <v>883</v>
      </c>
      <c r="B390" s="165" t="s">
        <v>884</v>
      </c>
      <c r="C390" s="171" t="s">
        <v>885</v>
      </c>
      <c r="D390" s="72" t="s">
        <v>309</v>
      </c>
      <c r="E390" s="171" t="s">
        <v>142</v>
      </c>
      <c r="F390" s="171" t="s">
        <v>23</v>
      </c>
    </row>
    <row r="391" spans="1:6" ht="15.75" x14ac:dyDescent="0.75">
      <c r="A391" s="175"/>
      <c r="B391" s="166"/>
      <c r="C391" s="175"/>
      <c r="D391" s="72" t="s">
        <v>326</v>
      </c>
      <c r="E391" s="175"/>
      <c r="F391" s="175"/>
    </row>
    <row r="392" spans="1:6" ht="16.5" thickBot="1" x14ac:dyDescent="0.9">
      <c r="A392" s="172"/>
      <c r="B392" s="167"/>
      <c r="C392" s="172"/>
      <c r="D392" s="62" t="s">
        <v>364</v>
      </c>
      <c r="E392" s="172"/>
      <c r="F392" s="172"/>
    </row>
    <row r="393" spans="1:6" ht="32.25" thickBot="1" x14ac:dyDescent="0.9">
      <c r="A393" s="63" t="s">
        <v>886</v>
      </c>
      <c r="B393" s="67" t="s">
        <v>887</v>
      </c>
      <c r="C393" s="62" t="s">
        <v>888</v>
      </c>
      <c r="D393" s="65"/>
      <c r="E393" s="62" t="s">
        <v>131</v>
      </c>
      <c r="F393" s="62" t="s">
        <v>23</v>
      </c>
    </row>
    <row r="394" spans="1:6" ht="32.25" thickBot="1" x14ac:dyDescent="0.9">
      <c r="A394" s="63" t="s">
        <v>889</v>
      </c>
      <c r="B394" s="67" t="s">
        <v>890</v>
      </c>
      <c r="C394" s="62" t="s">
        <v>891</v>
      </c>
      <c r="D394" s="65"/>
      <c r="E394" s="62" t="s">
        <v>110</v>
      </c>
      <c r="F394" s="62" t="s">
        <v>23</v>
      </c>
    </row>
    <row r="395" spans="1:6" ht="48" thickBot="1" x14ac:dyDescent="0.9">
      <c r="A395" s="63" t="s">
        <v>892</v>
      </c>
      <c r="B395" s="85" t="s">
        <v>893</v>
      </c>
      <c r="C395" s="62" t="s">
        <v>894</v>
      </c>
      <c r="D395" s="62" t="s">
        <v>601</v>
      </c>
      <c r="E395" s="62" t="s">
        <v>131</v>
      </c>
      <c r="F395" s="62" t="s">
        <v>139</v>
      </c>
    </row>
    <row r="396" spans="1:6" ht="15.75" x14ac:dyDescent="0.75">
      <c r="A396" s="171" t="s">
        <v>895</v>
      </c>
      <c r="B396" s="165" t="s">
        <v>896</v>
      </c>
      <c r="C396" s="171" t="s">
        <v>897</v>
      </c>
      <c r="D396" s="72" t="s">
        <v>898</v>
      </c>
      <c r="E396" s="171" t="s">
        <v>131</v>
      </c>
      <c r="F396" s="171" t="s">
        <v>139</v>
      </c>
    </row>
    <row r="397" spans="1:6" ht="16.5" thickBot="1" x14ac:dyDescent="0.9">
      <c r="A397" s="172"/>
      <c r="B397" s="167"/>
      <c r="C397" s="172"/>
      <c r="D397" s="62" t="s">
        <v>899</v>
      </c>
      <c r="E397" s="172"/>
      <c r="F397" s="172"/>
    </row>
    <row r="398" spans="1:6" ht="32.25" thickBot="1" x14ac:dyDescent="0.9">
      <c r="A398" s="63" t="s">
        <v>900</v>
      </c>
      <c r="B398" s="85" t="s">
        <v>901</v>
      </c>
      <c r="C398" s="62" t="s">
        <v>902</v>
      </c>
      <c r="D398" s="62" t="s">
        <v>812</v>
      </c>
      <c r="E398" s="62" t="s">
        <v>142</v>
      </c>
      <c r="F398" s="62" t="s">
        <v>139</v>
      </c>
    </row>
    <row r="399" spans="1:6" ht="32.25" thickBot="1" x14ac:dyDescent="0.9">
      <c r="A399" s="63" t="s">
        <v>903</v>
      </c>
      <c r="B399" s="69" t="s">
        <v>904</v>
      </c>
      <c r="C399" s="62" t="s">
        <v>905</v>
      </c>
      <c r="D399" s="65"/>
      <c r="E399" s="62" t="s">
        <v>131</v>
      </c>
      <c r="F399" s="62" t="s">
        <v>139</v>
      </c>
    </row>
    <row r="400" spans="1:6" ht="32.25" thickBot="1" x14ac:dyDescent="0.9">
      <c r="A400" s="63" t="s">
        <v>906</v>
      </c>
      <c r="B400" s="69" t="s">
        <v>811</v>
      </c>
      <c r="C400" s="62" t="s">
        <v>907</v>
      </c>
      <c r="D400" s="62" t="s">
        <v>812</v>
      </c>
      <c r="E400" s="62" t="s">
        <v>142</v>
      </c>
      <c r="F400" s="62" t="s">
        <v>139</v>
      </c>
    </row>
    <row r="401" spans="1:6" ht="32.25" thickBot="1" x14ac:dyDescent="0.9">
      <c r="A401" s="63" t="s">
        <v>908</v>
      </c>
      <c r="B401" s="69" t="s">
        <v>909</v>
      </c>
      <c r="C401" s="62" t="s">
        <v>910</v>
      </c>
      <c r="D401" s="65"/>
      <c r="E401" s="62" t="s">
        <v>142</v>
      </c>
      <c r="F401" s="62" t="s">
        <v>23</v>
      </c>
    </row>
    <row r="402" spans="1:6" ht="16.5" thickBot="1" x14ac:dyDescent="0.9">
      <c r="A402" s="57" t="s">
        <v>911</v>
      </c>
      <c r="B402" s="61" t="s">
        <v>912</v>
      </c>
      <c r="C402" s="179" t="s">
        <v>913</v>
      </c>
      <c r="D402" s="180"/>
      <c r="E402" s="62" t="s">
        <v>131</v>
      </c>
      <c r="F402" s="62" t="s">
        <v>23</v>
      </c>
    </row>
    <row r="403" spans="1:6" ht="16.5" thickBot="1" x14ac:dyDescent="0.9">
      <c r="A403" s="63" t="s">
        <v>914</v>
      </c>
      <c r="B403" s="67" t="s">
        <v>25</v>
      </c>
      <c r="C403" s="62" t="s">
        <v>915</v>
      </c>
      <c r="D403" s="65"/>
      <c r="E403" s="62" t="s">
        <v>110</v>
      </c>
      <c r="F403" s="62" t="s">
        <v>23</v>
      </c>
    </row>
    <row r="404" spans="1:6" ht="16.5" thickBot="1" x14ac:dyDescent="0.9">
      <c r="A404" s="63" t="s">
        <v>916</v>
      </c>
      <c r="B404" s="67" t="s">
        <v>917</v>
      </c>
      <c r="C404" s="62" t="s">
        <v>918</v>
      </c>
      <c r="D404" s="66" t="s">
        <v>919</v>
      </c>
      <c r="E404" s="62" t="s">
        <v>110</v>
      </c>
      <c r="F404" s="62" t="s">
        <v>23</v>
      </c>
    </row>
    <row r="405" spans="1:6" ht="16.5" thickBot="1" x14ac:dyDescent="0.9">
      <c r="A405" s="63" t="s">
        <v>920</v>
      </c>
      <c r="B405" s="67" t="s">
        <v>506</v>
      </c>
      <c r="C405" s="62" t="s">
        <v>507</v>
      </c>
      <c r="D405" s="65"/>
      <c r="E405" s="62" t="s">
        <v>142</v>
      </c>
      <c r="F405" s="62" t="s">
        <v>139</v>
      </c>
    </row>
    <row r="406" spans="1:6" ht="15.75" x14ac:dyDescent="0.75">
      <c r="A406" s="171" t="s">
        <v>921</v>
      </c>
      <c r="B406" s="157" t="s">
        <v>508</v>
      </c>
      <c r="C406" s="171" t="s">
        <v>461</v>
      </c>
      <c r="D406" s="72" t="s">
        <v>262</v>
      </c>
      <c r="E406" s="171" t="s">
        <v>110</v>
      </c>
      <c r="F406" s="171" t="s">
        <v>23</v>
      </c>
    </row>
    <row r="407" spans="1:6" ht="15.75" x14ac:dyDescent="0.75">
      <c r="A407" s="175"/>
      <c r="B407" s="158"/>
      <c r="C407" s="175"/>
      <c r="D407" s="72" t="s">
        <v>922</v>
      </c>
      <c r="E407" s="175"/>
      <c r="F407" s="175"/>
    </row>
    <row r="408" spans="1:6" ht="15.75" x14ac:dyDescent="0.75">
      <c r="A408" s="175"/>
      <c r="B408" s="158"/>
      <c r="C408" s="175"/>
      <c r="D408" s="72" t="s">
        <v>326</v>
      </c>
      <c r="E408" s="175"/>
      <c r="F408" s="175"/>
    </row>
    <row r="409" spans="1:6" ht="16.5" thickBot="1" x14ac:dyDescent="0.9">
      <c r="A409" s="172"/>
      <c r="B409" s="159"/>
      <c r="C409" s="172"/>
      <c r="D409" s="62" t="s">
        <v>923</v>
      </c>
      <c r="E409" s="172"/>
      <c r="F409" s="172"/>
    </row>
    <row r="410" spans="1:6" ht="15.75" x14ac:dyDescent="0.75">
      <c r="A410" s="171" t="s">
        <v>924</v>
      </c>
      <c r="B410" s="163" t="s">
        <v>465</v>
      </c>
      <c r="C410" s="171" t="s">
        <v>925</v>
      </c>
      <c r="D410" s="72" t="s">
        <v>326</v>
      </c>
      <c r="E410" s="171" t="s">
        <v>142</v>
      </c>
      <c r="F410" s="171" t="s">
        <v>23</v>
      </c>
    </row>
    <row r="411" spans="1:6" ht="16.5" thickBot="1" x14ac:dyDescent="0.9">
      <c r="A411" s="172"/>
      <c r="B411" s="164"/>
      <c r="C411" s="172"/>
      <c r="D411" s="62" t="s">
        <v>898</v>
      </c>
      <c r="E411" s="172"/>
      <c r="F411" s="172"/>
    </row>
    <row r="412" spans="1:6" ht="48" thickBot="1" x14ac:dyDescent="0.9">
      <c r="A412" s="63" t="s">
        <v>926</v>
      </c>
      <c r="B412" s="67" t="s">
        <v>450</v>
      </c>
      <c r="C412" s="62" t="s">
        <v>927</v>
      </c>
      <c r="D412" s="65"/>
      <c r="E412" s="62" t="s">
        <v>131</v>
      </c>
      <c r="F412" s="62" t="s">
        <v>23</v>
      </c>
    </row>
    <row r="413" spans="1:6" ht="32.25" thickBot="1" x14ac:dyDescent="0.9">
      <c r="A413" s="63" t="s">
        <v>928</v>
      </c>
      <c r="B413" s="67" t="s">
        <v>929</v>
      </c>
      <c r="C413" s="62" t="s">
        <v>930</v>
      </c>
      <c r="D413" s="65"/>
      <c r="E413" s="62" t="s">
        <v>131</v>
      </c>
      <c r="F413" s="62" t="s">
        <v>23</v>
      </c>
    </row>
    <row r="414" spans="1:6" ht="16.5" thickBot="1" x14ac:dyDescent="0.9">
      <c r="A414" s="57" t="s">
        <v>931</v>
      </c>
      <c r="B414" s="61" t="s">
        <v>932</v>
      </c>
      <c r="C414" s="179" t="s">
        <v>933</v>
      </c>
      <c r="D414" s="180"/>
      <c r="E414" s="62" t="s">
        <v>110</v>
      </c>
      <c r="F414" s="62" t="s">
        <v>111</v>
      </c>
    </row>
    <row r="415" spans="1:6" ht="32.25" thickBot="1" x14ac:dyDescent="0.9">
      <c r="A415" s="63" t="s">
        <v>934</v>
      </c>
      <c r="B415" s="67" t="s">
        <v>935</v>
      </c>
      <c r="C415" s="62" t="s">
        <v>936</v>
      </c>
      <c r="D415" s="65"/>
      <c r="E415" s="62" t="s">
        <v>117</v>
      </c>
      <c r="F415" s="62" t="s">
        <v>111</v>
      </c>
    </row>
    <row r="416" spans="1:6" ht="32.25" thickBot="1" x14ac:dyDescent="0.9">
      <c r="A416" s="63" t="s">
        <v>937</v>
      </c>
      <c r="B416" s="64" t="s">
        <v>519</v>
      </c>
      <c r="C416" s="62" t="s">
        <v>938</v>
      </c>
      <c r="D416" s="65"/>
      <c r="E416" s="62" t="s">
        <v>110</v>
      </c>
      <c r="F416" s="62" t="s">
        <v>111</v>
      </c>
    </row>
    <row r="417" spans="1:6" ht="32.25" thickBot="1" x14ac:dyDescent="0.9">
      <c r="A417" s="63" t="s">
        <v>939</v>
      </c>
      <c r="B417" s="67" t="s">
        <v>940</v>
      </c>
      <c r="C417" s="62" t="s">
        <v>941</v>
      </c>
      <c r="D417" s="65"/>
      <c r="E417" s="62" t="s">
        <v>110</v>
      </c>
      <c r="F417" s="62" t="s">
        <v>111</v>
      </c>
    </row>
    <row r="418" spans="1:6" ht="48" thickBot="1" x14ac:dyDescent="0.9">
      <c r="A418" s="63" t="s">
        <v>942</v>
      </c>
      <c r="B418" s="67" t="s">
        <v>943</v>
      </c>
      <c r="C418" s="62" t="s">
        <v>944</v>
      </c>
      <c r="D418" s="65"/>
      <c r="E418" s="62" t="s">
        <v>142</v>
      </c>
      <c r="F418" s="62" t="s">
        <v>139</v>
      </c>
    </row>
    <row r="419" spans="1:6" ht="16.5" thickBot="1" x14ac:dyDescent="0.9">
      <c r="A419" s="57" t="s">
        <v>945</v>
      </c>
      <c r="B419" s="194" t="s">
        <v>946</v>
      </c>
      <c r="C419" s="195"/>
      <c r="D419" s="196"/>
      <c r="E419" s="62" t="s">
        <v>110</v>
      </c>
      <c r="F419" s="62" t="s">
        <v>111</v>
      </c>
    </row>
    <row r="420" spans="1:6" ht="16.5" thickBot="1" x14ac:dyDescent="0.9">
      <c r="A420" s="57" t="s">
        <v>947</v>
      </c>
      <c r="B420" s="194" t="s">
        <v>446</v>
      </c>
      <c r="C420" s="195"/>
      <c r="D420" s="196"/>
      <c r="E420" s="62" t="s">
        <v>142</v>
      </c>
      <c r="F420" s="62" t="s">
        <v>139</v>
      </c>
    </row>
    <row r="421" spans="1:6" ht="16.5" thickBot="1" x14ac:dyDescent="0.9">
      <c r="A421" s="63" t="s">
        <v>948</v>
      </c>
      <c r="B421" s="67" t="s">
        <v>25</v>
      </c>
      <c r="C421" s="62" t="s">
        <v>949</v>
      </c>
      <c r="D421" s="65"/>
      <c r="E421" s="62" t="s">
        <v>110</v>
      </c>
      <c r="F421" s="62" t="s">
        <v>23</v>
      </c>
    </row>
    <row r="422" spans="1:6" ht="48" thickBot="1" x14ac:dyDescent="0.9">
      <c r="A422" s="63" t="s">
        <v>950</v>
      </c>
      <c r="B422" s="67" t="s">
        <v>450</v>
      </c>
      <c r="C422" s="62" t="s">
        <v>451</v>
      </c>
      <c r="D422" s="65"/>
      <c r="E422" s="62" t="s">
        <v>131</v>
      </c>
      <c r="F422" s="62" t="s">
        <v>23</v>
      </c>
    </row>
    <row r="423" spans="1:6" ht="15.75" x14ac:dyDescent="0.75">
      <c r="A423" s="160" t="s">
        <v>951</v>
      </c>
      <c r="B423" s="160" t="s">
        <v>453</v>
      </c>
      <c r="C423" s="181" t="s">
        <v>952</v>
      </c>
      <c r="D423" s="182"/>
      <c r="E423" s="171" t="s">
        <v>131</v>
      </c>
      <c r="F423" s="171" t="s">
        <v>139</v>
      </c>
    </row>
    <row r="424" spans="1:6" ht="15.75" x14ac:dyDescent="0.75">
      <c r="A424" s="161"/>
      <c r="B424" s="161"/>
      <c r="C424" s="190" t="s">
        <v>953</v>
      </c>
      <c r="D424" s="191"/>
      <c r="E424" s="175"/>
      <c r="F424" s="175"/>
    </row>
    <row r="425" spans="1:6" ht="16.5" thickBot="1" x14ac:dyDescent="0.9">
      <c r="A425" s="162"/>
      <c r="B425" s="162"/>
      <c r="C425" s="192" t="s">
        <v>954</v>
      </c>
      <c r="D425" s="193"/>
      <c r="E425" s="172"/>
      <c r="F425" s="172"/>
    </row>
    <row r="426" spans="1:6" ht="16.5" thickBot="1" x14ac:dyDescent="0.9">
      <c r="A426" s="63" t="s">
        <v>955</v>
      </c>
      <c r="B426" s="64" t="s">
        <v>506</v>
      </c>
      <c r="C426" s="62" t="s">
        <v>507</v>
      </c>
      <c r="D426" s="65"/>
      <c r="E426" s="62" t="s">
        <v>142</v>
      </c>
      <c r="F426" s="62" t="s">
        <v>139</v>
      </c>
    </row>
    <row r="427" spans="1:6" x14ac:dyDescent="0.75">
      <c r="A427" s="171" t="s">
        <v>956</v>
      </c>
      <c r="B427" s="163" t="s">
        <v>508</v>
      </c>
      <c r="C427" s="171" t="s">
        <v>461</v>
      </c>
      <c r="D427" s="78"/>
      <c r="E427" s="171" t="s">
        <v>110</v>
      </c>
      <c r="F427" s="171" t="s">
        <v>111</v>
      </c>
    </row>
    <row r="428" spans="1:6" ht="16.5" thickBot="1" x14ac:dyDescent="0.9">
      <c r="A428" s="172"/>
      <c r="B428" s="164"/>
      <c r="C428" s="172"/>
      <c r="D428" s="62" t="s">
        <v>326</v>
      </c>
      <c r="E428" s="172"/>
      <c r="F428" s="172"/>
    </row>
    <row r="429" spans="1:6" ht="15.75" x14ac:dyDescent="0.75">
      <c r="A429" s="171" t="s">
        <v>957</v>
      </c>
      <c r="B429" s="163" t="s">
        <v>465</v>
      </c>
      <c r="C429" s="171" t="s">
        <v>925</v>
      </c>
      <c r="D429" s="72" t="s">
        <v>326</v>
      </c>
      <c r="E429" s="171" t="s">
        <v>110</v>
      </c>
      <c r="F429" s="171" t="s">
        <v>23</v>
      </c>
    </row>
    <row r="430" spans="1:6" ht="16.5" thickBot="1" x14ac:dyDescent="0.9">
      <c r="A430" s="172"/>
      <c r="B430" s="164"/>
      <c r="C430" s="172"/>
      <c r="D430" s="62" t="s">
        <v>898</v>
      </c>
      <c r="E430" s="172"/>
      <c r="F430" s="172"/>
    </row>
    <row r="431" spans="1:6" ht="48" thickBot="1" x14ac:dyDescent="0.9">
      <c r="A431" s="63" t="s">
        <v>958</v>
      </c>
      <c r="B431" s="67" t="s">
        <v>450</v>
      </c>
      <c r="C431" s="62" t="s">
        <v>927</v>
      </c>
      <c r="D431" s="65"/>
      <c r="E431" s="62" t="s">
        <v>131</v>
      </c>
      <c r="F431" s="62" t="s">
        <v>23</v>
      </c>
    </row>
    <row r="432" spans="1:6" ht="15.75" x14ac:dyDescent="0.75">
      <c r="A432" s="160" t="s">
        <v>959</v>
      </c>
      <c r="B432" s="160" t="s">
        <v>471</v>
      </c>
      <c r="C432" s="181" t="s">
        <v>960</v>
      </c>
      <c r="D432" s="182"/>
      <c r="E432" s="171" t="s">
        <v>131</v>
      </c>
      <c r="F432" s="171" t="s">
        <v>139</v>
      </c>
    </row>
    <row r="433" spans="1:6" ht="15.75" x14ac:dyDescent="0.75">
      <c r="A433" s="161"/>
      <c r="B433" s="161"/>
      <c r="C433" s="190" t="s">
        <v>961</v>
      </c>
      <c r="D433" s="191"/>
      <c r="E433" s="175"/>
      <c r="F433" s="175"/>
    </row>
    <row r="434" spans="1:6" ht="16.5" thickBot="1" x14ac:dyDescent="0.9">
      <c r="A434" s="162"/>
      <c r="B434" s="162"/>
      <c r="C434" s="192" t="s">
        <v>962</v>
      </c>
      <c r="D434" s="193"/>
      <c r="E434" s="172"/>
      <c r="F434" s="172"/>
    </row>
    <row r="435" spans="1:6" ht="16.5" thickBot="1" x14ac:dyDescent="0.9">
      <c r="A435" s="63" t="s">
        <v>963</v>
      </c>
      <c r="B435" s="67" t="s">
        <v>506</v>
      </c>
      <c r="C435" s="62" t="s">
        <v>507</v>
      </c>
      <c r="D435" s="65"/>
      <c r="E435" s="62" t="s">
        <v>142</v>
      </c>
      <c r="F435" s="62" t="s">
        <v>139</v>
      </c>
    </row>
    <row r="436" spans="1:6" ht="48" thickBot="1" x14ac:dyDescent="0.9">
      <c r="A436" s="63" t="s">
        <v>964</v>
      </c>
      <c r="B436" s="67" t="s">
        <v>508</v>
      </c>
      <c r="C436" s="62" t="s">
        <v>461</v>
      </c>
      <c r="D436" s="62" t="s">
        <v>326</v>
      </c>
      <c r="E436" s="62" t="s">
        <v>110</v>
      </c>
      <c r="F436" s="62" t="s">
        <v>111</v>
      </c>
    </row>
    <row r="437" spans="1:6" ht="15.75" x14ac:dyDescent="0.75">
      <c r="A437" s="171" t="s">
        <v>965</v>
      </c>
      <c r="B437" s="157" t="s">
        <v>465</v>
      </c>
      <c r="C437" s="171" t="s">
        <v>925</v>
      </c>
      <c r="D437" s="72" t="s">
        <v>326</v>
      </c>
      <c r="E437" s="171" t="s">
        <v>110</v>
      </c>
      <c r="F437" s="171" t="s">
        <v>23</v>
      </c>
    </row>
    <row r="438" spans="1:6" ht="16.5" thickBot="1" x14ac:dyDescent="0.9">
      <c r="A438" s="172"/>
      <c r="B438" s="159"/>
      <c r="C438" s="172"/>
      <c r="D438" s="62" t="s">
        <v>481</v>
      </c>
      <c r="E438" s="172"/>
      <c r="F438" s="172"/>
    </row>
    <row r="439" spans="1:6" ht="48" thickBot="1" x14ac:dyDescent="0.9">
      <c r="A439" s="63" t="s">
        <v>966</v>
      </c>
      <c r="B439" s="67" t="s">
        <v>450</v>
      </c>
      <c r="C439" s="62" t="s">
        <v>927</v>
      </c>
      <c r="D439" s="65"/>
      <c r="E439" s="62" t="s">
        <v>131</v>
      </c>
      <c r="F439" s="62" t="s">
        <v>23</v>
      </c>
    </row>
    <row r="440" spans="1:6" ht="16.5" thickBot="1" x14ac:dyDescent="0.9">
      <c r="A440" s="57" t="s">
        <v>967</v>
      </c>
      <c r="B440" s="61" t="s">
        <v>484</v>
      </c>
      <c r="C440" s="179" t="s">
        <v>485</v>
      </c>
      <c r="D440" s="180"/>
      <c r="E440" s="62" t="s">
        <v>142</v>
      </c>
      <c r="F440" s="62" t="s">
        <v>139</v>
      </c>
    </row>
    <row r="441" spans="1:6" ht="32.25" thickBot="1" x14ac:dyDescent="0.9">
      <c r="A441" s="63" t="s">
        <v>968</v>
      </c>
      <c r="B441" s="67" t="s">
        <v>487</v>
      </c>
      <c r="C441" s="62" t="s">
        <v>969</v>
      </c>
      <c r="D441" s="65"/>
      <c r="E441" s="62" t="s">
        <v>110</v>
      </c>
      <c r="F441" s="62" t="s">
        <v>23</v>
      </c>
    </row>
    <row r="442" spans="1:6" ht="48" thickBot="1" x14ac:dyDescent="0.9">
      <c r="A442" s="63" t="s">
        <v>970</v>
      </c>
      <c r="B442" s="67" t="s">
        <v>450</v>
      </c>
      <c r="C442" s="62" t="s">
        <v>451</v>
      </c>
      <c r="D442" s="65"/>
      <c r="E442" s="62" t="s">
        <v>131</v>
      </c>
      <c r="F442" s="62" t="s">
        <v>23</v>
      </c>
    </row>
    <row r="443" spans="1:6" ht="15.75" x14ac:dyDescent="0.75">
      <c r="A443" s="160" t="s">
        <v>971</v>
      </c>
      <c r="B443" s="160" t="s">
        <v>972</v>
      </c>
      <c r="C443" s="181" t="s">
        <v>492</v>
      </c>
      <c r="D443" s="182"/>
      <c r="E443" s="171" t="s">
        <v>142</v>
      </c>
      <c r="F443" s="171" t="s">
        <v>23</v>
      </c>
    </row>
    <row r="444" spans="1:6" x14ac:dyDescent="0.75">
      <c r="A444" s="161"/>
      <c r="B444" s="161"/>
      <c r="C444" s="183"/>
      <c r="D444" s="184"/>
      <c r="E444" s="175"/>
      <c r="F444" s="175"/>
    </row>
    <row r="445" spans="1:6" ht="15.5" thickBot="1" x14ac:dyDescent="0.9">
      <c r="A445" s="162"/>
      <c r="B445" s="162"/>
      <c r="C445" s="185" t="s">
        <v>493</v>
      </c>
      <c r="D445" s="186"/>
      <c r="E445" s="172"/>
      <c r="F445" s="172"/>
    </row>
    <row r="446" spans="1:6" ht="16.5" thickBot="1" x14ac:dyDescent="0.9">
      <c r="A446" s="63" t="s">
        <v>973</v>
      </c>
      <c r="B446" s="67" t="s">
        <v>299</v>
      </c>
      <c r="C446" s="62" t="s">
        <v>448</v>
      </c>
      <c r="D446" s="65"/>
      <c r="E446" s="62" t="s">
        <v>110</v>
      </c>
      <c r="F446" s="62" t="s">
        <v>23</v>
      </c>
    </row>
    <row r="447" spans="1:6" ht="48" thickBot="1" x14ac:dyDescent="0.9">
      <c r="A447" s="63" t="s">
        <v>974</v>
      </c>
      <c r="B447" s="67" t="s">
        <v>450</v>
      </c>
      <c r="C447" s="62" t="s">
        <v>451</v>
      </c>
      <c r="D447" s="65"/>
      <c r="E447" s="62" t="s">
        <v>131</v>
      </c>
      <c r="F447" s="62" t="s">
        <v>23</v>
      </c>
    </row>
    <row r="448" spans="1:6" ht="48" thickBot="1" x14ac:dyDescent="0.9">
      <c r="A448" s="63" t="s">
        <v>975</v>
      </c>
      <c r="B448" s="67" t="s">
        <v>3</v>
      </c>
      <c r="C448" s="62" t="s">
        <v>497</v>
      </c>
      <c r="D448" s="65"/>
      <c r="E448" s="62" t="s">
        <v>142</v>
      </c>
      <c r="F448" s="62" t="s">
        <v>139</v>
      </c>
    </row>
    <row r="449" spans="1:6" ht="16.5" thickBot="1" x14ac:dyDescent="0.9">
      <c r="A449" s="63" t="s">
        <v>976</v>
      </c>
      <c r="B449" s="67" t="s">
        <v>499</v>
      </c>
      <c r="C449" s="62" t="s">
        <v>977</v>
      </c>
      <c r="D449" s="65"/>
      <c r="E449" s="62" t="s">
        <v>131</v>
      </c>
      <c r="F449" s="62" t="s">
        <v>23</v>
      </c>
    </row>
    <row r="450" spans="1:6" ht="16.5" thickBot="1" x14ac:dyDescent="0.9">
      <c r="A450" s="63" t="s">
        <v>978</v>
      </c>
      <c r="B450" s="67" t="s">
        <v>504</v>
      </c>
      <c r="C450" s="62" t="s">
        <v>505</v>
      </c>
      <c r="D450" s="65"/>
      <c r="E450" s="62" t="s">
        <v>142</v>
      </c>
      <c r="F450" s="62" t="s">
        <v>23</v>
      </c>
    </row>
    <row r="451" spans="1:6" ht="16.5" thickBot="1" x14ac:dyDescent="0.9">
      <c r="A451" s="63" t="s">
        <v>979</v>
      </c>
      <c r="B451" s="67" t="s">
        <v>506</v>
      </c>
      <c r="C451" s="62" t="s">
        <v>507</v>
      </c>
      <c r="D451" s="65"/>
      <c r="E451" s="62" t="s">
        <v>142</v>
      </c>
      <c r="F451" s="62" t="s">
        <v>139</v>
      </c>
    </row>
    <row r="452" spans="1:6" ht="48" thickBot="1" x14ac:dyDescent="0.9">
      <c r="A452" s="63" t="s">
        <v>980</v>
      </c>
      <c r="B452" s="67" t="s">
        <v>508</v>
      </c>
      <c r="C452" s="62" t="s">
        <v>461</v>
      </c>
      <c r="D452" s="62" t="s">
        <v>509</v>
      </c>
      <c r="E452" s="62" t="s">
        <v>110</v>
      </c>
      <c r="F452" s="62" t="s">
        <v>23</v>
      </c>
    </row>
    <row r="453" spans="1:6" ht="79.5" thickBot="1" x14ac:dyDescent="0.9">
      <c r="A453" s="63" t="s">
        <v>981</v>
      </c>
      <c r="B453" s="67" t="s">
        <v>465</v>
      </c>
      <c r="C453" s="62" t="s">
        <v>466</v>
      </c>
      <c r="D453" s="62" t="s">
        <v>509</v>
      </c>
      <c r="E453" s="62" t="s">
        <v>110</v>
      </c>
      <c r="F453" s="62" t="s">
        <v>23</v>
      </c>
    </row>
    <row r="454" spans="1:6" ht="16.5" thickBot="1" x14ac:dyDescent="0.9">
      <c r="A454" s="63" t="s">
        <v>982</v>
      </c>
      <c r="B454" s="62" t="s">
        <v>983</v>
      </c>
      <c r="C454" s="62" t="s">
        <v>984</v>
      </c>
      <c r="D454" s="65"/>
      <c r="E454" s="62" t="s">
        <v>142</v>
      </c>
      <c r="F454" s="62" t="s">
        <v>139</v>
      </c>
    </row>
    <row r="455" spans="1:6" ht="15.5" x14ac:dyDescent="0.75">
      <c r="A455" s="160" t="s">
        <v>985</v>
      </c>
      <c r="B455" s="187" t="s">
        <v>986</v>
      </c>
      <c r="C455" s="188"/>
      <c r="D455" s="189"/>
      <c r="E455" s="171" t="s">
        <v>142</v>
      </c>
      <c r="F455" s="171" t="s">
        <v>23</v>
      </c>
    </row>
    <row r="456" spans="1:6" ht="16.25" thickBot="1" x14ac:dyDescent="0.9">
      <c r="A456" s="162"/>
      <c r="B456" s="176" t="s">
        <v>987</v>
      </c>
      <c r="C456" s="177"/>
      <c r="D456" s="178"/>
      <c r="E456" s="172"/>
      <c r="F456" s="172"/>
    </row>
    <row r="457" spans="1:6" ht="16.5" thickBot="1" x14ac:dyDescent="0.9">
      <c r="A457" s="57" t="s">
        <v>988</v>
      </c>
      <c r="B457" s="122" t="s">
        <v>989</v>
      </c>
      <c r="C457" s="179" t="s">
        <v>990</v>
      </c>
      <c r="D457" s="180"/>
      <c r="E457" s="62" t="s">
        <v>131</v>
      </c>
      <c r="F457" s="62" t="s">
        <v>23</v>
      </c>
    </row>
    <row r="458" spans="1:6" ht="32.25" thickBot="1" x14ac:dyDescent="0.9">
      <c r="A458" s="63" t="s">
        <v>991</v>
      </c>
      <c r="B458" s="67" t="s">
        <v>10</v>
      </c>
      <c r="C458" s="62" t="s">
        <v>992</v>
      </c>
      <c r="D458" s="65"/>
      <c r="E458" s="62" t="s">
        <v>142</v>
      </c>
      <c r="F458" s="62" t="s">
        <v>23</v>
      </c>
    </row>
    <row r="459" spans="1:6" ht="15.75" x14ac:dyDescent="0.75">
      <c r="A459" s="171" t="s">
        <v>993</v>
      </c>
      <c r="B459" s="157" t="s">
        <v>994</v>
      </c>
      <c r="C459" s="171" t="s">
        <v>995</v>
      </c>
      <c r="D459" s="72" t="s">
        <v>562</v>
      </c>
      <c r="E459" s="171" t="s">
        <v>131</v>
      </c>
      <c r="F459" s="171" t="s">
        <v>23</v>
      </c>
    </row>
    <row r="460" spans="1:6" ht="15.75" x14ac:dyDescent="0.75">
      <c r="A460" s="175"/>
      <c r="B460" s="158"/>
      <c r="C460" s="175"/>
      <c r="D460" s="72" t="s">
        <v>326</v>
      </c>
      <c r="E460" s="175"/>
      <c r="F460" s="175"/>
    </row>
    <row r="461" spans="1:6" ht="16.5" thickBot="1" x14ac:dyDescent="0.9">
      <c r="A461" s="172"/>
      <c r="B461" s="159"/>
      <c r="C461" s="172"/>
      <c r="D461" s="62" t="s">
        <v>364</v>
      </c>
      <c r="E461" s="172"/>
      <c r="F461" s="172"/>
    </row>
    <row r="462" spans="1:6" ht="16.5" thickBot="1" x14ac:dyDescent="0.9">
      <c r="A462" s="63" t="s">
        <v>996</v>
      </c>
      <c r="B462" s="64" t="s">
        <v>3</v>
      </c>
      <c r="C462" s="62" t="s">
        <v>997</v>
      </c>
      <c r="D462" s="65"/>
      <c r="E462" s="62" t="s">
        <v>142</v>
      </c>
      <c r="F462" s="62" t="s">
        <v>23</v>
      </c>
    </row>
    <row r="463" spans="1:6" ht="32.25" thickBot="1" x14ac:dyDescent="0.9">
      <c r="A463" s="63" t="s">
        <v>998</v>
      </c>
      <c r="B463" s="67" t="s">
        <v>999</v>
      </c>
      <c r="C463" s="62" t="s">
        <v>1000</v>
      </c>
      <c r="D463" s="65"/>
      <c r="E463" s="62" t="s">
        <v>142</v>
      </c>
      <c r="F463" s="62" t="s">
        <v>23</v>
      </c>
    </row>
    <row r="464" spans="1:6" ht="16.5" thickBot="1" x14ac:dyDescent="0.9">
      <c r="A464" s="63" t="s">
        <v>1001</v>
      </c>
      <c r="B464" s="67" t="s">
        <v>1002</v>
      </c>
      <c r="C464" s="62" t="s">
        <v>1003</v>
      </c>
      <c r="D464" s="65"/>
      <c r="E464" s="62" t="s">
        <v>131</v>
      </c>
      <c r="F464" s="62" t="s">
        <v>23</v>
      </c>
    </row>
    <row r="465" spans="1:6" ht="16.5" thickBot="1" x14ac:dyDescent="0.9">
      <c r="A465" s="63" t="s">
        <v>1004</v>
      </c>
      <c r="B465" s="67" t="s">
        <v>1005</v>
      </c>
      <c r="C465" s="62" t="s">
        <v>1006</v>
      </c>
      <c r="D465" s="65"/>
      <c r="E465" s="62" t="s">
        <v>131</v>
      </c>
      <c r="F465" s="62" t="s">
        <v>139</v>
      </c>
    </row>
    <row r="466" spans="1:6" x14ac:dyDescent="0.75">
      <c r="A466" s="171" t="s">
        <v>1007</v>
      </c>
      <c r="B466" s="157" t="s">
        <v>1008</v>
      </c>
      <c r="C466" s="171" t="s">
        <v>1009</v>
      </c>
      <c r="D466" s="97" t="s">
        <v>1010</v>
      </c>
      <c r="E466" s="171" t="s">
        <v>142</v>
      </c>
      <c r="F466" s="171" t="s">
        <v>23</v>
      </c>
    </row>
    <row r="467" spans="1:6" x14ac:dyDescent="0.75">
      <c r="A467" s="175"/>
      <c r="B467" s="158"/>
      <c r="C467" s="175"/>
      <c r="D467" s="97" t="s">
        <v>1011</v>
      </c>
      <c r="E467" s="175"/>
      <c r="F467" s="175"/>
    </row>
    <row r="468" spans="1:6" x14ac:dyDescent="0.75">
      <c r="A468" s="175"/>
      <c r="B468" s="158"/>
      <c r="C468" s="175"/>
      <c r="D468" s="97" t="s">
        <v>1012</v>
      </c>
      <c r="E468" s="175"/>
      <c r="F468" s="175"/>
    </row>
    <row r="469" spans="1:6" x14ac:dyDescent="0.75">
      <c r="A469" s="175"/>
      <c r="B469" s="158"/>
      <c r="C469" s="175"/>
      <c r="D469" s="97" t="s">
        <v>1013</v>
      </c>
      <c r="E469" s="175"/>
      <c r="F469" s="175"/>
    </row>
    <row r="470" spans="1:6" x14ac:dyDescent="0.75">
      <c r="A470" s="175"/>
      <c r="B470" s="158"/>
      <c r="C470" s="175"/>
      <c r="D470" s="97" t="s">
        <v>1014</v>
      </c>
      <c r="E470" s="175"/>
      <c r="F470" s="175"/>
    </row>
    <row r="471" spans="1:6" x14ac:dyDescent="0.75">
      <c r="A471" s="175"/>
      <c r="B471" s="158"/>
      <c r="C471" s="175"/>
      <c r="D471" s="97" t="s">
        <v>1015</v>
      </c>
      <c r="E471" s="175"/>
      <c r="F471" s="175"/>
    </row>
    <row r="472" spans="1:6" x14ac:dyDescent="0.75">
      <c r="A472" s="175"/>
      <c r="B472" s="158"/>
      <c r="C472" s="175"/>
      <c r="D472" s="97" t="s">
        <v>1016</v>
      </c>
      <c r="E472" s="175"/>
      <c r="F472" s="175"/>
    </row>
    <row r="473" spans="1:6" x14ac:dyDescent="0.75">
      <c r="A473" s="175"/>
      <c r="B473" s="158"/>
      <c r="C473" s="175"/>
      <c r="D473" s="97" t="s">
        <v>1017</v>
      </c>
      <c r="E473" s="175"/>
      <c r="F473" s="175"/>
    </row>
    <row r="474" spans="1:6" ht="15.5" thickBot="1" x14ac:dyDescent="0.9">
      <c r="A474" s="172"/>
      <c r="B474" s="159"/>
      <c r="C474" s="172"/>
      <c r="D474" s="66" t="s">
        <v>1018</v>
      </c>
      <c r="E474" s="172"/>
      <c r="F474" s="172"/>
    </row>
    <row r="475" spans="1:6" ht="16.5" thickBot="1" x14ac:dyDescent="0.9">
      <c r="A475" s="63" t="s">
        <v>1019</v>
      </c>
      <c r="B475" s="67" t="s">
        <v>1020</v>
      </c>
      <c r="C475" s="62" t="s">
        <v>1021</v>
      </c>
      <c r="D475" s="65"/>
      <c r="E475" s="62" t="s">
        <v>142</v>
      </c>
      <c r="F475" s="62" t="s">
        <v>23</v>
      </c>
    </row>
    <row r="476" spans="1:6" ht="32.25" thickBot="1" x14ac:dyDescent="0.9">
      <c r="A476" s="63" t="s">
        <v>1022</v>
      </c>
      <c r="B476" s="67" t="s">
        <v>1023</v>
      </c>
      <c r="C476" s="62" t="s">
        <v>1024</v>
      </c>
      <c r="D476" s="65"/>
      <c r="E476" s="62" t="s">
        <v>131</v>
      </c>
      <c r="F476" s="62" t="s">
        <v>23</v>
      </c>
    </row>
    <row r="477" spans="1:6" ht="63.75" thickBot="1" x14ac:dyDescent="0.9">
      <c r="A477" s="63" t="s">
        <v>1025</v>
      </c>
      <c r="B477" s="69" t="s">
        <v>1026</v>
      </c>
      <c r="C477" s="62" t="s">
        <v>1027</v>
      </c>
      <c r="D477" s="65"/>
      <c r="E477" s="65"/>
      <c r="F477" s="62" t="s">
        <v>111</v>
      </c>
    </row>
    <row r="478" spans="1:6" ht="16.5" thickBot="1" x14ac:dyDescent="0.9">
      <c r="A478" s="63" t="s">
        <v>1028</v>
      </c>
      <c r="B478" s="67" t="s">
        <v>31</v>
      </c>
      <c r="C478" s="62" t="s">
        <v>1029</v>
      </c>
      <c r="D478" s="66" t="s">
        <v>1030</v>
      </c>
      <c r="E478" s="62" t="s">
        <v>110</v>
      </c>
      <c r="F478" s="62" t="s">
        <v>23</v>
      </c>
    </row>
    <row r="479" spans="1:6" ht="15.75" x14ac:dyDescent="0.75">
      <c r="A479" s="171" t="s">
        <v>1031</v>
      </c>
      <c r="B479" s="157" t="s">
        <v>884</v>
      </c>
      <c r="C479" s="171" t="s">
        <v>1032</v>
      </c>
      <c r="D479" s="72" t="s">
        <v>309</v>
      </c>
      <c r="E479" s="171" t="s">
        <v>142</v>
      </c>
      <c r="F479" s="171" t="s">
        <v>23</v>
      </c>
    </row>
    <row r="480" spans="1:6" ht="15.75" x14ac:dyDescent="0.75">
      <c r="A480" s="175"/>
      <c r="B480" s="158"/>
      <c r="C480" s="175"/>
      <c r="D480" s="72" t="s">
        <v>326</v>
      </c>
      <c r="E480" s="175"/>
      <c r="F480" s="175"/>
    </row>
    <row r="481" spans="1:6" ht="16.5" thickBot="1" x14ac:dyDescent="0.9">
      <c r="A481" s="172"/>
      <c r="B481" s="159"/>
      <c r="C481" s="172"/>
      <c r="D481" s="62" t="s">
        <v>364</v>
      </c>
      <c r="E481" s="172"/>
      <c r="F481" s="172"/>
    </row>
    <row r="482" spans="1:6" ht="16.5" thickBot="1" x14ac:dyDescent="0.9">
      <c r="A482" s="63" t="s">
        <v>1033</v>
      </c>
      <c r="B482" s="67" t="s">
        <v>1034</v>
      </c>
      <c r="C482" s="62" t="s">
        <v>1035</v>
      </c>
      <c r="D482" s="66" t="s">
        <v>1036</v>
      </c>
      <c r="E482" s="62" t="s">
        <v>142</v>
      </c>
      <c r="F482" s="62" t="s">
        <v>23</v>
      </c>
    </row>
    <row r="483" spans="1:6" ht="16.5" thickBot="1" x14ac:dyDescent="0.9">
      <c r="A483" s="63" t="s">
        <v>1037</v>
      </c>
      <c r="B483" s="67" t="s">
        <v>27</v>
      </c>
      <c r="C483" s="62" t="s">
        <v>1038</v>
      </c>
      <c r="D483" s="62" t="s">
        <v>1039</v>
      </c>
      <c r="E483" s="62" t="s">
        <v>110</v>
      </c>
      <c r="F483" s="62" t="s">
        <v>23</v>
      </c>
    </row>
    <row r="484" spans="1:6" ht="32.25" thickBot="1" x14ac:dyDescent="0.9">
      <c r="A484" s="63" t="s">
        <v>1040</v>
      </c>
      <c r="B484" s="67" t="s">
        <v>890</v>
      </c>
      <c r="C484" s="62" t="s">
        <v>891</v>
      </c>
      <c r="D484" s="65"/>
      <c r="E484" s="62" t="s">
        <v>110</v>
      </c>
      <c r="F484" s="62" t="s">
        <v>23</v>
      </c>
    </row>
    <row r="485" spans="1:6" ht="48" thickBot="1" x14ac:dyDescent="0.9">
      <c r="A485" s="63" t="s">
        <v>1041</v>
      </c>
      <c r="B485" s="69" t="s">
        <v>893</v>
      </c>
      <c r="C485" s="62" t="s">
        <v>894</v>
      </c>
      <c r="D485" s="62" t="s">
        <v>601</v>
      </c>
      <c r="E485" s="62" t="s">
        <v>131</v>
      </c>
      <c r="F485" s="62" t="s">
        <v>23</v>
      </c>
    </row>
    <row r="486" spans="1:6" ht="15.75" x14ac:dyDescent="0.75">
      <c r="A486" s="171" t="s">
        <v>1042</v>
      </c>
      <c r="B486" s="155" t="s">
        <v>896</v>
      </c>
      <c r="C486" s="171" t="s">
        <v>897</v>
      </c>
      <c r="D486" s="72" t="s">
        <v>898</v>
      </c>
      <c r="E486" s="171" t="s">
        <v>131</v>
      </c>
      <c r="F486" s="171" t="s">
        <v>23</v>
      </c>
    </row>
    <row r="487" spans="1:6" ht="16.5" thickBot="1" x14ac:dyDescent="0.9">
      <c r="A487" s="172"/>
      <c r="B487" s="156"/>
      <c r="C487" s="172"/>
      <c r="D487" s="62" t="s">
        <v>899</v>
      </c>
      <c r="E487" s="172"/>
      <c r="F487" s="172"/>
    </row>
    <row r="488" spans="1:6" ht="32.25" thickBot="1" x14ac:dyDescent="0.9">
      <c r="A488" s="63" t="s">
        <v>1043</v>
      </c>
      <c r="B488" s="69" t="s">
        <v>901</v>
      </c>
      <c r="C488" s="62" t="s">
        <v>902</v>
      </c>
      <c r="D488" s="62" t="s">
        <v>899</v>
      </c>
      <c r="E488" s="62" t="s">
        <v>142</v>
      </c>
      <c r="F488" s="62" t="s">
        <v>23</v>
      </c>
    </row>
    <row r="489" spans="1:6" ht="31.5" x14ac:dyDescent="0.75">
      <c r="A489" s="171" t="s">
        <v>1044</v>
      </c>
      <c r="B489" s="155" t="s">
        <v>904</v>
      </c>
      <c r="C489" s="72" t="s">
        <v>1045</v>
      </c>
      <c r="D489" s="173"/>
      <c r="E489" s="171" t="s">
        <v>131</v>
      </c>
      <c r="F489" s="171" t="s">
        <v>23</v>
      </c>
    </row>
    <row r="490" spans="1:6" ht="16.5" thickBot="1" x14ac:dyDescent="0.9">
      <c r="A490" s="172"/>
      <c r="B490" s="156"/>
      <c r="C490" s="62" t="s">
        <v>1046</v>
      </c>
      <c r="D490" s="174"/>
      <c r="E490" s="172"/>
      <c r="F490" s="172"/>
    </row>
    <row r="491" spans="1:6" ht="32.25" thickBot="1" x14ac:dyDescent="0.9">
      <c r="A491" s="63" t="s">
        <v>1047</v>
      </c>
      <c r="B491" s="69" t="s">
        <v>811</v>
      </c>
      <c r="C491" s="62" t="s">
        <v>1048</v>
      </c>
      <c r="D491" s="62" t="s">
        <v>899</v>
      </c>
      <c r="E491" s="62" t="s">
        <v>142</v>
      </c>
      <c r="F491" s="62" t="s">
        <v>23</v>
      </c>
    </row>
    <row r="492" spans="1:6" ht="32.25" thickBot="1" x14ac:dyDescent="0.9">
      <c r="A492" s="63" t="s">
        <v>1049</v>
      </c>
      <c r="B492" s="69" t="s">
        <v>1050</v>
      </c>
      <c r="C492" s="62" t="s">
        <v>1051</v>
      </c>
      <c r="D492" s="65"/>
      <c r="E492" s="62" t="s">
        <v>142</v>
      </c>
      <c r="F492" s="62" t="s">
        <v>23</v>
      </c>
    </row>
    <row r="493" spans="1:6" ht="63.75" thickBot="1" x14ac:dyDescent="0.9">
      <c r="A493" s="63" t="s">
        <v>1052</v>
      </c>
      <c r="B493" s="69" t="s">
        <v>1053</v>
      </c>
      <c r="C493" s="62" t="s">
        <v>1054</v>
      </c>
      <c r="D493" s="65"/>
      <c r="E493" s="62" t="s">
        <v>110</v>
      </c>
      <c r="F493" s="62" t="s">
        <v>23</v>
      </c>
    </row>
  </sheetData>
  <autoFilter ref="A1:F493" xr:uid="{00000000-0009-0000-0000-000002000000}"/>
  <mergeCells count="372">
    <mergeCell ref="F17:F19"/>
    <mergeCell ref="B24:D24"/>
    <mergeCell ref="B32:D32"/>
    <mergeCell ref="B36:D36"/>
    <mergeCell ref="B41:D41"/>
    <mergeCell ref="B2:D2"/>
    <mergeCell ref="B3:D3"/>
    <mergeCell ref="B11:D11"/>
    <mergeCell ref="B12:D12"/>
    <mergeCell ref="B15:D15"/>
    <mergeCell ref="B17:B19"/>
    <mergeCell ref="D17:D19"/>
    <mergeCell ref="B47:D47"/>
    <mergeCell ref="B53:D53"/>
    <mergeCell ref="B59:D59"/>
    <mergeCell ref="B69:D69"/>
    <mergeCell ref="B72:D72"/>
    <mergeCell ref="A77:A81"/>
    <mergeCell ref="B77:B81"/>
    <mergeCell ref="C77:C81"/>
    <mergeCell ref="E17:E19"/>
    <mergeCell ref="A17:A19"/>
    <mergeCell ref="E98:E99"/>
    <mergeCell ref="F98:F99"/>
    <mergeCell ref="A100:A102"/>
    <mergeCell ref="B100:B102"/>
    <mergeCell ref="C100:C102"/>
    <mergeCell ref="E100:E102"/>
    <mergeCell ref="F100:F102"/>
    <mergeCell ref="E77:E81"/>
    <mergeCell ref="F77:F81"/>
    <mergeCell ref="B83:D83"/>
    <mergeCell ref="A86:A88"/>
    <mergeCell ref="B86:B88"/>
    <mergeCell ref="C86:C88"/>
    <mergeCell ref="E86:E88"/>
    <mergeCell ref="F86:F88"/>
    <mergeCell ref="B107:D107"/>
    <mergeCell ref="B110:D110"/>
    <mergeCell ref="B119:D119"/>
    <mergeCell ref="A120:A122"/>
    <mergeCell ref="B120:B122"/>
    <mergeCell ref="C120:C122"/>
    <mergeCell ref="B97:D97"/>
    <mergeCell ref="A98:A99"/>
    <mergeCell ref="B98:B99"/>
    <mergeCell ref="A138:A139"/>
    <mergeCell ref="B138:B139"/>
    <mergeCell ref="C138:D138"/>
    <mergeCell ref="E138:E139"/>
    <mergeCell ref="F138:F139"/>
    <mergeCell ref="C139:D139"/>
    <mergeCell ref="E120:E122"/>
    <mergeCell ref="F120:F122"/>
    <mergeCell ref="B125:D125"/>
    <mergeCell ref="B129:D129"/>
    <mergeCell ref="B134:D134"/>
    <mergeCell ref="B135:D135"/>
    <mergeCell ref="A147:A149"/>
    <mergeCell ref="B147:B149"/>
    <mergeCell ref="C147:D147"/>
    <mergeCell ref="E147:E149"/>
    <mergeCell ref="F147:F149"/>
    <mergeCell ref="C148:D148"/>
    <mergeCell ref="C149:D149"/>
    <mergeCell ref="A141:A143"/>
    <mergeCell ref="B141:B143"/>
    <mergeCell ref="C141:C143"/>
    <mergeCell ref="E141:E143"/>
    <mergeCell ref="F141:F143"/>
    <mergeCell ref="A144:A145"/>
    <mergeCell ref="B144:B145"/>
    <mergeCell ref="C144:C145"/>
    <mergeCell ref="E144:E145"/>
    <mergeCell ref="F144:F145"/>
    <mergeCell ref="E154:E155"/>
    <mergeCell ref="F154:F155"/>
    <mergeCell ref="A160:A163"/>
    <mergeCell ref="B160:D160"/>
    <mergeCell ref="E160:E163"/>
    <mergeCell ref="F160:F163"/>
    <mergeCell ref="B161:D161"/>
    <mergeCell ref="A150:A151"/>
    <mergeCell ref="B150:B151"/>
    <mergeCell ref="C150:C151"/>
    <mergeCell ref="E150:E151"/>
    <mergeCell ref="F150:F151"/>
    <mergeCell ref="A152:A153"/>
    <mergeCell ref="B152:B153"/>
    <mergeCell ref="C152:C153"/>
    <mergeCell ref="E152:E153"/>
    <mergeCell ref="F152:F153"/>
    <mergeCell ref="B162:D162"/>
    <mergeCell ref="B163:D163"/>
    <mergeCell ref="B173:D173"/>
    <mergeCell ref="B174:D174"/>
    <mergeCell ref="C175:D175"/>
    <mergeCell ref="C176:D176"/>
    <mergeCell ref="A154:A155"/>
    <mergeCell ref="B154:B155"/>
    <mergeCell ref="C154:C155"/>
    <mergeCell ref="A177:A180"/>
    <mergeCell ref="B177:B180"/>
    <mergeCell ref="C177:C180"/>
    <mergeCell ref="E177:E180"/>
    <mergeCell ref="F177:F180"/>
    <mergeCell ref="A188:A191"/>
    <mergeCell ref="B188:B191"/>
    <mergeCell ref="C188:C191"/>
    <mergeCell ref="E188:E191"/>
    <mergeCell ref="F188:F191"/>
    <mergeCell ref="A195:A197"/>
    <mergeCell ref="B195:B197"/>
    <mergeCell ref="C195:C197"/>
    <mergeCell ref="E195:E197"/>
    <mergeCell ref="F195:F197"/>
    <mergeCell ref="A198:A199"/>
    <mergeCell ref="B198:B199"/>
    <mergeCell ref="D198:D199"/>
    <mergeCell ref="E198:E199"/>
    <mergeCell ref="F198:F199"/>
    <mergeCell ref="A200:A201"/>
    <mergeCell ref="B200:B201"/>
    <mergeCell ref="C200:C201"/>
    <mergeCell ref="E200:E201"/>
    <mergeCell ref="F200:F201"/>
    <mergeCell ref="A203:A204"/>
    <mergeCell ref="B203:B204"/>
    <mergeCell ref="C203:C204"/>
    <mergeCell ref="E203:E204"/>
    <mergeCell ref="F203:F204"/>
    <mergeCell ref="A206:A208"/>
    <mergeCell ref="B206:B208"/>
    <mergeCell ref="C206:C208"/>
    <mergeCell ref="E206:E208"/>
    <mergeCell ref="F206:F208"/>
    <mergeCell ref="A209:A212"/>
    <mergeCell ref="B209:B212"/>
    <mergeCell ref="C209:C212"/>
    <mergeCell ref="E209:E212"/>
    <mergeCell ref="F209:F212"/>
    <mergeCell ref="A215:A216"/>
    <mergeCell ref="B215:B216"/>
    <mergeCell ref="C215:C216"/>
    <mergeCell ref="E215:E216"/>
    <mergeCell ref="F215:F216"/>
    <mergeCell ref="A217:A218"/>
    <mergeCell ref="B217:B218"/>
    <mergeCell ref="C217:C218"/>
    <mergeCell ref="E217:E218"/>
    <mergeCell ref="F217:F218"/>
    <mergeCell ref="A228:A230"/>
    <mergeCell ref="B228:B230"/>
    <mergeCell ref="C228:C230"/>
    <mergeCell ref="E228:E230"/>
    <mergeCell ref="F228:F230"/>
    <mergeCell ref="A242:A244"/>
    <mergeCell ref="B242:B244"/>
    <mergeCell ref="C242:C244"/>
    <mergeCell ref="E242:E244"/>
    <mergeCell ref="F242:F244"/>
    <mergeCell ref="A245:A247"/>
    <mergeCell ref="B245:B247"/>
    <mergeCell ref="C245:C247"/>
    <mergeCell ref="E245:E247"/>
    <mergeCell ref="F245:F247"/>
    <mergeCell ref="A257:A258"/>
    <mergeCell ref="B257:B258"/>
    <mergeCell ref="C257:C258"/>
    <mergeCell ref="E257:E258"/>
    <mergeCell ref="F257:F258"/>
    <mergeCell ref="A259:A265"/>
    <mergeCell ref="B259:B265"/>
    <mergeCell ref="C259:C265"/>
    <mergeCell ref="E259:E265"/>
    <mergeCell ref="F259:F265"/>
    <mergeCell ref="A266:A275"/>
    <mergeCell ref="B266:B275"/>
    <mergeCell ref="C266:C275"/>
    <mergeCell ref="E266:E275"/>
    <mergeCell ref="F266:F275"/>
    <mergeCell ref="A278:A279"/>
    <mergeCell ref="B278:B279"/>
    <mergeCell ref="E278:E279"/>
    <mergeCell ref="F278:F279"/>
    <mergeCell ref="A287:A291"/>
    <mergeCell ref="B287:B291"/>
    <mergeCell ref="C287:C291"/>
    <mergeCell ref="E287:E291"/>
    <mergeCell ref="F287:F291"/>
    <mergeCell ref="A295:A300"/>
    <mergeCell ref="B295:B300"/>
    <mergeCell ref="C295:C300"/>
    <mergeCell ref="E295:E300"/>
    <mergeCell ref="F295:F300"/>
    <mergeCell ref="A304:A308"/>
    <mergeCell ref="B304:B308"/>
    <mergeCell ref="C304:C308"/>
    <mergeCell ref="E304:E308"/>
    <mergeCell ref="F304:F308"/>
    <mergeCell ref="A310:A329"/>
    <mergeCell ref="B310:B329"/>
    <mergeCell ref="C310:C329"/>
    <mergeCell ref="E310:E329"/>
    <mergeCell ref="F310:F329"/>
    <mergeCell ref="A332:A333"/>
    <mergeCell ref="B332:B333"/>
    <mergeCell ref="C332:C333"/>
    <mergeCell ref="E332:E333"/>
    <mergeCell ref="F332:F333"/>
    <mergeCell ref="F337:F340"/>
    <mergeCell ref="A343:A346"/>
    <mergeCell ref="B343:B346"/>
    <mergeCell ref="C343:C346"/>
    <mergeCell ref="E343:E346"/>
    <mergeCell ref="F343:F346"/>
    <mergeCell ref="B334:D334"/>
    <mergeCell ref="C335:D335"/>
    <mergeCell ref="A337:A340"/>
    <mergeCell ref="B337:B340"/>
    <mergeCell ref="C337:C340"/>
    <mergeCell ref="E337:E340"/>
    <mergeCell ref="C353:D353"/>
    <mergeCell ref="A356:A357"/>
    <mergeCell ref="B356:B357"/>
    <mergeCell ref="C356:C357"/>
    <mergeCell ref="E356:E357"/>
    <mergeCell ref="F356:F357"/>
    <mergeCell ref="A350:A351"/>
    <mergeCell ref="B350:B351"/>
    <mergeCell ref="C350:C351"/>
    <mergeCell ref="E350:E351"/>
    <mergeCell ref="F350:F351"/>
    <mergeCell ref="A352:A353"/>
    <mergeCell ref="B352:B353"/>
    <mergeCell ref="C352:D352"/>
    <mergeCell ref="E352:E353"/>
    <mergeCell ref="F352:F353"/>
    <mergeCell ref="A359:A361"/>
    <mergeCell ref="B359:B361"/>
    <mergeCell ref="C359:C361"/>
    <mergeCell ref="E359:E361"/>
    <mergeCell ref="F359:F361"/>
    <mergeCell ref="A362:A365"/>
    <mergeCell ref="B362:B365"/>
    <mergeCell ref="C362:C365"/>
    <mergeCell ref="E362:E365"/>
    <mergeCell ref="F362:F365"/>
    <mergeCell ref="A376:A378"/>
    <mergeCell ref="B376:B378"/>
    <mergeCell ref="C376:C378"/>
    <mergeCell ref="E376:E378"/>
    <mergeCell ref="F376:F378"/>
    <mergeCell ref="C379:D379"/>
    <mergeCell ref="A366:A368"/>
    <mergeCell ref="B366:B368"/>
    <mergeCell ref="C366:C368"/>
    <mergeCell ref="E366:E368"/>
    <mergeCell ref="F366:F368"/>
    <mergeCell ref="A371:A372"/>
    <mergeCell ref="B371:B372"/>
    <mergeCell ref="C371:C372"/>
    <mergeCell ref="E371:E372"/>
    <mergeCell ref="F371:F372"/>
    <mergeCell ref="A388:A389"/>
    <mergeCell ref="B388:B389"/>
    <mergeCell ref="C388:D388"/>
    <mergeCell ref="E388:E389"/>
    <mergeCell ref="F388:F389"/>
    <mergeCell ref="C389:D389"/>
    <mergeCell ref="A382:A383"/>
    <mergeCell ref="B382:B383"/>
    <mergeCell ref="C382:C383"/>
    <mergeCell ref="E382:E383"/>
    <mergeCell ref="F382:F383"/>
    <mergeCell ref="A385:A387"/>
    <mergeCell ref="B385:B387"/>
    <mergeCell ref="C385:C387"/>
    <mergeCell ref="E385:E387"/>
    <mergeCell ref="F385:F387"/>
    <mergeCell ref="F410:F411"/>
    <mergeCell ref="C414:D414"/>
    <mergeCell ref="C402:D402"/>
    <mergeCell ref="A406:A409"/>
    <mergeCell ref="B406:B409"/>
    <mergeCell ref="C406:C409"/>
    <mergeCell ref="E406:E409"/>
    <mergeCell ref="F406:F409"/>
    <mergeCell ref="A390:A392"/>
    <mergeCell ref="B390:B392"/>
    <mergeCell ref="C390:C392"/>
    <mergeCell ref="E390:E392"/>
    <mergeCell ref="F390:F392"/>
    <mergeCell ref="A396:A397"/>
    <mergeCell ref="B396:B397"/>
    <mergeCell ref="C396:C397"/>
    <mergeCell ref="E396:E397"/>
    <mergeCell ref="F396:F397"/>
    <mergeCell ref="B419:D419"/>
    <mergeCell ref="B420:D420"/>
    <mergeCell ref="A423:A425"/>
    <mergeCell ref="B423:B425"/>
    <mergeCell ref="C423:D423"/>
    <mergeCell ref="E423:E425"/>
    <mergeCell ref="A410:A411"/>
    <mergeCell ref="B410:B411"/>
    <mergeCell ref="C410:C411"/>
    <mergeCell ref="E410:E411"/>
    <mergeCell ref="F423:F425"/>
    <mergeCell ref="C424:D424"/>
    <mergeCell ref="C425:D425"/>
    <mergeCell ref="A427:A428"/>
    <mergeCell ref="B427:B428"/>
    <mergeCell ref="C427:C428"/>
    <mergeCell ref="E427:E428"/>
    <mergeCell ref="F427:F428"/>
    <mergeCell ref="C433:D433"/>
    <mergeCell ref="A429:A430"/>
    <mergeCell ref="B429:B430"/>
    <mergeCell ref="C429:C430"/>
    <mergeCell ref="E429:E430"/>
    <mergeCell ref="F429:F430"/>
    <mergeCell ref="A432:A434"/>
    <mergeCell ref="B432:B434"/>
    <mergeCell ref="C432:D432"/>
    <mergeCell ref="E432:E434"/>
    <mergeCell ref="F432:F434"/>
    <mergeCell ref="C434:D434"/>
    <mergeCell ref="F455:F456"/>
    <mergeCell ref="B456:D456"/>
    <mergeCell ref="C457:D457"/>
    <mergeCell ref="F437:F438"/>
    <mergeCell ref="C440:D440"/>
    <mergeCell ref="A443:A445"/>
    <mergeCell ref="B443:B445"/>
    <mergeCell ref="C443:D443"/>
    <mergeCell ref="E443:E445"/>
    <mergeCell ref="F443:F445"/>
    <mergeCell ref="C444:D444"/>
    <mergeCell ref="C445:D445"/>
    <mergeCell ref="A437:A438"/>
    <mergeCell ref="B437:B438"/>
    <mergeCell ref="C437:C438"/>
    <mergeCell ref="E437:E438"/>
    <mergeCell ref="A455:A456"/>
    <mergeCell ref="B455:D455"/>
    <mergeCell ref="E455:E456"/>
    <mergeCell ref="A459:A461"/>
    <mergeCell ref="B459:B461"/>
    <mergeCell ref="C459:C461"/>
    <mergeCell ref="E459:E461"/>
    <mergeCell ref="F459:F461"/>
    <mergeCell ref="A466:A474"/>
    <mergeCell ref="B466:B474"/>
    <mergeCell ref="C466:C474"/>
    <mergeCell ref="E466:E474"/>
    <mergeCell ref="F466:F474"/>
    <mergeCell ref="A489:A490"/>
    <mergeCell ref="B489:B490"/>
    <mergeCell ref="D489:D490"/>
    <mergeCell ref="E489:E490"/>
    <mergeCell ref="F489:F490"/>
    <mergeCell ref="A479:A481"/>
    <mergeCell ref="B479:B481"/>
    <mergeCell ref="C479:C481"/>
    <mergeCell ref="E479:E481"/>
    <mergeCell ref="F479:F481"/>
    <mergeCell ref="A486:A487"/>
    <mergeCell ref="B486:B487"/>
    <mergeCell ref="C486:C487"/>
    <mergeCell ref="E486:E487"/>
    <mergeCell ref="F486:F487"/>
  </mergeCells>
  <conditionalFormatting sqref="A494:C1048576">
    <cfRule type="containsBlanks" dxfId="0" priority="1">
      <formula>LEN(TRIM(A494))=0</formula>
    </cfRule>
  </conditionalFormatting>
  <hyperlinks>
    <hyperlink ref="D8" r:id="rId1" display="https://terminology.hl7.org/4.0.0/ValueSet-v3-Country2.html" xr:uid="{B1DCC45F-CC10-4B2F-AA24-3B24B301EEA0}"/>
    <hyperlink ref="D9" r:id="rId2" display="https://terminology.hl7.org/4.0.0/ValueSet-v3-AdministrativeGender.html" xr:uid="{DD47B49F-3BE4-4335-B3E4-AC7342DC9B82}"/>
    <hyperlink ref="D13" r:id="rId3" display="https://terminology.hl7.org/4.0.0/ValueSet-v3-Country2.html" xr:uid="{AD2BBFE5-6ACE-4C16-880C-7F1F68D34CCD}"/>
    <hyperlink ref="D61" r:id="rId4" display="https://terminology.hl7.org/4.0.0/ValueSet-v3-LoincDocumentOntologyInternational.html" xr:uid="{15BB19BC-47FF-4877-B286-13B1319D6044}"/>
    <hyperlink ref="D66" r:id="rId5" display="https://www.hl7.org/fhir/v3/x_BasicConfidentialityKind/vs.html" xr:uid="{E8082523-6996-43D5-8983-8C2FE2432786}"/>
    <hyperlink ref="D75" location="'Hospital Discharge Report '!A1" display="'Hospital Discharge Report '!A1" xr:uid="{FEA56EE2-A8C1-4E86-A1B1-5CA42DE9A033}"/>
    <hyperlink ref="D92" location="'Hospital Discharge Report '!A1" display="'Hospital Discharge Report '!A1" xr:uid="{193E439D-5157-4CDA-BCB1-E2534456C719}"/>
    <hyperlink ref="D108" r:id="rId6" display="https://terminology.hl7.org/3.1.0/ValueSet-v3-ActEncounterCode.html" xr:uid="{261E2B8C-A583-472C-B2E8-9A81275FC3C3}"/>
    <hyperlink ref="D111" r:id="rId7" xr:uid="{C1445ACD-2013-4F26-B2B7-0C9799590EA9}"/>
    <hyperlink ref="D115" r:id="rId8" xr:uid="{EC8C115C-B48D-41BE-8408-2D2B217F0C18}"/>
    <hyperlink ref="D127" r:id="rId9" xr:uid="{0D1ABEEB-F318-4E37-B8F5-09A57E081F63}"/>
    <hyperlink ref="D150" r:id="rId10" display="http://hl7.org/fhir/ValueSet/observation-category fixed value %22vital-signs%22" xr:uid="{823E0D85-6182-4D82-B97C-D2469FFF392A}"/>
    <hyperlink ref="D151" r:id="rId11" display="http://hl7.org/fhir/ValueSet/observation-category fixed value %22vital-signs%22" xr:uid="{1CCEC73E-4C56-4250-9160-0C24B447D6E3}"/>
    <hyperlink ref="B163" r:id="rId12" display="https://paciowg.github.io/functional-status-ig/" xr:uid="{8E1E651E-5426-406C-841C-4F8AFC6AAD7D}"/>
    <hyperlink ref="D168" r:id="rId13" xr:uid="{0C5E8965-E4FB-427A-BD94-548F2F458E5F}"/>
    <hyperlink ref="D183" r:id="rId14" display="https://www.hl7.org/fhir/codesystem-condition-clinical.html" xr:uid="{92980243-2C14-4BBE-8663-18C90436FCC5}"/>
    <hyperlink ref="D238" r:id="rId15" display="http://terminology.hl7.org/CodeSystem/v3-RoleCode" xr:uid="{4349A7AE-5BD0-4127-8ADC-D825DA809EC8}"/>
    <hyperlink ref="D241" r:id="rId16" display="https://www.hl7.org/fhir/v3/EducationLevel/cs.html" xr:uid="{CFBD9548-4183-4A84-BA89-56C0F011DC26}"/>
    <hyperlink ref="D254" r:id="rId17" display="https://www.hl7.org/fhir/v3/EducationLevel/cs.html" xr:uid="{68B7BE77-C2E6-4616-9795-B0702EEA3AD2}"/>
    <hyperlink ref="D280" r:id="rId18" display="https://www.hl7.org/fhir/valueset-marital-status.html" xr:uid="{6CB20C02-F44E-413F-89A3-AFFF3D271337}"/>
    <hyperlink ref="D349" r:id="rId19" display="https://www.hl7.org/fhir/valueset-condition-severity.html" xr:uid="{6025E07B-0BBE-4924-915E-040AEE2884F2}"/>
    <hyperlink ref="D371" r:id="rId20" display="https://ciselniky.dasta.mzcr.cz/ZobrazCiselnik?Ciselnik=ENAHRADY&amp;IdSadyDs=202240" xr:uid="{64714F8A-48ED-4F81-B9DB-6010F3BA3923}"/>
    <hyperlink ref="D372" r:id="rId21" display="https://ciselniky.dasta.mzcr.cz/ZobrazCiselnik?Ciselnik=ENAHRADY&amp;IdSadyDs=202240" xr:uid="{D97299D5-3373-49B0-BB2A-19EE41F60C6F}"/>
    <hyperlink ref="D404" r:id="rId22" display="https://www.hl7.org/fhir/valueset-observation-status.html" xr:uid="{01ABEFF6-CBE2-4B9B-996A-5C12857B8442}"/>
    <hyperlink ref="C445" r:id="rId23" display="https://paciowg.github.io/functional-status-ig/" xr:uid="{59C1FA65-1F0F-4C18-90B6-98039BE0B7AC}"/>
    <hyperlink ref="D466" r:id="rId24" display="http://hl7.org/fhir/resource-types" xr:uid="{2AA88B5A-5D90-4C05-ADCF-C50379BFD7D0}"/>
    <hyperlink ref="D467" r:id="rId25" display="http://hl7.org/fhir/resource-types" xr:uid="{6BB71A08-D7EA-414F-A9D4-0685C961D0DC}"/>
    <hyperlink ref="D468" r:id="rId26" display="http://hl7.org/fhir/resource-types" xr:uid="{79AF75FE-8E73-46CD-9053-0CA3F43C1C0A}"/>
    <hyperlink ref="D469" r:id="rId27" display="http://hl7.org/fhir/resource-types" xr:uid="{7256A6F1-1703-4C41-8F68-342B24A02F46}"/>
    <hyperlink ref="D470" r:id="rId28" display="http://hl7.org/fhir/resource-types" xr:uid="{12A7C089-0F99-40C6-A47C-41450F3B91AA}"/>
    <hyperlink ref="D471" r:id="rId29" display="http://hl7.org/fhir/resource-types" xr:uid="{8A7A8C75-D899-4E85-A5A5-1B3E6D908920}"/>
    <hyperlink ref="D472" r:id="rId30" display="http://hl7.org/fhir/resource-types" xr:uid="{E5356B95-D66B-4FED-8738-77B82D987AB3}"/>
    <hyperlink ref="D473" r:id="rId31" display="http://hl7.org/fhir/resource-types" xr:uid="{7AEB7787-192C-43EB-8A4D-209AE14B7903}"/>
    <hyperlink ref="D474" r:id="rId32" display="http://hl7.org/fhir/resource-types" xr:uid="{0B6529F7-EC42-42C6-8B31-96C77F1B0455}"/>
    <hyperlink ref="D478" r:id="rId33" display="https://www.hl7.org/fhir/codesystem-medication-statement-status.html" xr:uid="{88BC61F5-FA76-4011-B30C-DA83F32059A2}"/>
    <hyperlink ref="D482" r:id="rId34" display="https://www.hl7.org/fhir/valueset-reason-medication-status-codes.html" xr:uid="{21476422-296D-4D7F-A09E-48F58BC7E545}"/>
    <hyperlink ref="D26" r:id="rId35" display="https://ciselniky.dasta.mzcr.cz/ZobrazCiselnik?Ciselnik=EVZTAH&amp;IdSadyDs=202230" xr:uid="{EE0AC337-C4DF-40AC-93AB-D4DFD45FB9E4}"/>
    <hyperlink ref="D25" r:id="rId36" xr:uid="{20404A24-34CB-4056-98DB-9B17E25C1F72}"/>
  </hyperlinks>
  <pageMargins left="0.7" right="0.7" top="0.75" bottom="0.75" header="0.3" footer="0.3"/>
  <pageSetup paperSize="9" orientation="portrait" horizontalDpi="300" verticalDpi="300" r:id="rId37"/>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A7C8E-F7BB-48A0-9E80-159EAF4BCBAE}">
  <sheetPr codeName="Foglio29">
    <tabColor theme="7" tint="0.39997558519241921"/>
  </sheetPr>
  <dimension ref="A1:M89"/>
  <sheetViews>
    <sheetView zoomScale="115" zoomScaleNormal="115" workbookViewId="0">
      <selection activeCell="B1" sqref="B1:B104857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97</v>
      </c>
      <c r="L1" s="23" t="s">
        <v>19</v>
      </c>
    </row>
    <row r="2" spans="1:12" x14ac:dyDescent="0.75">
      <c r="J2" s="24" t="s">
        <v>18</v>
      </c>
      <c r="L2" s="24" t="s">
        <v>96</v>
      </c>
    </row>
    <row r="3" spans="1:12" ht="17.75" customHeight="1" thickBot="1" x14ac:dyDescent="0.9">
      <c r="J3" s="24" t="str">
        <f>J1</f>
        <v>//===================================================</v>
      </c>
      <c r="L3" s="24" t="str">
        <f>L1</f>
        <v>// -------------------------------------------------------------------------------</v>
      </c>
    </row>
    <row r="4" spans="1:12" x14ac:dyDescent="0.75">
      <c r="A4" s="5" t="s">
        <v>11</v>
      </c>
      <c r="B4" s="30" t="s">
        <v>1137</v>
      </c>
      <c r="J4" s="16" t="str">
        <f>CONCATENATE("Logical: ",B4)</f>
        <v>Logical: HospitalDischargeReportSK</v>
      </c>
    </row>
    <row r="5" spans="1:12" x14ac:dyDescent="0.75">
      <c r="A5" s="14" t="s">
        <v>15</v>
      </c>
      <c r="B5" s="31" t="s">
        <v>1137</v>
      </c>
      <c r="J5" s="16" t="str">
        <f>CONCATENATE("Id: ",B5)</f>
        <v>Id: HospitalDischargeReportSK</v>
      </c>
    </row>
    <row r="6" spans="1:12" x14ac:dyDescent="0.75">
      <c r="A6" s="14" t="s">
        <v>10</v>
      </c>
      <c r="B6" s="32" t="s">
        <v>1138</v>
      </c>
      <c r="J6" s="17" t="str">
        <f>CONCATENATE("Title: ##34#",B6,"##34#")</f>
        <v>Title: ##34#Hospital Discharge Report (SK)##34#</v>
      </c>
    </row>
    <row r="7" spans="1:12" ht="30.25" thickBot="1" x14ac:dyDescent="0.9">
      <c r="A7" s="26" t="s">
        <v>3</v>
      </c>
      <c r="B7" s="33" t="s">
        <v>1139</v>
      </c>
      <c r="C7" s="9" t="s">
        <v>4</v>
      </c>
      <c r="D7" s="1" t="s">
        <v>5</v>
      </c>
      <c r="E7" s="3" t="s">
        <v>6</v>
      </c>
      <c r="F7" s="3" t="s">
        <v>7</v>
      </c>
      <c r="G7" s="3" t="s">
        <v>8</v>
      </c>
      <c r="H7" s="52" t="s">
        <v>95</v>
      </c>
      <c r="J7" s="17" t="str">
        <f>CONCATENATE("Description: "," ##334#",B7,"##334#",)</f>
        <v>Description:  ##334#Hospital Discharge Report SK
Maturity Level: 0 Draft##334#</v>
      </c>
    </row>
    <row r="8" spans="1:12" ht="44.25" x14ac:dyDescent="0.75">
      <c r="A8" s="11">
        <v>0</v>
      </c>
      <c r="B8" s="11" t="s">
        <v>1117</v>
      </c>
      <c r="C8" s="12" t="s">
        <v>1099</v>
      </c>
      <c r="D8" s="12" t="s">
        <v>1099</v>
      </c>
      <c r="E8" s="11">
        <v>1</v>
      </c>
      <c r="F8" s="11">
        <v>1</v>
      </c>
      <c r="G8" s="11" t="s">
        <v>2</v>
      </c>
      <c r="H8" s="12"/>
      <c r="I8" s="25"/>
      <c r="J8" s="12" t="str">
        <f t="shared" ref="J8:J89" si="0">CONCATENATE("* ",B8, " ",E8,"..",F8," ",G8," ##34#",C8,"##34# ##334#",D8,"##334#")</f>
        <v>* header 1..1 BackboneElement ##34#A.1-Report header data element [Mandatory]##34# ##334#A.1-Report header data element [Mandatory]##334#</v>
      </c>
      <c r="L8" s="12" t="str">
        <f>IF(H8="",IF(J8="*  ..  ##34###34# ##334###334#",J8,""),IF(J8="*  ..  ##34###34# ##334###334#",J8,CONCATENATE("* ",B8," ^comment = ##334#",H8,"##334#")))</f>
        <v/>
      </c>
    </row>
    <row r="9" spans="1:12" ht="44.25" x14ac:dyDescent="0.75">
      <c r="A9" s="11">
        <v>1</v>
      </c>
      <c r="B9" s="11" t="s">
        <v>1427</v>
      </c>
      <c r="C9" s="12" t="s">
        <v>1100</v>
      </c>
      <c r="D9" s="12" t="s">
        <v>1100</v>
      </c>
      <c r="E9" s="11">
        <v>1</v>
      </c>
      <c r="F9" s="11">
        <v>1</v>
      </c>
      <c r="G9" s="11" t="s">
        <v>2</v>
      </c>
      <c r="H9" s="12"/>
      <c r="I9" s="25"/>
      <c r="J9" s="12" t="str">
        <f t="shared" si="0"/>
        <v>* header.subjectIdentification 1..1 BackboneElement ##34#A.1.1-Identification of the patient/subject [Mandatory]##34# ##334#A.1.1-Identification of the patient/subject [Mandatory]##334#</v>
      </c>
      <c r="L9" s="12" t="str">
        <f t="shared" ref="L9:L89" si="1">IF(H9="",IF(J9="*  ..  ##34###34# ##334###334#",J9,""),IF(J9="*  ..  ##34###34# ##334###334#",J9,CONCATENATE("* ",B9," ^comment = ##334#",H9,"##334#")))</f>
        <v/>
      </c>
    </row>
    <row r="10" spans="1:12" ht="59" x14ac:dyDescent="0.75">
      <c r="A10" s="11">
        <v>2</v>
      </c>
      <c r="B10" s="11" t="s">
        <v>1428</v>
      </c>
      <c r="C10" s="12" t="s">
        <v>1219</v>
      </c>
      <c r="D10" s="12" t="s">
        <v>1228</v>
      </c>
      <c r="E10" s="11">
        <v>1</v>
      </c>
      <c r="F10" s="11" t="s">
        <v>9</v>
      </c>
      <c r="G10" s="11" t="s">
        <v>1</v>
      </c>
      <c r="H10" s="12"/>
      <c r="I10" s="25"/>
      <c r="J10" s="12" t="str">
        <f t="shared" si="0"/>
        <v>* header.subjectIdentification.given 1..* string ##34#A.1.1.1-Given name [Mandatory]##34# ##334#The given name/first name of the patient (also known as forename or first name). This field can contain more than one element.  ##334#</v>
      </c>
      <c r="L10" s="12" t="str">
        <f t="shared" si="1"/>
        <v/>
      </c>
    </row>
    <row r="11" spans="1:12" ht="59" x14ac:dyDescent="0.75">
      <c r="A11" s="11">
        <v>3</v>
      </c>
      <c r="B11" s="11" t="s">
        <v>1429</v>
      </c>
      <c r="C11" s="12" t="s">
        <v>1142</v>
      </c>
      <c r="D11" s="12" t="s">
        <v>1229</v>
      </c>
      <c r="E11" s="11">
        <v>1</v>
      </c>
      <c r="F11" s="11" t="s">
        <v>9</v>
      </c>
      <c r="G11" s="11" t="s">
        <v>1</v>
      </c>
      <c r="H11" s="12"/>
      <c r="I11" s="25"/>
      <c r="J11" s="12" t="str">
        <f t="shared" si="0"/>
        <v>* header.subjectIdentification.family 1..* string ##34#A.1.1.2-Family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1430</v>
      </c>
      <c r="C12" s="12" t="s">
        <v>1220</v>
      </c>
      <c r="D12" s="12" t="s">
        <v>123</v>
      </c>
      <c r="E12" s="11">
        <v>1</v>
      </c>
      <c r="F12" s="11">
        <v>1</v>
      </c>
      <c r="G12" s="11" t="s">
        <v>1146</v>
      </c>
      <c r="H12" s="12"/>
      <c r="I12" s="25"/>
      <c r="J12" s="12" t="str">
        <f t="shared" si="0"/>
        <v>* header.subjectIdentification.birthDate 1..1 dateTime ##34#A.1.1.3-Date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1431</v>
      </c>
      <c r="C13" s="12" t="s">
        <v>1221</v>
      </c>
      <c r="D13" s="12" t="s">
        <v>1230</v>
      </c>
      <c r="E13" s="11">
        <v>1</v>
      </c>
      <c r="F13" s="11" t="s">
        <v>9</v>
      </c>
      <c r="G13" s="11" t="s">
        <v>154</v>
      </c>
      <c r="H13" s="12"/>
      <c r="I13" s="25"/>
      <c r="J13" s="12" t="str">
        <f t="shared" si="0"/>
        <v>* header.subjectIdentification.identifier 1..* Identifier ##34#A.1.1.4-Personal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1432</v>
      </c>
      <c r="C14" s="12" t="s">
        <v>1143</v>
      </c>
      <c r="D14" s="12" t="s">
        <v>129</v>
      </c>
      <c r="E14" s="11">
        <v>0</v>
      </c>
      <c r="F14" s="11" t="s">
        <v>9</v>
      </c>
      <c r="G14" s="11" t="s">
        <v>0</v>
      </c>
      <c r="H14" s="11" t="s">
        <v>130</v>
      </c>
      <c r="I14" s="25"/>
      <c r="J14" s="12" t="str">
        <f t="shared" si="0"/>
        <v>* header.subjectIdentification.nationality 0..* CodeableConcept ##34#A.1.1.5-Nationality [Required]##34# ##334#Nationality of the patient.##334#</v>
      </c>
      <c r="L14" s="12" t="str">
        <f t="shared" si="1"/>
        <v>* header.subjectIdentification.nationality ^comment = ##334#eHDSICountry (ISO 3166)##334#</v>
      </c>
    </row>
    <row r="15" spans="1:12" ht="59" x14ac:dyDescent="0.75">
      <c r="A15" s="11">
        <v>7</v>
      </c>
      <c r="B15" s="11" t="s">
        <v>1433</v>
      </c>
      <c r="C15" s="12" t="s">
        <v>1144</v>
      </c>
      <c r="D15" s="12" t="s">
        <v>1244</v>
      </c>
      <c r="E15" s="11">
        <v>1</v>
      </c>
      <c r="F15" s="11">
        <v>1</v>
      </c>
      <c r="G15" s="11" t="s">
        <v>0</v>
      </c>
      <c r="H15" s="11" t="s">
        <v>1231</v>
      </c>
      <c r="I15" s="25"/>
      <c r="J15" s="12" t="str">
        <f t="shared" si="0"/>
        <v>* header.subjectIdentification.gender 1..1 CodeableConcept ##34#A.1.1.6-Gender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1434</v>
      </c>
      <c r="C16" s="12" t="s">
        <v>1145</v>
      </c>
      <c r="D16" s="12" t="s">
        <v>1232</v>
      </c>
      <c r="E16" s="134">
        <v>0</v>
      </c>
      <c r="F16" s="134">
        <v>0</v>
      </c>
      <c r="G16" s="11" t="s">
        <v>0</v>
      </c>
      <c r="H16" s="11" t="s">
        <v>138</v>
      </c>
      <c r="I16" s="25"/>
      <c r="J16" s="12" t="str">
        <f t="shared" si="0"/>
        <v>* header.subjectIdentification.language 0..0 CodeableConcept ##34#A.1.1.7-Language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1435</v>
      </c>
      <c r="C17" s="12" t="s">
        <v>1101</v>
      </c>
      <c r="D17" s="12" t="s">
        <v>1101</v>
      </c>
      <c r="E17" s="11">
        <v>0</v>
      </c>
      <c r="F17" s="11">
        <v>1</v>
      </c>
      <c r="G17" s="11" t="s">
        <v>2</v>
      </c>
      <c r="H17" s="12"/>
      <c r="I17" s="25"/>
      <c r="J17" s="12" t="str">
        <f t="shared" si="0"/>
        <v>* header.subjectContact 0..1 BackboneElement ##34#A.1.2-Patient/subject related contact information [Required]##34# ##334#A.1.2-Patient/subject related contact information [Required]##334#</v>
      </c>
      <c r="L17" s="12" t="str">
        <f t="shared" si="1"/>
        <v/>
      </c>
    </row>
    <row r="18" spans="1:12" ht="29.5" x14ac:dyDescent="0.75">
      <c r="A18" s="11">
        <v>10</v>
      </c>
      <c r="B18" s="11" t="s">
        <v>1436</v>
      </c>
      <c r="C18" s="12" t="s">
        <v>1147</v>
      </c>
      <c r="D18" s="12" t="s">
        <v>1147</v>
      </c>
      <c r="E18" s="6">
        <v>0</v>
      </c>
      <c r="F18" s="6" t="s">
        <v>9</v>
      </c>
      <c r="G18" s="11" t="s">
        <v>2</v>
      </c>
      <c r="H18" s="12"/>
      <c r="I18" s="25"/>
      <c r="J18" s="12" t="str">
        <f t="shared" si="0"/>
        <v>* header.subjectContact.contactPoint 0..* BackboneElement ##34#A.1.2.1-Patient address []##34# ##334#A.1.2.1-Patient address []##334#</v>
      </c>
      <c r="L18" s="12" t="str">
        <f t="shared" si="1"/>
        <v/>
      </c>
    </row>
    <row r="19" spans="1:12" ht="103.25" x14ac:dyDescent="0.75">
      <c r="A19" s="11">
        <v>11</v>
      </c>
      <c r="B19" s="11" t="s">
        <v>1437</v>
      </c>
      <c r="C19" s="12" t="s">
        <v>1148</v>
      </c>
      <c r="D19" s="12" t="s">
        <v>147</v>
      </c>
      <c r="E19" s="11">
        <v>0</v>
      </c>
      <c r="F19" s="11" t="s">
        <v>9</v>
      </c>
      <c r="G19" s="11" t="s">
        <v>146</v>
      </c>
      <c r="H19" s="11" t="s">
        <v>130</v>
      </c>
      <c r="I19" s="25"/>
      <c r="J19" s="12" t="str">
        <f t="shared" si="0"/>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1438</v>
      </c>
      <c r="C20" s="12" t="s">
        <v>1149</v>
      </c>
      <c r="D20" s="12" t="s">
        <v>150</v>
      </c>
      <c r="E20" s="11">
        <v>0</v>
      </c>
      <c r="F20" s="11" t="s">
        <v>9</v>
      </c>
      <c r="G20" s="11" t="s">
        <v>1177</v>
      </c>
      <c r="H20" s="11"/>
      <c r="I20" s="25"/>
      <c r="J20" s="12" t="str">
        <f t="shared" si="0"/>
        <v>* header.subjectContact.contactPoint.telecom 0..* ContactPoint ##34#A.1.2.1.2-Telecom [Required]##34# ##334#Telecommunication contact information (addresses) associated to a person. Multiple telecommunication addresses might be provided.##334#</v>
      </c>
      <c r="L20" s="12" t="str">
        <f t="shared" si="1"/>
        <v/>
      </c>
    </row>
    <row r="21" spans="1:12" ht="88.5" x14ac:dyDescent="0.75">
      <c r="A21" s="11">
        <v>13</v>
      </c>
      <c r="B21" s="11" t="s">
        <v>1439</v>
      </c>
      <c r="C21" s="12" t="s">
        <v>1150</v>
      </c>
      <c r="D21" s="12" t="s">
        <v>1056</v>
      </c>
      <c r="E21" s="11">
        <v>0</v>
      </c>
      <c r="F21" s="11" t="s">
        <v>9</v>
      </c>
      <c r="G21" s="11" t="s">
        <v>2</v>
      </c>
      <c r="H21" s="11"/>
      <c r="I21" s="25"/>
      <c r="J21" s="12" t="str">
        <f t="shared" si="0"/>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1440</v>
      </c>
      <c r="C22" s="12" t="s">
        <v>1151</v>
      </c>
      <c r="D22" s="12" t="s">
        <v>1233</v>
      </c>
      <c r="E22" s="11">
        <v>0</v>
      </c>
      <c r="F22" s="11" t="s">
        <v>9</v>
      </c>
      <c r="G22" s="11" t="s">
        <v>154</v>
      </c>
      <c r="H22" s="11"/>
      <c r="I22" s="25"/>
      <c r="J22" s="12" t="str">
        <f t="shared" si="0"/>
        <v>* header.subjectContact.contactPoint.preferredHP.identifier 0..* Identifier ##34#A.1.2.2.1-Identifier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1441</v>
      </c>
      <c r="C23" s="12" t="s">
        <v>1152</v>
      </c>
      <c r="D23" s="12" t="s">
        <v>1057</v>
      </c>
      <c r="E23" s="11">
        <v>1</v>
      </c>
      <c r="F23" s="11" t="s">
        <v>35</v>
      </c>
      <c r="G23" s="11" t="s">
        <v>1176</v>
      </c>
      <c r="H23" s="11"/>
      <c r="I23" s="25"/>
      <c r="J23" s="12" t="str">
        <f t="shared" si="0"/>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1442</v>
      </c>
      <c r="C24" s="12" t="s">
        <v>1153</v>
      </c>
      <c r="D24" s="12" t="s">
        <v>163</v>
      </c>
      <c r="E24" s="11">
        <v>0</v>
      </c>
      <c r="F24" s="11" t="s">
        <v>9</v>
      </c>
      <c r="G24" s="11" t="s">
        <v>0</v>
      </c>
      <c r="H24" s="11" t="s">
        <v>164</v>
      </c>
      <c r="I24" s="25"/>
      <c r="J24" s="12" t="str">
        <f t="shared" si="0"/>
        <v>* header.subjectContact.contactPoint.preferredHP.role 0..* CodeableConcept ##34#A.1.2.2.3-Role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1443</v>
      </c>
      <c r="C25" s="12" t="s">
        <v>1154</v>
      </c>
      <c r="D25" s="12" t="s">
        <v>167</v>
      </c>
      <c r="E25" s="11">
        <v>0</v>
      </c>
      <c r="F25" s="11" t="s">
        <v>35</v>
      </c>
      <c r="G25" s="11" t="s">
        <v>2</v>
      </c>
      <c r="H25" s="11"/>
      <c r="I25" s="25"/>
      <c r="J25" s="12" t="str">
        <f t="shared" si="0"/>
        <v>* header.subjectContact.contactPoint.preferredHP.organization 0..1 BackboneElement ##34#A.1.2.2.4-HP Organisation [Required]##34# ##334#Healthcare Professional Organisation##334#</v>
      </c>
      <c r="L25" s="12" t="str">
        <f t="shared" si="1"/>
        <v/>
      </c>
    </row>
    <row r="26" spans="1:12" ht="103.25" x14ac:dyDescent="0.75">
      <c r="A26" s="11">
        <v>18</v>
      </c>
      <c r="B26" s="11" t="s">
        <v>1444</v>
      </c>
      <c r="C26" s="12" t="s">
        <v>1155</v>
      </c>
      <c r="D26" s="12" t="s">
        <v>147</v>
      </c>
      <c r="E26" s="11">
        <v>0</v>
      </c>
      <c r="F26" s="11" t="s">
        <v>35</v>
      </c>
      <c r="G26" s="11" t="s">
        <v>146</v>
      </c>
      <c r="H26" s="11"/>
      <c r="I26" s="25"/>
      <c r="J26" s="12" t="str">
        <f t="shared" si="0"/>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1445</v>
      </c>
      <c r="C27" s="12" t="s">
        <v>1156</v>
      </c>
      <c r="D27" s="12" t="s">
        <v>150</v>
      </c>
      <c r="E27" s="11">
        <v>0</v>
      </c>
      <c r="F27" s="11" t="s">
        <v>9</v>
      </c>
      <c r="G27" s="11" t="s">
        <v>1177</v>
      </c>
      <c r="H27" s="11"/>
      <c r="I27" s="25"/>
      <c r="J27" s="12" t="str">
        <f t="shared" si="0"/>
        <v>* header.subjectContact.contactPoint.preferredHP.telecom 0..* ContactPoint ##34#A.1.2.2.6-Telecom [Required]##34# ##334#Telecommunication contact information (addresses) associated to a person. Multiple telecommunication addresses might be provided.##334#</v>
      </c>
      <c r="L27" s="12" t="str">
        <f t="shared" si="1"/>
        <v/>
      </c>
    </row>
    <row r="28" spans="1:12" ht="44.25" x14ac:dyDescent="0.75">
      <c r="A28" s="11">
        <v>20</v>
      </c>
      <c r="B28" s="11" t="s">
        <v>1446</v>
      </c>
      <c r="C28" s="12" t="s">
        <v>1157</v>
      </c>
      <c r="D28" s="12" t="s">
        <v>1157</v>
      </c>
      <c r="E28" s="11">
        <v>0</v>
      </c>
      <c r="F28" s="11" t="s">
        <v>9</v>
      </c>
      <c r="G28" s="11" t="s">
        <v>2</v>
      </c>
      <c r="H28" s="11"/>
      <c r="I28" s="25"/>
      <c r="J28" s="12" t="str">
        <f t="shared" si="0"/>
        <v>* header.subjectContact.contactPoint.person 0..* BackboneElement ##34#A.1.2.3-Contact person/ legal guardian [Required]##34# ##334#A.1.2.3-Contact person/ legal guardian [Required]##334#</v>
      </c>
      <c r="L28" s="12" t="str">
        <f t="shared" si="1"/>
        <v/>
      </c>
    </row>
    <row r="29" spans="1:12" ht="44.25" x14ac:dyDescent="0.75">
      <c r="A29" s="11">
        <v>21</v>
      </c>
      <c r="B29" s="11" t="s">
        <v>1447</v>
      </c>
      <c r="C29" s="12" t="s">
        <v>1158</v>
      </c>
      <c r="D29" s="12" t="s">
        <v>174</v>
      </c>
      <c r="E29" s="134">
        <v>0</v>
      </c>
      <c r="F29" s="134">
        <v>0</v>
      </c>
      <c r="G29" s="11" t="s">
        <v>0</v>
      </c>
      <c r="H29" s="11" t="s">
        <v>175</v>
      </c>
      <c r="I29" s="25"/>
      <c r="J29" s="12" t="str">
        <f t="shared" si="0"/>
        <v>* header.subjectContact.contactPoint.person.role 0..0 CodeableConcept ##34#A.1.2.3.1-Role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1448</v>
      </c>
      <c r="C30" s="12" t="s">
        <v>1222</v>
      </c>
      <c r="D30" s="12" t="s">
        <v>178</v>
      </c>
      <c r="E30" s="134">
        <v>0</v>
      </c>
      <c r="F30" s="134">
        <v>0</v>
      </c>
      <c r="G30" s="11" t="s">
        <v>0</v>
      </c>
      <c r="H30" s="11" t="s">
        <v>179</v>
      </c>
      <c r="I30" s="25"/>
      <c r="J30" s="12" t="str">
        <f t="shared" si="0"/>
        <v>* header.subjectContact.contactPoint.person.relationship 0..0 CodeableConcept ##34#A.1.2.3.2-Relationship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1449</v>
      </c>
      <c r="C31" s="12" t="s">
        <v>1159</v>
      </c>
      <c r="D31" s="12" t="s">
        <v>1234</v>
      </c>
      <c r="E31" s="134">
        <v>0</v>
      </c>
      <c r="F31" s="134">
        <v>0</v>
      </c>
      <c r="G31" s="11" t="s">
        <v>154</v>
      </c>
      <c r="H31" s="12"/>
      <c r="I31" s="25"/>
      <c r="J31" s="12" t="str">
        <f t="shared" si="0"/>
        <v>* header.subjectContact.contactPoint.person.identifier 0..0 Identifier ##34#A.1.2.3.3-Identifier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1450</v>
      </c>
      <c r="C32" s="12" t="s">
        <v>1160</v>
      </c>
      <c r="D32" s="12" t="s">
        <v>184</v>
      </c>
      <c r="E32" s="11">
        <v>1</v>
      </c>
      <c r="F32" s="11" t="s">
        <v>9</v>
      </c>
      <c r="G32" s="11" t="s">
        <v>1</v>
      </c>
      <c r="H32" s="12"/>
      <c r="I32" s="25"/>
      <c r="J32" s="12" t="str">
        <f t="shared" si="0"/>
        <v>* header.subjectContact.contactPoint.person.given 1..* string ##34#A.1.2.3.4-Given name [Mandatory]##34# ##334#The first name of the contact person/guardian (example: Peter). This field can contain more than one element.##334#</v>
      </c>
      <c r="L32" s="12" t="str">
        <f t="shared" si="1"/>
        <v/>
      </c>
    </row>
    <row r="33" spans="1:12" ht="44.25" x14ac:dyDescent="0.75">
      <c r="A33" s="11">
        <v>25</v>
      </c>
      <c r="B33" s="11" t="s">
        <v>1451</v>
      </c>
      <c r="C33" s="12" t="s">
        <v>1161</v>
      </c>
      <c r="D33" s="12" t="s">
        <v>186</v>
      </c>
      <c r="E33" s="11">
        <v>1</v>
      </c>
      <c r="F33" s="11" t="s">
        <v>9</v>
      </c>
      <c r="G33" s="11" t="s">
        <v>1</v>
      </c>
      <c r="H33" s="12"/>
      <c r="I33" s="25"/>
      <c r="J33" s="12" t="str">
        <f t="shared" si="0"/>
        <v>* header.subjectContact.contactPoint.person.name 1..* string ##34#A.1.2.3.5-Family name/surname [Mandatory]##34# ##334#This field can contain more than one element. Example: Español Smith##334#</v>
      </c>
      <c r="L33" s="12" t="str">
        <f t="shared" si="1"/>
        <v/>
      </c>
    </row>
    <row r="34" spans="1:12" ht="103.25" x14ac:dyDescent="0.75">
      <c r="A34" s="11">
        <v>26</v>
      </c>
      <c r="B34" s="11" t="s">
        <v>1452</v>
      </c>
      <c r="C34" s="12" t="s">
        <v>1162</v>
      </c>
      <c r="D34" s="12" t="s">
        <v>188</v>
      </c>
      <c r="E34" s="134">
        <v>0</v>
      </c>
      <c r="F34" s="134">
        <v>0</v>
      </c>
      <c r="G34" s="11" t="s">
        <v>146</v>
      </c>
      <c r="H34" s="12"/>
      <c r="I34" s="25"/>
      <c r="J34" s="12" t="str">
        <f t="shared" si="0"/>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1453</v>
      </c>
      <c r="C35" s="12" t="s">
        <v>1163</v>
      </c>
      <c r="D35" s="12" t="s">
        <v>150</v>
      </c>
      <c r="E35" s="134">
        <v>0</v>
      </c>
      <c r="F35" s="134">
        <v>0</v>
      </c>
      <c r="G35" s="11" t="s">
        <v>1177</v>
      </c>
      <c r="H35" s="12"/>
      <c r="I35" s="25"/>
      <c r="J35" s="12" t="str">
        <f t="shared" si="0"/>
        <v>* header.subjectContact.contactPoint.person.telecom 0..0 ContactPoint ##34#A.1.2.3.7-Telecom [Required]##34# ##334#Telecommunication contact information (addresses) associated to a person. Multiple telecommunication addresses might be provided.##334#</v>
      </c>
      <c r="L35" s="12" t="str">
        <f t="shared" si="1"/>
        <v/>
      </c>
    </row>
    <row r="36" spans="1:12" ht="73.75" x14ac:dyDescent="0.75">
      <c r="A36" s="11">
        <v>28</v>
      </c>
      <c r="B36" s="11" t="s">
        <v>1121</v>
      </c>
      <c r="C36" s="12" t="s">
        <v>1102</v>
      </c>
      <c r="D36" s="12" t="s">
        <v>1235</v>
      </c>
      <c r="E36" s="11">
        <v>0</v>
      </c>
      <c r="F36" s="11">
        <v>1</v>
      </c>
      <c r="G36" s="11" t="s">
        <v>2</v>
      </c>
      <c r="H36" s="12"/>
      <c r="I36" s="25"/>
      <c r="J36" s="12" t="str">
        <f t="shared" si="0"/>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1169</v>
      </c>
      <c r="C37" s="12" t="s">
        <v>1164</v>
      </c>
      <c r="D37" s="12" t="s">
        <v>194</v>
      </c>
      <c r="E37" s="11">
        <v>0</v>
      </c>
      <c r="F37" s="11" t="s">
        <v>35</v>
      </c>
      <c r="G37" s="11" t="s">
        <v>154</v>
      </c>
      <c r="H37" s="12"/>
      <c r="I37" s="25"/>
      <c r="J37" s="12" t="str">
        <f t="shared" si="0"/>
        <v>* header.payer.insuranceCode 0..1 Identifier ##34#A.1.3.1-Health insurance code [Mandatory]##34# ##334#Unique health insurance company identification code.##334#</v>
      </c>
      <c r="L37" s="12" t="str">
        <f t="shared" si="1"/>
        <v/>
      </c>
    </row>
    <row r="38" spans="1:12" ht="44.25" x14ac:dyDescent="0.75">
      <c r="A38" s="11">
        <v>30</v>
      </c>
      <c r="B38" s="11" t="s">
        <v>1171</v>
      </c>
      <c r="C38" s="12" t="s">
        <v>1165</v>
      </c>
      <c r="D38" s="12" t="s">
        <v>197</v>
      </c>
      <c r="E38" s="11">
        <v>0</v>
      </c>
      <c r="F38" s="11" t="s">
        <v>35</v>
      </c>
      <c r="G38" s="11" t="s">
        <v>1</v>
      </c>
      <c r="H38" s="12"/>
      <c r="I38" s="25"/>
      <c r="J38" s="12" t="str">
        <f t="shared" si="0"/>
        <v>* header.payer.insuranceName 0..1 string ##34#A.1.3.2-Health insurance name [Required]##34# ##334#Full, official name of the healthcare insurance provider.##334#</v>
      </c>
      <c r="L38" s="12" t="str">
        <f t="shared" si="1"/>
        <v/>
      </c>
    </row>
    <row r="39" spans="1:12" ht="44.25" x14ac:dyDescent="0.75">
      <c r="A39" s="11">
        <v>31</v>
      </c>
      <c r="B39" s="11" t="s">
        <v>1170</v>
      </c>
      <c r="C39" s="12" t="s">
        <v>1166</v>
      </c>
      <c r="D39" s="12" t="s">
        <v>200</v>
      </c>
      <c r="E39" s="11">
        <v>0</v>
      </c>
      <c r="F39" s="11" t="s">
        <v>35</v>
      </c>
      <c r="G39" s="11" t="s">
        <v>154</v>
      </c>
      <c r="H39" s="12"/>
      <c r="I39" s="25"/>
      <c r="J39" s="12" t="str">
        <f t="shared" si="0"/>
        <v>* header.payer.insuranceNumber 0..1 Identifier ##34#A.1.3.3-Health insurance number [Mandatory]##34# ##334#Number or code under which the insured person is registered at the insurance provider.##334#</v>
      </c>
      <c r="L39" s="12" t="str">
        <f t="shared" si="1"/>
        <v/>
      </c>
    </row>
    <row r="40" spans="1:12" ht="59" x14ac:dyDescent="0.75">
      <c r="A40" s="11">
        <v>32</v>
      </c>
      <c r="B40" s="11" t="s">
        <v>1122</v>
      </c>
      <c r="C40" s="12" t="s">
        <v>1103</v>
      </c>
      <c r="D40" s="12" t="s">
        <v>1118</v>
      </c>
      <c r="E40" s="134">
        <v>0</v>
      </c>
      <c r="F40" s="134">
        <v>0</v>
      </c>
      <c r="G40" s="11" t="s">
        <v>2</v>
      </c>
      <c r="H40" s="12"/>
      <c r="I40" s="25"/>
      <c r="J40" s="12" t="str">
        <f t="shared" si="0"/>
        <v>* header.informationRecipient 0..0 BackboneElement ##34#A.1.4-Information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1173</v>
      </c>
      <c r="C41" s="12" t="s">
        <v>1167</v>
      </c>
      <c r="D41" s="12" t="s">
        <v>1236</v>
      </c>
      <c r="E41" s="134">
        <v>0</v>
      </c>
      <c r="F41" s="134">
        <v>0</v>
      </c>
      <c r="G41" s="11" t="s">
        <v>154</v>
      </c>
      <c r="H41" s="12"/>
      <c r="I41" s="25"/>
      <c r="J41" s="12" t="str">
        <f t="shared" si="0"/>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1172</v>
      </c>
      <c r="C42" s="12" t="s">
        <v>1168</v>
      </c>
      <c r="D42" s="12" t="s">
        <v>208</v>
      </c>
      <c r="E42" s="134">
        <v>0</v>
      </c>
      <c r="F42" s="134">
        <v>0</v>
      </c>
      <c r="G42" s="11" t="s">
        <v>1176</v>
      </c>
      <c r="H42" s="12"/>
      <c r="I42" s="25"/>
      <c r="J42" s="12" t="str">
        <f t="shared" si="0"/>
        <v>* header.informationRecipient.name 0..0 HumanName ##34#A.1.4.2-Recipient name [Required]##34# ##334#Person name.##334#</v>
      </c>
      <c r="L42" s="12" t="str">
        <f t="shared" si="1"/>
        <v/>
      </c>
    </row>
    <row r="43" spans="1:12" ht="73.75" x14ac:dyDescent="0.75">
      <c r="A43" s="11">
        <v>35</v>
      </c>
      <c r="B43" s="11" t="s">
        <v>1174</v>
      </c>
      <c r="C43" s="12" t="s">
        <v>1237</v>
      </c>
      <c r="D43" s="12" t="s">
        <v>1238</v>
      </c>
      <c r="E43" s="134">
        <v>0</v>
      </c>
      <c r="F43" s="134">
        <v>0</v>
      </c>
      <c r="G43" s="11" t="s">
        <v>154</v>
      </c>
      <c r="H43" s="12"/>
      <c r="I43" s="25"/>
      <c r="J43" s="12" t="str">
        <f t="shared" si="0"/>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1175</v>
      </c>
      <c r="C44" s="12" t="s">
        <v>1223</v>
      </c>
      <c r="D44" s="12" t="s">
        <v>214</v>
      </c>
      <c r="E44" s="134">
        <v>0</v>
      </c>
      <c r="F44" s="134">
        <v>0</v>
      </c>
      <c r="G44" s="11" t="s">
        <v>2</v>
      </c>
      <c r="H44" s="12"/>
      <c r="I44" s="25"/>
      <c r="J44" s="12" t="str">
        <f t="shared" si="0"/>
        <v>* header.informationRecipient.organization 0..0 BackboneElement ##34#A.1.4.4-Recipient organization [Required]##34# ##334#The healthcare provider organization information.##334#</v>
      </c>
      <c r="L44" s="12" t="str">
        <f t="shared" si="1"/>
        <v/>
      </c>
    </row>
    <row r="45" spans="1:12" ht="44.25" x14ac:dyDescent="0.75">
      <c r="A45" s="11">
        <v>37</v>
      </c>
      <c r="B45" s="11" t="s">
        <v>1123</v>
      </c>
      <c r="C45" s="12" t="s">
        <v>1104</v>
      </c>
      <c r="D45" s="12" t="s">
        <v>216</v>
      </c>
      <c r="E45" s="11">
        <v>1</v>
      </c>
      <c r="F45" s="11" t="s">
        <v>9</v>
      </c>
      <c r="G45" s="11" t="s">
        <v>2</v>
      </c>
      <c r="H45" s="12"/>
      <c r="I45" s="25"/>
      <c r="J45" s="12" t="str">
        <f t="shared" si="0"/>
        <v>* header.author 1..* BackboneElement ##34#A.1.5-Author (by whom the Hospital discharge report was authored) [Mandatory]##34# ##334#Author (by whom the Hospital discharge report was authored)##334#</v>
      </c>
      <c r="L45" s="12" t="str">
        <f t="shared" si="1"/>
        <v/>
      </c>
    </row>
    <row r="46" spans="1:12" ht="73.75" x14ac:dyDescent="0.75">
      <c r="A46" s="11"/>
      <c r="B46" s="11" t="s">
        <v>1198</v>
      </c>
      <c r="C46" s="12" t="s">
        <v>1178</v>
      </c>
      <c r="D46" s="12" t="s">
        <v>1239</v>
      </c>
      <c r="E46" s="11">
        <v>1</v>
      </c>
      <c r="F46" s="11" t="s">
        <v>9</v>
      </c>
      <c r="G46" s="11" t="s">
        <v>154</v>
      </c>
      <c r="H46" s="12"/>
      <c r="I46" s="25"/>
      <c r="J46" s="12" t="str">
        <f t="shared" si="0"/>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c r="B47" s="11" t="s">
        <v>1199</v>
      </c>
      <c r="C47" s="12" t="s">
        <v>1179</v>
      </c>
      <c r="D47" s="12" t="s">
        <v>208</v>
      </c>
      <c r="E47" s="11">
        <v>1</v>
      </c>
      <c r="F47" s="11" t="s">
        <v>35</v>
      </c>
      <c r="G47" s="11" t="s">
        <v>1176</v>
      </c>
      <c r="H47" s="12"/>
      <c r="I47" s="25"/>
      <c r="J47" s="12" t="str">
        <f t="shared" si="0"/>
        <v>* header.author.name 1..1 HumanName ##34#A.1.5.2-Author name [Mandatory]##34# ##334#Person name.##334#</v>
      </c>
      <c r="L47" s="12" t="str">
        <f t="shared" si="1"/>
        <v/>
      </c>
    </row>
    <row r="48" spans="1:12" ht="44.25" x14ac:dyDescent="0.75">
      <c r="A48" s="11"/>
      <c r="B48" s="11" t="s">
        <v>1200</v>
      </c>
      <c r="C48" s="12" t="s">
        <v>1240</v>
      </c>
      <c r="D48" s="4" t="s">
        <v>214</v>
      </c>
      <c r="E48" s="11">
        <v>0</v>
      </c>
      <c r="F48" s="11" t="s">
        <v>9</v>
      </c>
      <c r="G48" s="11" t="s">
        <v>154</v>
      </c>
      <c r="H48" s="12"/>
      <c r="I48" s="25"/>
      <c r="J48" s="12" t="str">
        <f t="shared" si="0"/>
        <v>* header.author.organizationID 0..* Identifier ##34#A.1.5.3-Author organization ID [Required]##34# ##334#The healthcare provider organization information.##334#</v>
      </c>
      <c r="L48" s="12" t="str">
        <f t="shared" si="1"/>
        <v/>
      </c>
    </row>
    <row r="49" spans="1:12" ht="73.75" x14ac:dyDescent="0.75">
      <c r="A49" s="11"/>
      <c r="B49" s="11" t="s">
        <v>1202</v>
      </c>
      <c r="C49" s="12" t="s">
        <v>1224</v>
      </c>
      <c r="D49" s="12" t="s">
        <v>1238</v>
      </c>
      <c r="E49" s="11">
        <v>1</v>
      </c>
      <c r="F49" s="11" t="s">
        <v>35</v>
      </c>
      <c r="G49" s="11" t="s">
        <v>2</v>
      </c>
      <c r="H49" s="12"/>
      <c r="I49" s="25"/>
      <c r="J49" s="12" t="str">
        <f t="shared" si="0"/>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c r="B50" s="11" t="s">
        <v>1203</v>
      </c>
      <c r="C50" s="12" t="s">
        <v>1180</v>
      </c>
      <c r="D50" s="12" t="s">
        <v>228</v>
      </c>
      <c r="E50" s="11">
        <v>1</v>
      </c>
      <c r="F50" s="11" t="s">
        <v>35</v>
      </c>
      <c r="G50" s="11" t="s">
        <v>1146</v>
      </c>
      <c r="H50" s="12"/>
      <c r="I50" s="25"/>
      <c r="J50" s="12" t="str">
        <f t="shared" si="0"/>
        <v>* header.author.dateTime 1..1 dateTime ##34#A.1.5.5-DateTime [Mandatory]##34# ##334#Date and time of the last modification of the document by its Author.##334#</v>
      </c>
      <c r="L50" s="12" t="str">
        <f t="shared" si="1"/>
        <v/>
      </c>
    </row>
    <row r="51" spans="1:12" ht="29.5" x14ac:dyDescent="0.75">
      <c r="A51" s="11">
        <v>38</v>
      </c>
      <c r="B51" s="11" t="s">
        <v>1124</v>
      </c>
      <c r="C51" s="12" t="s">
        <v>1225</v>
      </c>
      <c r="D51" s="12" t="s">
        <v>1225</v>
      </c>
      <c r="E51" s="11">
        <v>0</v>
      </c>
      <c r="F51" s="11" t="s">
        <v>9</v>
      </c>
      <c r="G51" s="11" t="s">
        <v>2</v>
      </c>
      <c r="H51" s="12"/>
      <c r="I51" s="25"/>
      <c r="J51" s="12" t="str">
        <f t="shared" si="0"/>
        <v>* header.attester 0..* BackboneElement ##34#A.1.6-Attester [Required]##34# ##334#A.1.6-Attester [Required]##334#</v>
      </c>
      <c r="L51" s="12" t="str">
        <f t="shared" si="1"/>
        <v/>
      </c>
    </row>
    <row r="52" spans="1:12" ht="73.75" x14ac:dyDescent="0.75">
      <c r="A52" s="11"/>
      <c r="B52" s="11" t="s">
        <v>1204</v>
      </c>
      <c r="C52" s="12" t="s">
        <v>1181</v>
      </c>
      <c r="D52" s="12" t="s">
        <v>1239</v>
      </c>
      <c r="E52" s="134">
        <v>0</v>
      </c>
      <c r="F52" s="134">
        <v>0</v>
      </c>
      <c r="G52" s="11" t="s">
        <v>154</v>
      </c>
      <c r="H52" s="12"/>
      <c r="I52" s="25"/>
      <c r="J52" s="12" t="str">
        <f t="shared" si="0"/>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c r="L52" s="12" t="str">
        <f t="shared" si="1"/>
        <v/>
      </c>
    </row>
    <row r="53" spans="1:12" ht="29.5" x14ac:dyDescent="0.75">
      <c r="A53" s="11"/>
      <c r="B53" s="11" t="s">
        <v>1205</v>
      </c>
      <c r="C53" s="12" t="s">
        <v>1182</v>
      </c>
      <c r="D53" s="12" t="s">
        <v>208</v>
      </c>
      <c r="E53" s="11">
        <v>1</v>
      </c>
      <c r="F53" s="11" t="s">
        <v>35</v>
      </c>
      <c r="G53" s="11" t="s">
        <v>1176</v>
      </c>
      <c r="H53" s="12"/>
      <c r="I53" s="25"/>
      <c r="J53" s="12" t="str">
        <f t="shared" si="0"/>
        <v>* header.attester.name 1..1 HumanName ##34#A.1.6.2-Attester name [Mandatory]##34# ##334#Person name.##334#</v>
      </c>
      <c r="L53" s="12" t="str">
        <f t="shared" si="1"/>
        <v/>
      </c>
    </row>
    <row r="54" spans="1:12" ht="73.75" x14ac:dyDescent="0.75">
      <c r="A54" s="11"/>
      <c r="B54" s="132" t="s">
        <v>1201</v>
      </c>
      <c r="C54" s="12" t="s">
        <v>1241</v>
      </c>
      <c r="D54" s="12" t="s">
        <v>1238</v>
      </c>
      <c r="E54" s="134">
        <v>0</v>
      </c>
      <c r="F54" s="134">
        <v>0</v>
      </c>
      <c r="G54" s="11" t="s">
        <v>154</v>
      </c>
      <c r="H54" s="12"/>
      <c r="I54" s="25"/>
      <c r="J54" s="12" t="str">
        <f t="shared" si="0"/>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c r="B55" s="11" t="s">
        <v>1206</v>
      </c>
      <c r="C55" s="12" t="s">
        <v>1226</v>
      </c>
      <c r="D55" s="12" t="s">
        <v>214</v>
      </c>
      <c r="E55" s="134">
        <v>0</v>
      </c>
      <c r="F55" s="134">
        <v>0</v>
      </c>
      <c r="G55" s="11" t="s">
        <v>2</v>
      </c>
      <c r="H55" s="12"/>
      <c r="I55" s="25"/>
      <c r="J55" s="12" t="str">
        <f t="shared" si="0"/>
        <v>* header.attester.organization 0..0 BackboneElement ##34#A.1.6.4-Attester organization [Mandatory]##34# ##334#The healthcare provider organization information.##334#</v>
      </c>
      <c r="L55" s="12" t="str">
        <f t="shared" si="1"/>
        <v/>
      </c>
    </row>
    <row r="56" spans="1:12" ht="44.25" x14ac:dyDescent="0.75">
      <c r="A56" s="11"/>
      <c r="B56" s="11" t="s">
        <v>1207</v>
      </c>
      <c r="C56" s="12" t="s">
        <v>1183</v>
      </c>
      <c r="D56" s="12" t="s">
        <v>241</v>
      </c>
      <c r="E56" s="134">
        <v>0</v>
      </c>
      <c r="F56" s="134">
        <v>0</v>
      </c>
      <c r="G56" s="11" t="s">
        <v>1146</v>
      </c>
      <c r="H56" s="12"/>
      <c r="I56" s="25"/>
      <c r="J56" s="12" t="str">
        <f t="shared" si="0"/>
        <v>* header.attester.dateTime 0..0 dateTime ##34#A.1.6.5-Approval date and time [Mandatory]##34# ##334#Date and time of the approval of the document by Attester.##334#</v>
      </c>
      <c r="L56" s="12" t="str">
        <f t="shared" si="1"/>
        <v/>
      </c>
    </row>
    <row r="57" spans="1:12" ht="44.25" x14ac:dyDescent="0.75">
      <c r="A57" s="11">
        <v>39</v>
      </c>
      <c r="B57" s="11" t="s">
        <v>1125</v>
      </c>
      <c r="C57" s="12" t="s">
        <v>1105</v>
      </c>
      <c r="D57" s="12" t="s">
        <v>1062</v>
      </c>
      <c r="E57" s="11">
        <v>0</v>
      </c>
      <c r="F57" s="11" t="s">
        <v>35</v>
      </c>
      <c r="G57" s="11" t="s">
        <v>2</v>
      </c>
      <c r="H57" s="12"/>
      <c r="I57" s="25"/>
      <c r="J57" s="12" t="str">
        <f t="shared" si="0"/>
        <v>* header.legalAuthenticator 0..1 BackboneElement ##34#A.1.7-Legal authenticator [Required]##34# ##334#The person taking responsibility for the medical content of the document##334#</v>
      </c>
      <c r="L57" s="12" t="str">
        <f t="shared" si="1"/>
        <v/>
      </c>
    </row>
    <row r="58" spans="1:12" ht="73.75" x14ac:dyDescent="0.75">
      <c r="A58" s="11"/>
      <c r="B58" s="11" t="s">
        <v>1247</v>
      </c>
      <c r="C58" s="12" t="s">
        <v>1184</v>
      </c>
      <c r="D58" s="12" t="s">
        <v>1239</v>
      </c>
      <c r="E58" s="134">
        <v>0</v>
      </c>
      <c r="F58" s="134">
        <v>0</v>
      </c>
      <c r="G58" s="11" t="s">
        <v>154</v>
      </c>
      <c r="H58" s="12"/>
      <c r="I58" s="25"/>
      <c r="J58" s="12" t="str">
        <f t="shared" si="0"/>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c r="B59" s="11" t="s">
        <v>1248</v>
      </c>
      <c r="C59" s="12" t="s">
        <v>1185</v>
      </c>
      <c r="D59" s="12" t="s">
        <v>208</v>
      </c>
      <c r="E59" s="11">
        <v>1</v>
      </c>
      <c r="F59" s="11" t="s">
        <v>35</v>
      </c>
      <c r="G59" s="11" t="s">
        <v>1176</v>
      </c>
      <c r="H59" s="12"/>
      <c r="I59" s="25"/>
      <c r="J59" s="12" t="str">
        <f t="shared" si="0"/>
        <v>* header.legalAuthenticator.name 1..1 HumanName ##34#A.1.7.2-Legal authenticator name [Mandatory]##34# ##334#Person name.##334#</v>
      </c>
      <c r="L59" s="12" t="str">
        <f t="shared" si="1"/>
        <v/>
      </c>
    </row>
    <row r="60" spans="1:12" ht="73.75" x14ac:dyDescent="0.75">
      <c r="A60" s="11">
        <v>52</v>
      </c>
      <c r="B60" s="11" t="s">
        <v>1249</v>
      </c>
      <c r="C60" s="4" t="s">
        <v>1243</v>
      </c>
      <c r="D60" s="12" t="s">
        <v>211</v>
      </c>
      <c r="E60" s="134">
        <v>0</v>
      </c>
      <c r="F60" s="134">
        <v>0</v>
      </c>
      <c r="G60" s="11" t="s">
        <v>154</v>
      </c>
      <c r="H60" s="12"/>
      <c r="I60" s="25"/>
      <c r="J60" s="12" t="str">
        <f t="shared" si="0"/>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c r="B61" s="11" t="s">
        <v>1250</v>
      </c>
      <c r="C61" s="12" t="s">
        <v>1227</v>
      </c>
      <c r="D61" s="12" t="s">
        <v>214</v>
      </c>
      <c r="E61" s="134">
        <v>0</v>
      </c>
      <c r="F61" s="134">
        <v>0</v>
      </c>
      <c r="G61" s="11" t="s">
        <v>2</v>
      </c>
      <c r="H61" s="12"/>
      <c r="I61" s="25"/>
      <c r="J61" s="12" t="str">
        <f t="shared" si="0"/>
        <v>* header.legalAuthenticator.organization 0..0 BackboneElement ##34#A.1.7.3-Legal authenticator organization [Mandatory]##34# ##334#The healthcare provider organization information.##334#</v>
      </c>
      <c r="L61" s="12" t="str">
        <f t="shared" si="1"/>
        <v/>
      </c>
    </row>
    <row r="62" spans="1:12" ht="44.25" x14ac:dyDescent="0.75">
      <c r="A62" s="11"/>
      <c r="B62" s="11" t="s">
        <v>1251</v>
      </c>
      <c r="C62" s="12" t="s">
        <v>1186</v>
      </c>
      <c r="D62" s="12" t="s">
        <v>253</v>
      </c>
      <c r="E62" s="134">
        <v>0</v>
      </c>
      <c r="F62" s="134">
        <v>0</v>
      </c>
      <c r="G62" s="11" t="s">
        <v>1146</v>
      </c>
      <c r="H62" s="12"/>
      <c r="I62" s="25"/>
      <c r="J62" s="12" t="str">
        <f t="shared" si="0"/>
        <v>* header.legalAuthenticator.dateTime 0..0 dateTime ##34#A.1.7.4-Authentication date and time [Mandatory]##34# ##334#Date and time when the document was authorized.##334#</v>
      </c>
      <c r="L62" s="12" t="str">
        <f t="shared" si="1"/>
        <v/>
      </c>
    </row>
    <row r="63" spans="1:12" ht="44.25" x14ac:dyDescent="0.75">
      <c r="A63" s="11">
        <v>40</v>
      </c>
      <c r="B63" s="11" t="s">
        <v>1126</v>
      </c>
      <c r="C63" s="12" t="s">
        <v>1106</v>
      </c>
      <c r="D63" s="12" t="s">
        <v>1106</v>
      </c>
      <c r="E63" s="134">
        <v>0</v>
      </c>
      <c r="F63" s="134">
        <v>0</v>
      </c>
      <c r="G63" s="11" t="s">
        <v>2</v>
      </c>
      <c r="H63" s="12"/>
      <c r="I63" s="25"/>
      <c r="J63" s="12" t="str">
        <f t="shared" si="0"/>
        <v>* header.documentMetadata 0..0 BackboneElement ##34#A.1.8-Document metadata [Mandatory]##34# ##334#A.1.8-Document metadata [Mandatory]##334#</v>
      </c>
      <c r="L63" s="12" t="str">
        <f t="shared" si="1"/>
        <v/>
      </c>
    </row>
    <row r="64" spans="1:12" ht="29.5" x14ac:dyDescent="0.75">
      <c r="A64" s="11"/>
      <c r="B64" s="11" t="s">
        <v>1208</v>
      </c>
      <c r="C64" s="12" t="s">
        <v>1187</v>
      </c>
      <c r="D64" s="12" t="s">
        <v>258</v>
      </c>
      <c r="E64" s="134">
        <v>0</v>
      </c>
      <c r="F64" s="134">
        <v>0</v>
      </c>
      <c r="G64" s="11" t="s">
        <v>154</v>
      </c>
      <c r="H64" s="12"/>
      <c r="I64" s="25"/>
      <c r="J64" s="12" t="str">
        <f t="shared" si="0"/>
        <v>* header.documentMetadata.identifier 0..0 Identifier ##34#A.1.8.1-Document ID [Mandatory]##34# ##334#Unique identifier of the document##334#</v>
      </c>
      <c r="L64" s="12" t="str">
        <f t="shared" si="1"/>
        <v/>
      </c>
    </row>
    <row r="65" spans="1:13" ht="44.25" x14ac:dyDescent="0.75">
      <c r="A65" s="11"/>
      <c r="B65" s="11" t="s">
        <v>1209</v>
      </c>
      <c r="C65" s="12" t="s">
        <v>1188</v>
      </c>
      <c r="D65" s="12" t="s">
        <v>1245</v>
      </c>
      <c r="E65" s="134">
        <v>0</v>
      </c>
      <c r="F65" s="134">
        <v>0</v>
      </c>
      <c r="G65" s="11" t="s">
        <v>0</v>
      </c>
      <c r="H65" s="12" t="s">
        <v>262</v>
      </c>
      <c r="I65" s="25"/>
      <c r="J65" s="12" t="str">
        <f t="shared" si="0"/>
        <v>* header.documentMetadata.type 0..0 CodeableConcept ##34#A.1.8.2-Document type [Mandatory]##34# ##334#A coded type of the document. Fixed value 'Hospital dicharge summary'##334#</v>
      </c>
      <c r="L65" s="12" t="str">
        <f t="shared" si="1"/>
        <v>* header.documentMetadata.type ^comment = ##334#LOINC##334#</v>
      </c>
    </row>
    <row r="66" spans="1:13" ht="44.25" x14ac:dyDescent="0.75">
      <c r="A66" s="11"/>
      <c r="B66" s="11" t="s">
        <v>1210</v>
      </c>
      <c r="C66" s="12" t="s">
        <v>1189</v>
      </c>
      <c r="D66" s="12" t="s">
        <v>265</v>
      </c>
      <c r="E66" s="134">
        <v>0</v>
      </c>
      <c r="F66" s="134">
        <v>0</v>
      </c>
      <c r="G66" s="11" t="s">
        <v>0</v>
      </c>
      <c r="H66" s="12" t="s">
        <v>1242</v>
      </c>
      <c r="I66" s="25"/>
      <c r="J66" s="12" t="str">
        <f t="shared" si="0"/>
        <v>* header.documentMetadata.status 0..0 CodeableConcept ##34#A.1.8.3-Document status [Mandatory]##34# ##334#The status of the Hospital discharge report. E.g., preliminary, final.##334#</v>
      </c>
      <c r="L66" s="12" t="str">
        <f t="shared" si="1"/>
        <v>* header.documentMetadata.status ^comment = ##334#hl7:CompositionStatus ##334#</v>
      </c>
    </row>
    <row r="67" spans="1:13" ht="44.25" x14ac:dyDescent="0.75">
      <c r="A67" s="11"/>
      <c r="B67" s="11" t="s">
        <v>1211</v>
      </c>
      <c r="C67" s="12" t="s">
        <v>1190</v>
      </c>
      <c r="D67" s="12" t="s">
        <v>269</v>
      </c>
      <c r="E67" s="134">
        <v>0</v>
      </c>
      <c r="F67" s="134">
        <v>0</v>
      </c>
      <c r="G67" s="11" t="s">
        <v>1146</v>
      </c>
      <c r="H67" s="12"/>
      <c r="I67" s="25"/>
      <c r="J67" s="12" t="str">
        <f t="shared" si="0"/>
        <v>* header.documentMetadata.dateTime 0..0 dateTime ##34#A.1.8.4-Report date and time [Mandatory]##34# ##334#Date and time of the result report creation.##334#</v>
      </c>
      <c r="L67" s="12" t="str">
        <f t="shared" si="1"/>
        <v/>
      </c>
    </row>
    <row r="68" spans="1:13" ht="44.25" x14ac:dyDescent="0.75">
      <c r="A68" s="11"/>
      <c r="B68" s="11" t="s">
        <v>1212</v>
      </c>
      <c r="C68" s="12" t="s">
        <v>1191</v>
      </c>
      <c r="D68" s="12" t="s">
        <v>1246</v>
      </c>
      <c r="E68" s="134">
        <v>0</v>
      </c>
      <c r="F68" s="134">
        <v>0</v>
      </c>
      <c r="G68" s="11" t="s">
        <v>1</v>
      </c>
      <c r="H68" s="12"/>
      <c r="I68" s="25"/>
      <c r="J68" s="12" t="str">
        <f t="shared" si="0"/>
        <v>* header.documentMetadata.title 0..0 string ##34#A.1.8.5-Document title [Mandatory]##34# ##334#Document title, e.g. 'Hospital discharge report'##334#</v>
      </c>
      <c r="L68" s="12" t="str">
        <f t="shared" si="1"/>
        <v/>
      </c>
    </row>
    <row r="69" spans="1:13" ht="44.25" x14ac:dyDescent="0.75">
      <c r="A69" s="11"/>
      <c r="B69" s="11" t="s">
        <v>1213</v>
      </c>
      <c r="C69" s="12" t="s">
        <v>1192</v>
      </c>
      <c r="D69" s="12" t="s">
        <v>275</v>
      </c>
      <c r="E69" s="134">
        <v>0</v>
      </c>
      <c r="F69" s="134">
        <v>0</v>
      </c>
      <c r="G69" s="11" t="s">
        <v>2</v>
      </c>
      <c r="H69" s="12"/>
      <c r="I69" s="25"/>
      <c r="J69" s="12" t="str">
        <f t="shared" si="0"/>
        <v>* header.documentMetadata.custodian 0..0 BackboneElement ##34#A.1.8.6-Report custodian [Optional]##34# ##334#Organisation that is in charge of maintaining the report##334#</v>
      </c>
      <c r="L69" s="12" t="str">
        <f t="shared" si="1"/>
        <v/>
      </c>
    </row>
    <row r="70" spans="1:13" ht="44.25" x14ac:dyDescent="0.75">
      <c r="A70" s="11"/>
      <c r="B70" s="11" t="s">
        <v>1214</v>
      </c>
      <c r="C70" s="12" t="s">
        <v>1193</v>
      </c>
      <c r="D70" s="12" t="s">
        <v>278</v>
      </c>
      <c r="E70" s="134">
        <v>0</v>
      </c>
      <c r="F70" s="134">
        <v>0</v>
      </c>
      <c r="G70" s="11" t="s">
        <v>0</v>
      </c>
      <c r="H70" s="12" t="s">
        <v>279</v>
      </c>
      <c r="I70" s="25"/>
      <c r="J70" s="12" t="str">
        <f t="shared" si="0"/>
        <v>* header.documentMetadata.confidentiality 0..0 CodeableConcept ##34#A.1.8.7-Confidentiality [Mandatory]##34# ##334#Level of confidentiality of the document. Implicit value is normal.##334#</v>
      </c>
      <c r="L70" s="12" t="str">
        <f t="shared" si="1"/>
        <v>* header.documentMetadata.confidentiality ^comment = ##334#hl7:confidentiality##334#</v>
      </c>
    </row>
    <row r="71" spans="1:13" ht="44.25" x14ac:dyDescent="0.75">
      <c r="A71" s="11"/>
      <c r="B71" s="11" t="s">
        <v>1215</v>
      </c>
      <c r="C71" s="12" t="s">
        <v>1194</v>
      </c>
      <c r="D71" s="12" t="s">
        <v>282</v>
      </c>
      <c r="E71" s="134">
        <v>0</v>
      </c>
      <c r="F71" s="134">
        <v>0</v>
      </c>
      <c r="G71" s="11" t="s">
        <v>0</v>
      </c>
      <c r="H71" s="12" t="s">
        <v>138</v>
      </c>
      <c r="I71" s="25"/>
      <c r="J71" s="12" t="str">
        <f t="shared" si="0"/>
        <v>* header.documentMetadata.language 0..0 CodeableConcept ##34#A.1.8.8-Language [Required]##34# ##334#Language in which the document is written. Language is expressed by the ISO language code.##334#</v>
      </c>
      <c r="L71" s="12" t="str">
        <f t="shared" si="1"/>
        <v>* header.documentMetadata.language ^comment = ##334#BCP 47##334#</v>
      </c>
    </row>
    <row r="72" spans="1:13" ht="29.5" x14ac:dyDescent="0.75">
      <c r="A72" s="11"/>
      <c r="B72" s="11" t="s">
        <v>1216</v>
      </c>
      <c r="C72" s="12" t="s">
        <v>1195</v>
      </c>
      <c r="D72" s="12" t="s">
        <v>284</v>
      </c>
      <c r="E72" s="134">
        <v>0</v>
      </c>
      <c r="F72" s="134">
        <v>0</v>
      </c>
      <c r="G72" s="11" t="s">
        <v>1</v>
      </c>
      <c r="H72" s="12"/>
      <c r="I72" s="25"/>
      <c r="J72" s="12" t="str">
        <f t="shared" si="0"/>
        <v>* header.documentMetadata.version 0..0 string ##34#A.1.8.9-Version [Required]##34# ##334#Version of the document##334#</v>
      </c>
      <c r="L72" s="12" t="str">
        <f t="shared" si="1"/>
        <v/>
      </c>
    </row>
    <row r="73" spans="1:13" ht="29.5" x14ac:dyDescent="0.75">
      <c r="A73" s="11">
        <v>41</v>
      </c>
      <c r="B73" s="11" t="s">
        <v>1127</v>
      </c>
      <c r="C73" s="12" t="s">
        <v>1107</v>
      </c>
      <c r="D73" s="12" t="s">
        <v>1107</v>
      </c>
      <c r="E73" s="134">
        <v>0</v>
      </c>
      <c r="F73" s="134">
        <v>0</v>
      </c>
      <c r="G73" s="11" t="s">
        <v>2</v>
      </c>
      <c r="H73" s="12"/>
      <c r="I73" s="25"/>
      <c r="J73" s="12" t="str">
        <f t="shared" si="0"/>
        <v>* header.digitalSignature 0..0 BackboneElement ##34#A.1.9-Digital signatures [Required]##34# ##334#A.1.9-Digital signatures [Required]##334#</v>
      </c>
      <c r="L73" s="12" t="str">
        <f t="shared" si="1"/>
        <v/>
      </c>
    </row>
    <row r="74" spans="1:13" ht="29.5" x14ac:dyDescent="0.75">
      <c r="A74" s="11"/>
      <c r="B74" s="11" t="s">
        <v>1217</v>
      </c>
      <c r="C74" s="12" t="s">
        <v>1196</v>
      </c>
      <c r="D74" s="12" t="s">
        <v>289</v>
      </c>
      <c r="E74" s="134">
        <v>0</v>
      </c>
      <c r="F74" s="134">
        <v>0</v>
      </c>
      <c r="G74" s="133" t="s">
        <v>2</v>
      </c>
      <c r="H74" s="12"/>
      <c r="I74" s="25"/>
      <c r="J74" s="12" t="str">
        <f t="shared" si="0"/>
        <v>* header.digitalSignature.signature 0..0 BackboneElement ##34#A.1.9.1-Digital signature [Required]##34# ##334#Digital signature of the document##334#</v>
      </c>
      <c r="L74" s="12" t="str">
        <f t="shared" si="1"/>
        <v/>
      </c>
    </row>
    <row r="75" spans="1:13" ht="29.5" x14ac:dyDescent="0.75">
      <c r="A75" s="11"/>
      <c r="B75" s="11" t="s">
        <v>1218</v>
      </c>
      <c r="C75" s="12" t="s">
        <v>1197</v>
      </c>
      <c r="D75" s="12" t="s">
        <v>292</v>
      </c>
      <c r="E75" s="134">
        <v>0</v>
      </c>
      <c r="F75" s="134">
        <v>0</v>
      </c>
      <c r="G75" s="11" t="s">
        <v>1146</v>
      </c>
      <c r="H75" s="12"/>
      <c r="I75" s="25"/>
      <c r="J75" s="12" t="str">
        <f t="shared" si="0"/>
        <v>* header.digitalSignature.timeStamp 0..0 dateTime ##34#A.1.9.2-Time stamp [Required]##34# ##334#An electronic time stamp##334#</v>
      </c>
      <c r="L75" s="12" t="str">
        <f t="shared" si="1"/>
        <v/>
      </c>
    </row>
    <row r="76" spans="1:13" ht="29.5" x14ac:dyDescent="0.75">
      <c r="A76" s="11">
        <v>42</v>
      </c>
      <c r="B76" s="11" t="s">
        <v>1120</v>
      </c>
      <c r="C76" s="12" t="s">
        <v>1108</v>
      </c>
      <c r="D76" s="12" t="s">
        <v>1097</v>
      </c>
      <c r="E76" s="11">
        <v>1</v>
      </c>
      <c r="F76" s="11">
        <v>1</v>
      </c>
      <c r="G76" s="11" t="s">
        <v>2</v>
      </c>
      <c r="H76" s="12"/>
      <c r="J76" s="12" t="str">
        <f t="shared" si="0"/>
        <v>* body 1..1 BackboneElement ##34#A.2-Body (missing elementy ?) [Mandatory]##34# ##334#Missing element ?##334#</v>
      </c>
      <c r="L76" s="12" t="str">
        <f t="shared" si="1"/>
        <v/>
      </c>
    </row>
    <row r="77" spans="1:13" ht="29.5" x14ac:dyDescent="0.75">
      <c r="A77" s="11">
        <v>43</v>
      </c>
      <c r="B77" s="11" t="s">
        <v>1128</v>
      </c>
      <c r="C77" s="12" t="s">
        <v>1109</v>
      </c>
      <c r="D77" s="12" t="s">
        <v>1109</v>
      </c>
      <c r="E77" s="11">
        <v>0</v>
      </c>
      <c r="F77" s="11">
        <v>1</v>
      </c>
      <c r="G77" s="11" t="s">
        <v>2</v>
      </c>
      <c r="H77" s="12"/>
      <c r="J77" s="12" t="str">
        <f t="shared" si="0"/>
        <v>* body.advanceDirectives 0..1 BackboneElement ##34#A.2.1-Advance directives [Required]##34# ##334#A.2.1-Advance directives [Required]##334#</v>
      </c>
      <c r="L77" s="12" t="str">
        <f t="shared" si="1"/>
        <v/>
      </c>
    </row>
    <row r="78" spans="1:13" ht="44.25" x14ac:dyDescent="0.75">
      <c r="A78" s="11">
        <v>44</v>
      </c>
      <c r="B78" s="11" t="s">
        <v>1129</v>
      </c>
      <c r="C78" s="12" t="s">
        <v>1110</v>
      </c>
      <c r="D78" s="12" t="s">
        <v>1110</v>
      </c>
      <c r="E78" s="11">
        <v>1</v>
      </c>
      <c r="F78" s="11">
        <v>1</v>
      </c>
      <c r="G78" s="11" t="s">
        <v>2</v>
      </c>
      <c r="H78" s="12"/>
      <c r="J78" s="12" t="str">
        <f t="shared" si="0"/>
        <v>* body.emergencyInfos 1..1 BackboneElement ##34#A.2.2-Emergency information [Mandatory]##34# ##334#A.2.2-Emergency information [Mandatory]##334#</v>
      </c>
      <c r="L78" s="12" t="str">
        <f t="shared" si="1"/>
        <v/>
      </c>
    </row>
    <row r="79" spans="1:13" ht="29.5" x14ac:dyDescent="0.75">
      <c r="A79" s="11">
        <v>45</v>
      </c>
      <c r="B79" s="11" t="s">
        <v>1130</v>
      </c>
      <c r="C79" s="12" t="s">
        <v>1111</v>
      </c>
      <c r="D79" s="12" t="s">
        <v>1111</v>
      </c>
      <c r="E79" s="11">
        <v>1</v>
      </c>
      <c r="F79" s="11">
        <v>1</v>
      </c>
      <c r="G79" s="11" t="s">
        <v>2</v>
      </c>
      <c r="H79" s="12"/>
      <c r="J79" s="12" t="str">
        <f t="shared" si="0"/>
        <v>* body.encounter 1..1 BackboneElement ##34#A.2.3-Encounter [Mandatory]##34# ##334#A.2.3-Encounter [Mandatory]##334#</v>
      </c>
      <c r="L79" s="12" t="str">
        <f t="shared" si="1"/>
        <v/>
      </c>
      <c r="M79"/>
    </row>
    <row r="80" spans="1:13" ht="73.75" x14ac:dyDescent="0.75">
      <c r="A80" s="11">
        <v>46</v>
      </c>
      <c r="B80" s="11" t="s">
        <v>1131</v>
      </c>
      <c r="C80" s="12" t="s">
        <v>1112</v>
      </c>
      <c r="D80" s="12" t="s">
        <v>1112</v>
      </c>
      <c r="E80" s="11">
        <v>0</v>
      </c>
      <c r="F80" s="11">
        <v>1</v>
      </c>
      <c r="G80" s="11" t="s">
        <v>2</v>
      </c>
      <c r="H80" s="12"/>
      <c r="J80" s="12" t="str">
        <f t="shared" si="0"/>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1"/>
        <v/>
      </c>
      <c r="M80"/>
    </row>
    <row r="81" spans="1:13" ht="29.5" x14ac:dyDescent="0.75">
      <c r="A81" s="11">
        <v>47</v>
      </c>
      <c r="B81" s="11" t="s">
        <v>1132</v>
      </c>
      <c r="C81" s="12" t="s">
        <v>1113</v>
      </c>
      <c r="D81" s="12" t="s">
        <v>1113</v>
      </c>
      <c r="E81" s="11">
        <v>0</v>
      </c>
      <c r="F81" s="11">
        <v>1</v>
      </c>
      <c r="G81" s="11" t="s">
        <v>2</v>
      </c>
      <c r="H81" s="12"/>
      <c r="J81" s="12" t="str">
        <f t="shared" si="0"/>
        <v>* body.patientHistory 0..1 BackboneElement ##34#A.2.6-Patient history [Optional]##34# ##334#A.2.6-Patient history [Optional]##334#</v>
      </c>
      <c r="L81" s="12" t="str">
        <f t="shared" si="1"/>
        <v/>
      </c>
      <c r="M81"/>
    </row>
    <row r="82" spans="1:13" ht="29.5" x14ac:dyDescent="0.75">
      <c r="A82" s="11">
        <v>48</v>
      </c>
      <c r="B82" s="11" t="s">
        <v>1133</v>
      </c>
      <c r="C82" s="12" t="s">
        <v>1114</v>
      </c>
      <c r="D82" s="12" t="s">
        <v>1114</v>
      </c>
      <c r="E82" s="11">
        <v>1</v>
      </c>
      <c r="F82" s="11">
        <v>1</v>
      </c>
      <c r="G82" s="11" t="s">
        <v>2</v>
      </c>
      <c r="H82" s="12"/>
      <c r="J82" s="12" t="str">
        <f t="shared" si="0"/>
        <v>* body.hospitalStay 1..1 BackboneElement ##34#A.2.7-Hospital stay [Mandatory]##34# ##334#A.2.7-Hospital stay [Mandatory]##334#</v>
      </c>
      <c r="L82" s="12" t="str">
        <f t="shared" si="1"/>
        <v/>
      </c>
      <c r="M82"/>
    </row>
    <row r="83" spans="1:13" ht="44.25" x14ac:dyDescent="0.75">
      <c r="A83" s="11">
        <v>49</v>
      </c>
      <c r="B83" s="11" t="s">
        <v>1134</v>
      </c>
      <c r="C83" s="12" t="s">
        <v>1115</v>
      </c>
      <c r="D83" s="12" t="s">
        <v>1119</v>
      </c>
      <c r="E83" s="11">
        <v>1</v>
      </c>
      <c r="F83" s="11">
        <v>1</v>
      </c>
      <c r="G83" s="11" t="s">
        <v>2</v>
      </c>
      <c r="H83" s="12"/>
      <c r="J83" s="12" t="str">
        <f t="shared" si="0"/>
        <v>* body.dischargeDetails 1..1 BackboneElement ##34#A.2.8-Discharge details [Mandatory]##34# ##334#structured information should be provided, however if not available, at least a summary note should be present##334#</v>
      </c>
      <c r="L83" s="12" t="str">
        <f t="shared" si="1"/>
        <v/>
      </c>
      <c r="M83"/>
    </row>
    <row r="84" spans="1:13" ht="44.25" x14ac:dyDescent="0.75">
      <c r="A84" s="11">
        <v>50</v>
      </c>
      <c r="B84" s="11" t="s">
        <v>1135</v>
      </c>
      <c r="C84" s="12" t="s">
        <v>1116</v>
      </c>
      <c r="D84" s="12" t="s">
        <v>1116</v>
      </c>
      <c r="E84" s="11">
        <v>0</v>
      </c>
      <c r="F84" s="11">
        <v>1</v>
      </c>
      <c r="G84" s="11" t="s">
        <v>2</v>
      </c>
      <c r="H84" s="12"/>
      <c r="J84" s="12" t="str">
        <f t="shared" si="0"/>
        <v>* body.recommendations 0..1 BackboneElement ##34#A.2.9-Recommendations [Required]##34# ##334#A.2.9-Recommendations [Required]##334#</v>
      </c>
      <c r="L84" s="12" t="str">
        <f t="shared" si="1"/>
        <v/>
      </c>
      <c r="M84"/>
    </row>
    <row r="85" spans="1:13" x14ac:dyDescent="0.75">
      <c r="J85" s="12" t="str">
        <f t="shared" si="0"/>
        <v>*  ..  ##34###34# ##334###334#</v>
      </c>
      <c r="L85" s="12" t="str">
        <f t="shared" si="1"/>
        <v>*  ..  ##34###34# ##334###334#</v>
      </c>
    </row>
    <row r="86" spans="1:13" x14ac:dyDescent="0.75">
      <c r="J86" s="12" t="str">
        <f t="shared" si="0"/>
        <v>*  ..  ##34###34# ##334###334#</v>
      </c>
      <c r="L86" s="12" t="str">
        <f t="shared" si="1"/>
        <v>*  ..  ##34###34# ##334###334#</v>
      </c>
    </row>
    <row r="87" spans="1:13" x14ac:dyDescent="0.75">
      <c r="J87" s="12" t="str">
        <f t="shared" si="0"/>
        <v>*  ..  ##34###34# ##334###334#</v>
      </c>
      <c r="L87" s="12" t="str">
        <f t="shared" si="1"/>
        <v>*  ..  ##34###34# ##334###334#</v>
      </c>
    </row>
    <row r="88" spans="1:13" x14ac:dyDescent="0.75">
      <c r="J88" s="12" t="str">
        <f t="shared" si="0"/>
        <v>*  ..  ##34###34# ##334###334#</v>
      </c>
      <c r="L88" s="12" t="str">
        <f t="shared" si="1"/>
        <v>*  ..  ##34###34# ##334###334#</v>
      </c>
    </row>
    <row r="89" spans="1:13" x14ac:dyDescent="0.75">
      <c r="J89" s="12" t="str">
        <f t="shared" si="0"/>
        <v>*  ..  ##34###34# ##334###334#</v>
      </c>
      <c r="L89" s="12" t="str">
        <f t="shared" si="1"/>
        <v>*  ..  ##34###34# ##334###334#</v>
      </c>
    </row>
  </sheetData>
  <autoFilter ref="A7:M84" xr:uid="{8509A97B-13A2-4A61-A2A1-3198312EE21A}"/>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D8E5B-BB15-4063-8317-9E8288095DFF}">
  <sheetPr codeName="Foglio51"/>
  <dimension ref="A1:O96"/>
  <sheetViews>
    <sheetView topLeftCell="A46" workbookViewId="0">
      <selection activeCell="C10" sqref="C10:E89"/>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CONCATENATE(HospitalDischargeReportSK!B4,"2FHIR")</f>
        <v>HospitalDischargeReportSK2FHIR</v>
      </c>
      <c r="E4" s="19" t="str">
        <f>CONCATENATE("Mapping: ",C4)</f>
        <v>Mapping: HospitalDischargeReportSK2FHIR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1141</v>
      </c>
      <c r="E6" s="20" t="str">
        <f>CONCATENATE("Title: ##34#",C6,"##34#")</f>
        <v>Title: ##34#Hospital Discharge Report model to FHIR R4 Map##34#</v>
      </c>
      <c r="H6" s="7"/>
      <c r="I6" s="7"/>
      <c r="J6" s="7"/>
      <c r="K6" s="7"/>
      <c r="L6" s="7"/>
      <c r="M6" s="7"/>
      <c r="N6" s="7"/>
      <c r="O6" s="7"/>
    </row>
    <row r="7" spans="1:15" ht="15.5" thickBot="1" x14ac:dyDescent="0.9">
      <c r="B7" s="10" t="s">
        <v>17</v>
      </c>
      <c r="C7" s="8" t="str">
        <f>B9</f>
        <v>HospitalDischargeReportSK</v>
      </c>
      <c r="E7" s="20" t="str">
        <f>CONCATENATE("Source: ",C7)</f>
        <v>Source: HospitalDischargeReportSK</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HospitalDischargeReportSK!B5</f>
        <v>HospitalDischargeReportSK</v>
      </c>
      <c r="C9" s="6" t="s">
        <v>94</v>
      </c>
      <c r="E9" s="27" t="str">
        <f>CONCATENATE("* -&gt; ##34#",C9,"##34#")</f>
        <v>* -&gt; ##34#TBD##34#</v>
      </c>
      <c r="H9" s="7"/>
      <c r="I9" s="7"/>
      <c r="J9" s="7"/>
      <c r="K9" s="7"/>
      <c r="L9" s="7"/>
      <c r="M9" s="7"/>
      <c r="N9" s="7"/>
      <c r="O9" s="7"/>
    </row>
    <row r="10" spans="1:15" x14ac:dyDescent="0.75">
      <c r="A10" s="11"/>
      <c r="B10" s="11" t="str">
        <f>HospitalDischargeReportSK!B8</f>
        <v>header</v>
      </c>
      <c r="C10" s="11" t="s">
        <v>94</v>
      </c>
      <c r="E10" s="12" t="str">
        <f t="shared" ref="E10" si="0">IF(B10=0,"*  -&gt; ##34###34#",CONCATENATE("* ",B10," -&gt; ##34#",C10,"##34#"))</f>
        <v>* header -&gt; ##34#TBD##34#</v>
      </c>
      <c r="H10" s="7"/>
      <c r="I10" s="7"/>
      <c r="J10" s="7"/>
      <c r="K10" s="7"/>
      <c r="L10" s="7"/>
      <c r="M10" s="7"/>
      <c r="N10" s="7"/>
      <c r="O10" s="7"/>
    </row>
    <row r="11" spans="1:15" x14ac:dyDescent="0.75">
      <c r="A11" s="11"/>
      <c r="B11" s="11" t="str">
        <f>HospitalDischargeReportSK!B9</f>
        <v>header.subjectIdentification</v>
      </c>
      <c r="C11" s="11" t="s">
        <v>94</v>
      </c>
      <c r="E11" s="12" t="str">
        <f t="shared" ref="E11:E74" si="1">IF(B11=0,"*  -&gt; ##34###34#",CONCATENATE("* ",B11," -&gt; ##34#",C11,"##34#"))</f>
        <v>* header.subjectIdentification -&gt; ##34#TBD##34#</v>
      </c>
      <c r="H11" s="7"/>
      <c r="I11" s="7"/>
      <c r="J11" s="7"/>
      <c r="K11" s="7"/>
      <c r="L11" s="7"/>
      <c r="M11" s="7"/>
      <c r="N11" s="7"/>
      <c r="O11" s="7"/>
    </row>
    <row r="12" spans="1:15" x14ac:dyDescent="0.75">
      <c r="A12" s="11"/>
      <c r="B12" s="11" t="str">
        <f>HospitalDischargeReportSK!B10</f>
        <v>header.subjectIdentification.given</v>
      </c>
      <c r="C12" s="11" t="s">
        <v>94</v>
      </c>
      <c r="E12" s="12" t="str">
        <f t="shared" si="1"/>
        <v>* header.subjectIdentification.given -&gt; ##34#TBD##34#</v>
      </c>
      <c r="H12" s="7"/>
      <c r="I12" s="7"/>
      <c r="J12" s="7"/>
      <c r="K12" s="7"/>
      <c r="L12" s="7"/>
      <c r="M12" s="7"/>
      <c r="N12" s="7"/>
      <c r="O12" s="7"/>
    </row>
    <row r="13" spans="1:15" x14ac:dyDescent="0.75">
      <c r="A13" s="11"/>
      <c r="B13" s="11" t="str">
        <f>HospitalDischargeReportSK!B11</f>
        <v>header.subjectIdentification.family</v>
      </c>
      <c r="C13" s="11" t="s">
        <v>94</v>
      </c>
      <c r="E13" s="12" t="str">
        <f t="shared" si="1"/>
        <v>* header.subjectIdentification.family -&gt; ##34#TBD##34#</v>
      </c>
      <c r="H13" s="7"/>
      <c r="I13" s="7"/>
      <c r="J13" s="7"/>
      <c r="K13" s="7"/>
      <c r="L13" s="7"/>
      <c r="M13" s="7"/>
      <c r="N13" s="7"/>
      <c r="O13" s="7"/>
    </row>
    <row r="14" spans="1:15" x14ac:dyDescent="0.75">
      <c r="A14" s="11"/>
      <c r="B14" s="11" t="str">
        <f>HospitalDischargeReportSK!B12</f>
        <v>header.subjectIdentification.birthDate</v>
      </c>
      <c r="C14" s="11" t="s">
        <v>94</v>
      </c>
      <c r="E14" s="12" t="str">
        <f t="shared" si="1"/>
        <v>* header.subjectIdentification.birthDate -&gt; ##34#TBD##34#</v>
      </c>
      <c r="H14" s="7"/>
      <c r="I14" s="7"/>
      <c r="J14" s="7"/>
      <c r="K14" s="7"/>
      <c r="L14" s="7"/>
      <c r="M14" s="7"/>
      <c r="N14" s="7"/>
      <c r="O14" s="7"/>
    </row>
    <row r="15" spans="1:15" x14ac:dyDescent="0.75">
      <c r="A15" s="11"/>
      <c r="B15" s="11" t="str">
        <f>HospitalDischargeReportSK!B13</f>
        <v>header.subjectIdentification.identifier</v>
      </c>
      <c r="C15" s="11" t="s">
        <v>94</v>
      </c>
      <c r="E15" s="12" t="str">
        <f t="shared" si="1"/>
        <v>* header.subjectIdentification.identifier -&gt; ##34#TBD##34#</v>
      </c>
      <c r="H15" s="7"/>
      <c r="I15" s="7"/>
      <c r="J15" s="7"/>
      <c r="K15" s="7"/>
      <c r="L15" s="7"/>
      <c r="M15" s="7"/>
      <c r="N15" s="7"/>
      <c r="O15" s="7"/>
    </row>
    <row r="16" spans="1:15" x14ac:dyDescent="0.75">
      <c r="A16" s="11"/>
      <c r="B16" s="11" t="str">
        <f>HospitalDischargeReportSK!B14</f>
        <v>header.subjectIdentification.nationality</v>
      </c>
      <c r="C16" s="11" t="s">
        <v>94</v>
      </c>
      <c r="E16" s="12" t="str">
        <f t="shared" si="1"/>
        <v>* header.subjectIdentification.nationality -&gt; ##34#TBD##34#</v>
      </c>
      <c r="H16" s="7"/>
      <c r="I16" s="7"/>
      <c r="J16" s="7"/>
      <c r="K16" s="7"/>
      <c r="L16" s="7"/>
      <c r="M16" s="7"/>
      <c r="N16" s="7"/>
      <c r="O16" s="7"/>
    </row>
    <row r="17" spans="1:5" x14ac:dyDescent="0.75">
      <c r="A17" s="11"/>
      <c r="B17" s="11" t="str">
        <f>HospitalDischargeReportSK!B15</f>
        <v>header.subjectIdentification.gender</v>
      </c>
      <c r="C17" s="11" t="s">
        <v>94</v>
      </c>
      <c r="E17" s="12" t="str">
        <f t="shared" si="1"/>
        <v>* header.subjectIdentification.gender -&gt; ##34#TBD##34#</v>
      </c>
    </row>
    <row r="18" spans="1:5" x14ac:dyDescent="0.75">
      <c r="A18" s="11"/>
      <c r="B18" s="11" t="str">
        <f>HospitalDischargeReportSK!B16</f>
        <v>header.subjectIdentification.language</v>
      </c>
      <c r="C18" s="11" t="s">
        <v>94</v>
      </c>
      <c r="E18" s="12" t="str">
        <f t="shared" si="1"/>
        <v>* header.subjectIdentification.language -&gt; ##34#TBD##34#</v>
      </c>
    </row>
    <row r="19" spans="1:5" x14ac:dyDescent="0.75">
      <c r="A19" s="11"/>
      <c r="B19" s="11" t="str">
        <f>HospitalDischargeReportSK!B17</f>
        <v>header.subjectContact</v>
      </c>
      <c r="C19" s="11" t="s">
        <v>94</v>
      </c>
      <c r="E19" s="12" t="str">
        <f t="shared" si="1"/>
        <v>* header.subjectContact -&gt; ##34#TBD##34#</v>
      </c>
    </row>
    <row r="20" spans="1:5" x14ac:dyDescent="0.75">
      <c r="A20" s="11"/>
      <c r="B20" s="11" t="str">
        <f>HospitalDischargeReportSK!B18</f>
        <v>header.subjectContact.contactPoint</v>
      </c>
      <c r="C20" s="11" t="s">
        <v>94</v>
      </c>
      <c r="E20" s="12" t="str">
        <f t="shared" si="1"/>
        <v>* header.subjectContact.contactPoint -&gt; ##34#TBD##34#</v>
      </c>
    </row>
    <row r="21" spans="1:5" x14ac:dyDescent="0.75">
      <c r="B21" s="11" t="str">
        <f>HospitalDischargeReportSK!B19</f>
        <v>header.subjectContact.contactPoint.address</v>
      </c>
      <c r="C21" s="11" t="s">
        <v>94</v>
      </c>
      <c r="E21" s="12" t="str">
        <f t="shared" si="1"/>
        <v>* header.subjectContact.contactPoint.address -&gt; ##34#TBD##34#</v>
      </c>
    </row>
    <row r="22" spans="1:5" x14ac:dyDescent="0.75">
      <c r="B22" s="11" t="str">
        <f>HospitalDischargeReportSK!B20</f>
        <v>header.subjectContact.contactPoint.telecom</v>
      </c>
      <c r="C22" s="11" t="s">
        <v>94</v>
      </c>
      <c r="E22" s="12" t="str">
        <f t="shared" si="1"/>
        <v>* header.subjectContact.contactPoint.telecom -&gt; ##34#TBD##34#</v>
      </c>
    </row>
    <row r="23" spans="1:5" x14ac:dyDescent="0.75">
      <c r="B23" s="11" t="str">
        <f>HospitalDischargeReportSK!B21</f>
        <v>header.subjectContact.contactPoint.preferredHP</v>
      </c>
      <c r="C23" s="11" t="s">
        <v>94</v>
      </c>
      <c r="E23" s="12" t="str">
        <f t="shared" si="1"/>
        <v>* header.subjectContact.contactPoint.preferredHP -&gt; ##34#TBD##34#</v>
      </c>
    </row>
    <row r="24" spans="1:5" x14ac:dyDescent="0.75">
      <c r="B24" s="11" t="str">
        <f>HospitalDischargeReportSK!B22</f>
        <v>header.subjectContact.contactPoint.preferredHP.identifier</v>
      </c>
      <c r="C24" s="11" t="s">
        <v>94</v>
      </c>
      <c r="E24" s="12" t="str">
        <f t="shared" si="1"/>
        <v>* header.subjectContact.contactPoint.preferredHP.identifier -&gt; ##34#TBD##34#</v>
      </c>
    </row>
    <row r="25" spans="1:5" x14ac:dyDescent="0.75">
      <c r="B25" s="11" t="str">
        <f>HospitalDischargeReportSK!B23</f>
        <v>header.subjectContact.contactPoint.preferredHP.name</v>
      </c>
      <c r="C25" s="11" t="s">
        <v>94</v>
      </c>
      <c r="E25" s="12" t="str">
        <f t="shared" si="1"/>
        <v>* header.subjectContact.contactPoint.preferredHP.name -&gt; ##34#TBD##34#</v>
      </c>
    </row>
    <row r="26" spans="1:5" x14ac:dyDescent="0.75">
      <c r="B26" s="11" t="str">
        <f>HospitalDischargeReportSK!B24</f>
        <v>header.subjectContact.contactPoint.preferredHP.role</v>
      </c>
      <c r="C26" s="11" t="s">
        <v>94</v>
      </c>
      <c r="E26" s="12" t="str">
        <f t="shared" si="1"/>
        <v>* header.subjectContact.contactPoint.preferredHP.role -&gt; ##34#TBD##34#</v>
      </c>
    </row>
    <row r="27" spans="1:5" x14ac:dyDescent="0.75">
      <c r="B27" s="11" t="str">
        <f>HospitalDischargeReportSK!B25</f>
        <v>header.subjectContact.contactPoint.preferredHP.organization</v>
      </c>
      <c r="C27" s="11" t="s">
        <v>94</v>
      </c>
      <c r="E27" s="12" t="str">
        <f t="shared" si="1"/>
        <v>* header.subjectContact.contactPoint.preferredHP.organization -&gt; ##34#TBD##34#</v>
      </c>
    </row>
    <row r="28" spans="1:5" x14ac:dyDescent="0.75">
      <c r="B28" s="11" t="str">
        <f>HospitalDischargeReportSK!B26</f>
        <v>header.subjectContact.contactPoint.preferredHP.address</v>
      </c>
      <c r="C28" s="11" t="s">
        <v>94</v>
      </c>
      <c r="E28" s="12" t="str">
        <f t="shared" si="1"/>
        <v>* header.subjectContact.contactPoint.preferredHP.address -&gt; ##34#TBD##34#</v>
      </c>
    </row>
    <row r="29" spans="1:5" x14ac:dyDescent="0.75">
      <c r="B29" s="11" t="str">
        <f>HospitalDischargeReportSK!B27</f>
        <v>header.subjectContact.contactPoint.preferredHP.telecom</v>
      </c>
      <c r="C29" s="11" t="s">
        <v>94</v>
      </c>
      <c r="E29" s="12" t="str">
        <f t="shared" si="1"/>
        <v>* header.subjectContact.contactPoint.preferredHP.telecom -&gt; ##34#TBD##34#</v>
      </c>
    </row>
    <row r="30" spans="1:5" x14ac:dyDescent="0.75">
      <c r="B30" s="11" t="str">
        <f>HospitalDischargeReportSK!B28</f>
        <v>header.subjectContact.contactPoint.person</v>
      </c>
      <c r="C30" s="11" t="s">
        <v>94</v>
      </c>
      <c r="E30" s="12" t="str">
        <f t="shared" si="1"/>
        <v>* header.subjectContact.contactPoint.person -&gt; ##34#TBD##34#</v>
      </c>
    </row>
    <row r="31" spans="1:5" x14ac:dyDescent="0.75">
      <c r="B31" s="11" t="str">
        <f>HospitalDischargeReportSK!B29</f>
        <v>header.subjectContact.contactPoint.person.role</v>
      </c>
      <c r="C31" s="11" t="s">
        <v>94</v>
      </c>
      <c r="E31" s="12" t="str">
        <f t="shared" si="1"/>
        <v>* header.subjectContact.contactPoint.person.role -&gt; ##34#TBD##34#</v>
      </c>
    </row>
    <row r="32" spans="1:5" x14ac:dyDescent="0.75">
      <c r="B32" s="11" t="str">
        <f>HospitalDischargeReportSK!B30</f>
        <v>header.subjectContact.contactPoint.person.relationship</v>
      </c>
      <c r="C32" s="11" t="s">
        <v>94</v>
      </c>
      <c r="E32" s="12" t="str">
        <f t="shared" si="1"/>
        <v>* header.subjectContact.contactPoint.person.relationship -&gt; ##34#TBD##34#</v>
      </c>
    </row>
    <row r="33" spans="2:5" x14ac:dyDescent="0.75">
      <c r="B33" s="11" t="str">
        <f>HospitalDischargeReportSK!B31</f>
        <v>header.subjectContact.contactPoint.person.identifier</v>
      </c>
      <c r="C33" s="11" t="s">
        <v>94</v>
      </c>
      <c r="E33" s="12" t="str">
        <f t="shared" si="1"/>
        <v>* header.subjectContact.contactPoint.person.identifier -&gt; ##34#TBD##34#</v>
      </c>
    </row>
    <row r="34" spans="2:5" x14ac:dyDescent="0.75">
      <c r="B34" s="11" t="str">
        <f>HospitalDischargeReportSK!B32</f>
        <v>header.subjectContact.contactPoint.person.given</v>
      </c>
      <c r="C34" s="11" t="s">
        <v>94</v>
      </c>
      <c r="E34" s="12" t="str">
        <f t="shared" si="1"/>
        <v>* header.subjectContact.contactPoint.person.given -&gt; ##34#TBD##34#</v>
      </c>
    </row>
    <row r="35" spans="2:5" x14ac:dyDescent="0.75">
      <c r="B35" s="11" t="str">
        <f>HospitalDischargeReportSK!B33</f>
        <v>header.subjectContact.contactPoint.person.name</v>
      </c>
      <c r="C35" s="11" t="s">
        <v>94</v>
      </c>
      <c r="E35" s="12" t="str">
        <f t="shared" si="1"/>
        <v>* header.subjectContact.contactPoint.person.name -&gt; ##34#TBD##34#</v>
      </c>
    </row>
    <row r="36" spans="2:5" x14ac:dyDescent="0.75">
      <c r="B36" s="11" t="str">
        <f>HospitalDischargeReportSK!B34</f>
        <v>header.subjectContact.contactPoint.person.address</v>
      </c>
      <c r="C36" s="11" t="s">
        <v>94</v>
      </c>
      <c r="E36" s="12" t="str">
        <f t="shared" si="1"/>
        <v>* header.subjectContact.contactPoint.person.address -&gt; ##34#TBD##34#</v>
      </c>
    </row>
    <row r="37" spans="2:5" x14ac:dyDescent="0.75">
      <c r="B37" s="11" t="str">
        <f>HospitalDischargeReportSK!B35</f>
        <v>header.subjectContact.contactPoint.person.telecom</v>
      </c>
      <c r="C37" s="11" t="s">
        <v>94</v>
      </c>
      <c r="E37" s="12" t="str">
        <f t="shared" si="1"/>
        <v>* header.subjectContact.contactPoint.person.telecom -&gt; ##34#TBD##34#</v>
      </c>
    </row>
    <row r="38" spans="2:5" x14ac:dyDescent="0.75">
      <c r="B38" s="11" t="str">
        <f>HospitalDischargeReportSK!B36</f>
        <v>header.payer</v>
      </c>
      <c r="C38" s="11" t="s">
        <v>94</v>
      </c>
      <c r="E38" s="12" t="str">
        <f t="shared" si="1"/>
        <v>* header.payer -&gt; ##34#TBD##34#</v>
      </c>
    </row>
    <row r="39" spans="2:5" x14ac:dyDescent="0.75">
      <c r="B39" s="11" t="str">
        <f>HospitalDischargeReportSK!B37</f>
        <v>header.payer.insuranceCode</v>
      </c>
      <c r="C39" s="11" t="s">
        <v>94</v>
      </c>
      <c r="E39" s="12" t="str">
        <f t="shared" si="1"/>
        <v>* header.payer.insuranceCode -&gt; ##34#TBD##34#</v>
      </c>
    </row>
    <row r="40" spans="2:5" x14ac:dyDescent="0.75">
      <c r="B40" s="11" t="str">
        <f>HospitalDischargeReportSK!B38</f>
        <v>header.payer.insuranceName</v>
      </c>
      <c r="C40" s="11" t="s">
        <v>94</v>
      </c>
      <c r="E40" s="12" t="str">
        <f t="shared" si="1"/>
        <v>* header.payer.insuranceName -&gt; ##34#TBD##34#</v>
      </c>
    </row>
    <row r="41" spans="2:5" x14ac:dyDescent="0.75">
      <c r="B41" s="11" t="str">
        <f>HospitalDischargeReportSK!B39</f>
        <v>header.payer.insuranceNumber</v>
      </c>
      <c r="C41" s="11" t="s">
        <v>94</v>
      </c>
      <c r="E41" s="12" t="str">
        <f t="shared" si="1"/>
        <v>* header.payer.insuranceNumber -&gt; ##34#TBD##34#</v>
      </c>
    </row>
    <row r="42" spans="2:5" x14ac:dyDescent="0.75">
      <c r="B42" s="11" t="str">
        <f>HospitalDischargeReportSK!B40</f>
        <v>header.informationRecipient</v>
      </c>
      <c r="C42" s="11" t="s">
        <v>94</v>
      </c>
      <c r="E42" s="12" t="str">
        <f t="shared" si="1"/>
        <v>* header.informationRecipient -&gt; ##34#TBD##34#</v>
      </c>
    </row>
    <row r="43" spans="2:5" x14ac:dyDescent="0.75">
      <c r="B43" s="11" t="str">
        <f>HospitalDischargeReportSK!B41</f>
        <v>header.informationRecipient.identifier</v>
      </c>
      <c r="C43" s="11" t="s">
        <v>94</v>
      </c>
      <c r="E43" s="12" t="str">
        <f t="shared" si="1"/>
        <v>* header.informationRecipient.identifier -&gt; ##34#TBD##34#</v>
      </c>
    </row>
    <row r="44" spans="2:5" x14ac:dyDescent="0.75">
      <c r="B44" s="11" t="str">
        <f>HospitalDischargeReportSK!B42</f>
        <v>header.informationRecipient.name</v>
      </c>
      <c r="C44" s="11" t="s">
        <v>94</v>
      </c>
      <c r="E44" s="12" t="str">
        <f t="shared" si="1"/>
        <v>* header.informationRecipient.name -&gt; ##34#TBD##34#</v>
      </c>
    </row>
    <row r="45" spans="2:5" x14ac:dyDescent="0.75">
      <c r="B45" s="11" t="str">
        <f>HospitalDischargeReportSK!B43</f>
        <v>header.informationRecipient.organizationID</v>
      </c>
      <c r="C45" s="11" t="s">
        <v>94</v>
      </c>
      <c r="E45" s="12" t="str">
        <f t="shared" si="1"/>
        <v>* header.informationRecipient.organizationID -&gt; ##34#TBD##34#</v>
      </c>
    </row>
    <row r="46" spans="2:5" x14ac:dyDescent="0.75">
      <c r="B46" s="11" t="str">
        <f>HospitalDischargeReportSK!B44</f>
        <v>header.informationRecipient.organization</v>
      </c>
      <c r="C46" s="11" t="s">
        <v>94</v>
      </c>
      <c r="E46" s="12" t="str">
        <f t="shared" si="1"/>
        <v>* header.informationRecipient.organization -&gt; ##34#TBD##34#</v>
      </c>
    </row>
    <row r="47" spans="2:5" x14ac:dyDescent="0.75">
      <c r="B47" s="11" t="str">
        <f>HospitalDischargeReportSK!B45</f>
        <v>header.author</v>
      </c>
      <c r="C47" s="11" t="s">
        <v>94</v>
      </c>
      <c r="E47" s="12" t="str">
        <f t="shared" si="1"/>
        <v>* header.author -&gt; ##34#TBD##34#</v>
      </c>
    </row>
    <row r="48" spans="2:5" x14ac:dyDescent="0.75">
      <c r="B48" s="11" t="str">
        <f>HospitalDischargeReportSK!B46</f>
        <v>header.author.identifier</v>
      </c>
      <c r="C48" s="11" t="s">
        <v>94</v>
      </c>
      <c r="E48" s="12" t="str">
        <f t="shared" si="1"/>
        <v>* header.author.identifier -&gt; ##34#TBD##34#</v>
      </c>
    </row>
    <row r="49" spans="2:5" x14ac:dyDescent="0.75">
      <c r="B49" s="11" t="str">
        <f>HospitalDischargeReportSK!B47</f>
        <v>header.author.name</v>
      </c>
      <c r="C49" s="11" t="s">
        <v>94</v>
      </c>
      <c r="E49" s="12" t="str">
        <f t="shared" si="1"/>
        <v>* header.author.name -&gt; ##34#TBD##34#</v>
      </c>
    </row>
    <row r="50" spans="2:5" x14ac:dyDescent="0.75">
      <c r="B50" s="11" t="str">
        <f>HospitalDischargeReportSK!B48</f>
        <v>header.author.organizationID</v>
      </c>
      <c r="C50" s="11" t="s">
        <v>94</v>
      </c>
      <c r="E50" s="12" t="str">
        <f t="shared" si="1"/>
        <v>* header.author.organizationID -&gt; ##34#TBD##34#</v>
      </c>
    </row>
    <row r="51" spans="2:5" x14ac:dyDescent="0.75">
      <c r="B51" s="11" t="str">
        <f>HospitalDischargeReportSK!B49</f>
        <v>header.author.organization</v>
      </c>
      <c r="C51" s="11" t="s">
        <v>94</v>
      </c>
      <c r="E51" s="12" t="str">
        <f t="shared" si="1"/>
        <v>* header.author.organization -&gt; ##34#TBD##34#</v>
      </c>
    </row>
    <row r="52" spans="2:5" x14ac:dyDescent="0.75">
      <c r="B52" s="11" t="str">
        <f>HospitalDischargeReportSK!B50</f>
        <v>header.author.dateTime</v>
      </c>
      <c r="C52" s="11" t="s">
        <v>94</v>
      </c>
      <c r="E52" s="12" t="str">
        <f t="shared" si="1"/>
        <v>* header.author.dateTime -&gt; ##34#TBD##34#</v>
      </c>
    </row>
    <row r="53" spans="2:5" x14ac:dyDescent="0.75">
      <c r="B53" s="11" t="str">
        <f>HospitalDischargeReportSK!B51</f>
        <v>header.attester</v>
      </c>
      <c r="C53" s="11" t="s">
        <v>94</v>
      </c>
      <c r="E53" s="12" t="str">
        <f t="shared" si="1"/>
        <v>* header.attester -&gt; ##34#TBD##34#</v>
      </c>
    </row>
    <row r="54" spans="2:5" x14ac:dyDescent="0.75">
      <c r="B54" s="11" t="str">
        <f>HospitalDischargeReportSK!B52</f>
        <v>header.attester.identifier</v>
      </c>
      <c r="C54" s="11" t="s">
        <v>94</v>
      </c>
      <c r="E54" s="12" t="str">
        <f t="shared" si="1"/>
        <v>* header.attester.identifier -&gt; ##34#TBD##34#</v>
      </c>
    </row>
    <row r="55" spans="2:5" x14ac:dyDescent="0.75">
      <c r="B55" s="11" t="str">
        <f>HospitalDischargeReportSK!B53</f>
        <v>header.attester.name</v>
      </c>
      <c r="C55" s="11" t="s">
        <v>94</v>
      </c>
      <c r="E55" s="12" t="str">
        <f t="shared" si="1"/>
        <v>* header.attester.name -&gt; ##34#TBD##34#</v>
      </c>
    </row>
    <row r="56" spans="2:5" x14ac:dyDescent="0.75">
      <c r="B56" s="11" t="str">
        <f>HospitalDischargeReportSK!B54</f>
        <v>header.attester.organizationID</v>
      </c>
      <c r="C56" s="11" t="s">
        <v>94</v>
      </c>
      <c r="E56" s="12" t="str">
        <f t="shared" si="1"/>
        <v>* header.attester.organizationID -&gt; ##34#TBD##34#</v>
      </c>
    </row>
    <row r="57" spans="2:5" x14ac:dyDescent="0.75">
      <c r="B57" s="11" t="str">
        <f>HospitalDischargeReportSK!B55</f>
        <v>header.attester.organization</v>
      </c>
      <c r="C57" s="11" t="s">
        <v>94</v>
      </c>
      <c r="E57" s="12" t="str">
        <f t="shared" si="1"/>
        <v>* header.attester.organization -&gt; ##34#TBD##34#</v>
      </c>
    </row>
    <row r="58" spans="2:5" x14ac:dyDescent="0.75">
      <c r="B58" s="11" t="str">
        <f>HospitalDischargeReportSK!B56</f>
        <v>header.attester.dateTime</v>
      </c>
      <c r="C58" s="11" t="s">
        <v>94</v>
      </c>
      <c r="E58" s="12" t="str">
        <f t="shared" si="1"/>
        <v>* header.attester.dateTime -&gt; ##34#TBD##34#</v>
      </c>
    </row>
    <row r="59" spans="2:5" x14ac:dyDescent="0.75">
      <c r="B59" s="11" t="str">
        <f>HospitalDischargeReportSK!B57</f>
        <v>header.legalAuthenticator</v>
      </c>
      <c r="C59" s="11" t="s">
        <v>94</v>
      </c>
      <c r="E59" s="12" t="str">
        <f t="shared" si="1"/>
        <v>* header.legalAuthenticator -&gt; ##34#TBD##34#</v>
      </c>
    </row>
    <row r="60" spans="2:5" x14ac:dyDescent="0.75">
      <c r="B60" s="11" t="str">
        <f>HospitalDischargeReportSK!B58</f>
        <v>header.legalAuthenticator.identifier</v>
      </c>
      <c r="C60" s="11" t="s">
        <v>94</v>
      </c>
      <c r="E60" s="12" t="str">
        <f t="shared" si="1"/>
        <v>* header.legalAuthenticator.identifier -&gt; ##34#TBD##34#</v>
      </c>
    </row>
    <row r="61" spans="2:5" x14ac:dyDescent="0.75">
      <c r="B61" s="11" t="str">
        <f>HospitalDischargeReportSK!B59</f>
        <v>header.legalAuthenticator.name</v>
      </c>
      <c r="C61" s="11" t="s">
        <v>94</v>
      </c>
      <c r="E61" s="12" t="str">
        <f t="shared" si="1"/>
        <v>* header.legalAuthenticator.name -&gt; ##34#TBD##34#</v>
      </c>
    </row>
    <row r="62" spans="2:5" x14ac:dyDescent="0.75">
      <c r="B62" s="11" t="str">
        <f>HospitalDischargeReportSK!B60</f>
        <v>header.legalAuthenticator.organizationID</v>
      </c>
      <c r="C62" s="11" t="s">
        <v>94</v>
      </c>
      <c r="E62" s="12" t="str">
        <f t="shared" si="1"/>
        <v>* header.legalAuthenticator.organizationID -&gt; ##34#TBD##34#</v>
      </c>
    </row>
    <row r="63" spans="2:5" x14ac:dyDescent="0.75">
      <c r="B63" s="11" t="str">
        <f>HospitalDischargeReportSK!B61</f>
        <v>header.legalAuthenticator.organization</v>
      </c>
      <c r="C63" s="11" t="s">
        <v>94</v>
      </c>
      <c r="E63" s="12" t="str">
        <f t="shared" si="1"/>
        <v>* header.legalAuthenticator.organization -&gt; ##34#TBD##34#</v>
      </c>
    </row>
    <row r="64" spans="2:5" x14ac:dyDescent="0.75">
      <c r="B64" s="11" t="str">
        <f>HospitalDischargeReportSK!B62</f>
        <v>header.legalAuthenticator.dateTime</v>
      </c>
      <c r="C64" s="11" t="s">
        <v>94</v>
      </c>
      <c r="E64" s="12" t="str">
        <f t="shared" si="1"/>
        <v>* header.legalAuthenticator.dateTime -&gt; ##34#TBD##34#</v>
      </c>
    </row>
    <row r="65" spans="2:5" x14ac:dyDescent="0.75">
      <c r="B65" s="11" t="str">
        <f>HospitalDischargeReportSK!B63</f>
        <v>header.documentMetadata</v>
      </c>
      <c r="C65" s="11" t="s">
        <v>94</v>
      </c>
      <c r="E65" s="12" t="str">
        <f t="shared" si="1"/>
        <v>* header.documentMetadata -&gt; ##34#TBD##34#</v>
      </c>
    </row>
    <row r="66" spans="2:5" x14ac:dyDescent="0.75">
      <c r="B66" s="11" t="str">
        <f>HospitalDischargeReportSK!B64</f>
        <v>header.documentMetadata.identifier</v>
      </c>
      <c r="C66" s="11" t="s">
        <v>94</v>
      </c>
      <c r="E66" s="12" t="str">
        <f t="shared" si="1"/>
        <v>* header.documentMetadata.identifier -&gt; ##34#TBD##34#</v>
      </c>
    </row>
    <row r="67" spans="2:5" x14ac:dyDescent="0.75">
      <c r="B67" s="11" t="str">
        <f>HospitalDischargeReportSK!B65</f>
        <v>header.documentMetadata.type</v>
      </c>
      <c r="C67" s="11" t="s">
        <v>94</v>
      </c>
      <c r="E67" s="12" t="str">
        <f t="shared" si="1"/>
        <v>* header.documentMetadata.type -&gt; ##34#TBD##34#</v>
      </c>
    </row>
    <row r="68" spans="2:5" x14ac:dyDescent="0.75">
      <c r="B68" s="11" t="str">
        <f>HospitalDischargeReportSK!B66</f>
        <v>header.documentMetadata.status</v>
      </c>
      <c r="C68" s="11" t="s">
        <v>94</v>
      </c>
      <c r="E68" s="12" t="str">
        <f t="shared" si="1"/>
        <v>* header.documentMetadata.status -&gt; ##34#TBD##34#</v>
      </c>
    </row>
    <row r="69" spans="2:5" x14ac:dyDescent="0.75">
      <c r="B69" s="11" t="str">
        <f>HospitalDischargeReportSK!B67</f>
        <v>header.documentMetadata.dateTime</v>
      </c>
      <c r="C69" s="11" t="s">
        <v>94</v>
      </c>
      <c r="E69" s="12" t="str">
        <f t="shared" si="1"/>
        <v>* header.documentMetadata.dateTime -&gt; ##34#TBD##34#</v>
      </c>
    </row>
    <row r="70" spans="2:5" x14ac:dyDescent="0.75">
      <c r="B70" s="11" t="str">
        <f>HospitalDischargeReportSK!B68</f>
        <v>header.documentMetadata.title</v>
      </c>
      <c r="C70" s="11" t="s">
        <v>94</v>
      </c>
      <c r="E70" s="12" t="str">
        <f t="shared" si="1"/>
        <v>* header.documentMetadata.title -&gt; ##34#TBD##34#</v>
      </c>
    </row>
    <row r="71" spans="2:5" x14ac:dyDescent="0.75">
      <c r="B71" s="11" t="str">
        <f>HospitalDischargeReportSK!B69</f>
        <v>header.documentMetadata.custodian</v>
      </c>
      <c r="C71" s="11" t="s">
        <v>94</v>
      </c>
      <c r="E71" s="12" t="str">
        <f t="shared" si="1"/>
        <v>* header.documentMetadata.custodian -&gt; ##34#TBD##34#</v>
      </c>
    </row>
    <row r="72" spans="2:5" x14ac:dyDescent="0.75">
      <c r="B72" s="11" t="str">
        <f>HospitalDischargeReportSK!B70</f>
        <v>header.documentMetadata.confidentiality</v>
      </c>
      <c r="C72" s="11" t="s">
        <v>94</v>
      </c>
      <c r="E72" s="12" t="str">
        <f t="shared" si="1"/>
        <v>* header.documentMetadata.confidentiality -&gt; ##34#TBD##34#</v>
      </c>
    </row>
    <row r="73" spans="2:5" x14ac:dyDescent="0.75">
      <c r="B73" s="11" t="str">
        <f>HospitalDischargeReportSK!B71</f>
        <v>header.documentMetadata.language</v>
      </c>
      <c r="C73" s="11" t="s">
        <v>94</v>
      </c>
      <c r="E73" s="12" t="str">
        <f t="shared" si="1"/>
        <v>* header.documentMetadata.language -&gt; ##34#TBD##34#</v>
      </c>
    </row>
    <row r="74" spans="2:5" x14ac:dyDescent="0.75">
      <c r="B74" s="11" t="str">
        <f>HospitalDischargeReportSK!B72</f>
        <v>header.documentMetadata.version</v>
      </c>
      <c r="C74" s="11" t="s">
        <v>94</v>
      </c>
      <c r="E74" s="12" t="str">
        <f t="shared" si="1"/>
        <v>* header.documentMetadata.version -&gt; ##34#TBD##34#</v>
      </c>
    </row>
    <row r="75" spans="2:5" x14ac:dyDescent="0.75">
      <c r="B75" s="11" t="str">
        <f>HospitalDischargeReportSK!B73</f>
        <v>header.digitalSignature</v>
      </c>
      <c r="C75" s="11" t="s">
        <v>94</v>
      </c>
      <c r="E75" s="12" t="str">
        <f t="shared" ref="E75:E89" si="2">IF(B75=0,"*  -&gt; ##34###34#",CONCATENATE("* ",B75," -&gt; ##34#",C75,"##34#"))</f>
        <v>* header.digitalSignature -&gt; ##34#TBD##34#</v>
      </c>
    </row>
    <row r="76" spans="2:5" x14ac:dyDescent="0.75">
      <c r="B76" s="11" t="str">
        <f>HospitalDischargeReportSK!B74</f>
        <v>header.digitalSignature.signature</v>
      </c>
      <c r="C76" s="11" t="s">
        <v>94</v>
      </c>
      <c r="E76" s="12" t="str">
        <f t="shared" si="2"/>
        <v>* header.digitalSignature.signature -&gt; ##34#TBD##34#</v>
      </c>
    </row>
    <row r="77" spans="2:5" x14ac:dyDescent="0.75">
      <c r="B77" s="11" t="str">
        <f>HospitalDischargeReportSK!B75</f>
        <v>header.digitalSignature.timeStamp</v>
      </c>
      <c r="C77" s="11" t="s">
        <v>94</v>
      </c>
      <c r="E77" s="12" t="str">
        <f t="shared" si="2"/>
        <v>* header.digitalSignature.timeStamp -&gt; ##34#TBD##34#</v>
      </c>
    </row>
    <row r="78" spans="2:5" x14ac:dyDescent="0.75">
      <c r="B78" s="11" t="str">
        <f>HospitalDischargeReportSK!B76</f>
        <v>body</v>
      </c>
      <c r="C78" s="11" t="s">
        <v>94</v>
      </c>
      <c r="E78" s="12" t="str">
        <f t="shared" si="2"/>
        <v>* body -&gt; ##34#TBD##34#</v>
      </c>
    </row>
    <row r="79" spans="2:5" x14ac:dyDescent="0.75">
      <c r="B79" s="11" t="str">
        <f>HospitalDischargeReportSK!B77</f>
        <v>body.advanceDirectives</v>
      </c>
      <c r="C79" s="11" t="s">
        <v>94</v>
      </c>
      <c r="E79" s="12" t="str">
        <f t="shared" si="2"/>
        <v>* body.advanceDirectives -&gt; ##34#TBD##34#</v>
      </c>
    </row>
    <row r="80" spans="2:5" x14ac:dyDescent="0.75">
      <c r="B80" s="11" t="str">
        <f>HospitalDischargeReportSK!B78</f>
        <v>body.emergencyInfos</v>
      </c>
      <c r="C80" s="11" t="s">
        <v>94</v>
      </c>
      <c r="E80" s="12" t="str">
        <f t="shared" si="2"/>
        <v>* body.emergencyInfos -&gt; ##34#TBD##34#</v>
      </c>
    </row>
    <row r="81" spans="2:5" x14ac:dyDescent="0.75">
      <c r="B81" s="11" t="str">
        <f>HospitalDischargeReportSK!B79</f>
        <v>body.encounter</v>
      </c>
      <c r="C81" s="11" t="s">
        <v>94</v>
      </c>
      <c r="E81" s="12" t="str">
        <f t="shared" si="2"/>
        <v>* body.encounter -&gt; ##34#TBD##34#</v>
      </c>
    </row>
    <row r="82" spans="2:5" x14ac:dyDescent="0.75">
      <c r="B82" s="11" t="str">
        <f>HospitalDischargeReportSK!B80</f>
        <v>body.admissionEvaluation</v>
      </c>
      <c r="C82" s="11" t="s">
        <v>94</v>
      </c>
      <c r="E82" s="12" t="str">
        <f t="shared" si="2"/>
        <v>* body.admissionEvaluation -&gt; ##34#TBD##34#</v>
      </c>
    </row>
    <row r="83" spans="2:5" x14ac:dyDescent="0.75">
      <c r="B83" s="11" t="str">
        <f>HospitalDischargeReportSK!B81</f>
        <v>body.patientHistory</v>
      </c>
      <c r="C83" s="11" t="s">
        <v>94</v>
      </c>
      <c r="E83" s="12" t="str">
        <f t="shared" si="2"/>
        <v>* body.patientHistory -&gt; ##34#TBD##34#</v>
      </c>
    </row>
    <row r="84" spans="2:5" x14ac:dyDescent="0.75">
      <c r="B84" s="11" t="str">
        <f>HospitalDischargeReportSK!B82</f>
        <v>body.hospitalStay</v>
      </c>
      <c r="C84" s="11" t="s">
        <v>94</v>
      </c>
      <c r="E84" s="12" t="str">
        <f t="shared" si="2"/>
        <v>* body.hospitalStay -&gt; ##34#TBD##34#</v>
      </c>
    </row>
    <row r="85" spans="2:5" x14ac:dyDescent="0.75">
      <c r="B85" s="11" t="str">
        <f>HospitalDischargeReportSK!B83</f>
        <v>body.dischargeDetails</v>
      </c>
      <c r="C85" s="11" t="s">
        <v>94</v>
      </c>
      <c r="E85" s="12" t="str">
        <f t="shared" si="2"/>
        <v>* body.dischargeDetails -&gt; ##34#TBD##34#</v>
      </c>
    </row>
    <row r="86" spans="2:5" x14ac:dyDescent="0.75">
      <c r="B86" s="11" t="str">
        <f>HospitalDischargeReportSK!B84</f>
        <v>body.recommendations</v>
      </c>
      <c r="C86" s="11" t="s">
        <v>94</v>
      </c>
      <c r="E86" s="12" t="str">
        <f t="shared" si="2"/>
        <v>* body.recommendations -&gt; ##34#TBD##34#</v>
      </c>
    </row>
    <row r="87" spans="2:5" x14ac:dyDescent="0.75">
      <c r="B87" s="11"/>
      <c r="C87" s="11" t="s">
        <v>94</v>
      </c>
      <c r="E87" s="12" t="str">
        <f t="shared" si="2"/>
        <v>*  -&gt; ##34###34#</v>
      </c>
    </row>
    <row r="88" spans="2:5" x14ac:dyDescent="0.75">
      <c r="B88" s="11"/>
      <c r="C88" s="11" t="s">
        <v>94</v>
      </c>
      <c r="E88" s="12" t="str">
        <f t="shared" si="2"/>
        <v>*  -&gt; ##34###34#</v>
      </c>
    </row>
    <row r="89" spans="2:5" x14ac:dyDescent="0.75">
      <c r="B89" s="11"/>
      <c r="C89" s="11" t="s">
        <v>94</v>
      </c>
      <c r="E89" s="12" t="str">
        <f t="shared" si="2"/>
        <v>*  -&gt; ##34###34#</v>
      </c>
    </row>
    <row r="90" spans="2:5" x14ac:dyDescent="0.75">
      <c r="B90" s="11"/>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92C37-D4EB-44C4-A118-D5573CBD06C3}">
  <sheetPr codeName="Foglio23">
    <tabColor theme="8" tint="-0.249977111117893"/>
  </sheetPr>
  <dimension ref="C1:G267"/>
  <sheetViews>
    <sheetView workbookViewId="0">
      <selection activeCell="C268" sqref="C268:C26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HospitalDischargeReportSK!J1</f>
        <v>//===================================================</v>
      </c>
    </row>
    <row r="2" spans="3:7" ht="16.75" thickBot="1" x14ac:dyDescent="0.9">
      <c r="C2" s="24" t="str">
        <f>HospitalDischargeReportSK!J2</f>
        <v>//  Logical Model</v>
      </c>
      <c r="G2" s="29" t="s">
        <v>1140</v>
      </c>
    </row>
    <row r="3" spans="3:7" x14ac:dyDescent="0.75">
      <c r="C3" s="24" t="str">
        <f>HospitalDischargeReportSK!J3</f>
        <v>//===================================================</v>
      </c>
    </row>
    <row r="4" spans="3:7" x14ac:dyDescent="0.75">
      <c r="C4" s="16" t="str">
        <f>HospitalDischargeReportSK!J4</f>
        <v>Logical: HospitalDischargeReportSK</v>
      </c>
    </row>
    <row r="5" spans="3:7" x14ac:dyDescent="0.75">
      <c r="C5" s="16" t="str">
        <f>HospitalDischargeReportSK!J5</f>
        <v>Id: HospitalDischargeReportSK</v>
      </c>
    </row>
    <row r="6" spans="3:7" x14ac:dyDescent="0.75">
      <c r="C6" s="16" t="str">
        <f>HospitalDischargeReportSK!J6</f>
        <v>Title: ##34#Hospital Discharge Report (SK)##34#</v>
      </c>
    </row>
    <row r="7" spans="3:7" ht="29.5" x14ac:dyDescent="0.75">
      <c r="C7" s="16" t="str">
        <f>HospitalDischargeReportSK!J7</f>
        <v>Description:  ##334#Hospital Discharge Report SK
Maturity Level: 0 Draft##334#</v>
      </c>
    </row>
    <row r="8" spans="3:7" ht="29.5" x14ac:dyDescent="0.75">
      <c r="C8" s="12" t="str">
        <f>IF(HospitalDischargeReportSK!J8="*  ..  ##34###34# ##334###334#","//--- END",HospitalDischargeReportSK!J8)</f>
        <v>* header 1..1 BackboneElement ##34#A.1-Report header data element [Mandatory]##34# ##334#A.1-Report header data element [Mandatory]##334#</v>
      </c>
    </row>
    <row r="9" spans="3:7" ht="29.5" x14ac:dyDescent="0.75">
      <c r="C9" s="12" t="str">
        <f>IF(HospitalDischargeReportSK!J9="*  ..  ##34###34# ##334###334#","//--- END",HospitalDischargeReportSK!J9)</f>
        <v>* header.subjectIdentification 1..1 BackboneElement ##34#A.1.1-Identification of the patient/subject [Mandatory]##34# ##334#A.1.1-Identification of the patient/subject [Mandatory]##334#</v>
      </c>
    </row>
    <row r="10" spans="3:7" ht="29.5" x14ac:dyDescent="0.75">
      <c r="C10" s="12" t="str">
        <f>IF(HospitalDischargeReportSK!J10="*  ..  ##34###34# ##334###334#","//--- END",HospitalDischargeReportSK!J10)</f>
        <v>* header.subjectIdentification.given 1..* string ##34#A.1.1.1-Given name [Mandatory]##34# ##334#The given name/first name of the patient (also known as forename or first name). This field can contain more than one element.  ##334#</v>
      </c>
    </row>
    <row r="11" spans="3:7" ht="29.5" x14ac:dyDescent="0.75">
      <c r="C11" s="12" t="str">
        <f>IF(HospitalDischargeReportSK!J11="*  ..  ##34###34# ##334###334#","//--- END",HospitalDischargeReportSK!J11)</f>
        <v>* header.subjectIdentification.family 1..* string ##34#A.1.1.2-Family name/surname [Mandatory]##34# ##334#The family name/surname/last name of the patient. This field can contain more than one element or multiple fields could be present. ##334#</v>
      </c>
    </row>
    <row r="12" spans="3:7" ht="29.5" x14ac:dyDescent="0.75">
      <c r="C12" s="12" t="str">
        <f>IF(HospitalDischargeReportSK!J12="*  ..  ##34###34# ##334###334#","//--- END",HospitalDischargeReportSK!J12)</f>
        <v>* header.subjectIdentification.birthDate 1..1 dateTime ##34#A.1.1.3-Date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IF(HospitalDischargeReportSK!J13="*  ..  ##34###34# ##334###334#","//--- END",HospitalDischargeReportSK!J13)</f>
        <v>* header.subjectIdentification.identifier 1..* Identifier ##34#A.1.1.4-Personal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IF(HospitalDischargeReportSK!J14="*  ..  ##34###34# ##334###334#","//--- END",HospitalDischargeReportSK!J14)</f>
        <v>* header.subjectIdentification.nationality 0..* CodeableConcept ##34#A.1.1.5-Nationality [Required]##34# ##334#Nationality of the patient.##334#</v>
      </c>
    </row>
    <row r="15" spans="3:7" ht="29.5" x14ac:dyDescent="0.75">
      <c r="C15" s="12" t="str">
        <f>IF(HospitalDischargeReportSK!J15="*  ..  ##34###34# ##334###334#","//--- END",HospitalDischargeReportSK!J15)</f>
        <v>* header.subjectIdentification.gender 1..1 CodeableConcept ##34#A.1.1.6-Gender [Mandatory]##34# ##334#This field must contain a recognised valid value for 'administrative gender'. If different, 'physiological gender' should be communicated elsewhere.##334#</v>
      </c>
    </row>
    <row r="16" spans="3:7" ht="29.5" x14ac:dyDescent="0.75">
      <c r="C16" s="12" t="str">
        <f>IF(HospitalDischargeReportSK!J16="*  ..  ##34###34# ##334###334#","//--- END",HospitalDischargeReportSK!J16)</f>
        <v>* header.subjectIdentification.language 0..0 CodeableConcept ##34#A.1.1.7-Language communication [Optional]##34# ##334#Patient communication language. Multiple communication languages might be provided.  ##334#</v>
      </c>
    </row>
    <row r="17" spans="3:3" ht="29.5" x14ac:dyDescent="0.75">
      <c r="C17" s="12" t="str">
        <f>IF(HospitalDischargeReportSK!J17="*  ..  ##34###34# ##334###334#","//--- END",HospitalDischargeReportSK!J17)</f>
        <v>* header.subjectContact 0..1 BackboneElement ##34#A.1.2-Patient/subject related contact information [Required]##34# ##334#A.1.2-Patient/subject related contact information [Required]##334#</v>
      </c>
    </row>
    <row r="18" spans="3:3" ht="29.5" x14ac:dyDescent="0.75">
      <c r="C18" s="12" t="str">
        <f>IF(HospitalDischargeReportSK!J18="*  ..  ##34###34# ##334###334#","//--- END",HospitalDischargeReportSK!J18)</f>
        <v>* header.subjectContact.contactPoint 0..* BackboneElement ##34#A.1.2.1-Patient address []##34# ##334#A.1.2.1-Patient address []##334#</v>
      </c>
    </row>
    <row r="19" spans="3:3" ht="29.5" x14ac:dyDescent="0.75">
      <c r="C19" s="12" t="str">
        <f>IF(HospitalDischargeReportSK!J19="*  ..  ##34###34# ##334###334#","//--- END",HospitalDischargeReportSK!J19)</f>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IF(HospitalDischargeReportSK!J20="*  ..  ##34###34# ##334###334#","//--- END",HospitalDischargeReportSK!J20)</f>
        <v>* header.subjectContact.contactPoint.telecom 0..* ContactPoint ##34#A.1.2.1.2-Telecom [Required]##34# ##334#Telecommunication contact information (addresses) associated to a person. Multiple telecommunication addresses might be provided.##334#</v>
      </c>
    </row>
    <row r="21" spans="3:3" ht="29.5" x14ac:dyDescent="0.75">
      <c r="C21" s="12" t="str">
        <f>IF(HospitalDischargeReportSK!J21="*  ..  ##34###34# ##334###334#","//--- END",HospitalDischargeReportSK!J21)</f>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29.5" x14ac:dyDescent="0.75">
      <c r="C22" s="12" t="str">
        <f>IF(HospitalDischargeReportSK!J22="*  ..  ##34###34# ##334###334#","//--- END",HospitalDischargeReportSK!J22)</f>
        <v>* header.subjectContact.contactPoint.preferredHP.identifier 0..* Identifier ##34#A.1.2.2.1-Identifier [Required]##34# ##334#An identifier of the healthcare professional that is unique within a defined scope. Example: National healthcare professional ID. Multiple identifiers could be provided.##334#</v>
      </c>
    </row>
    <row r="23" spans="3:3" ht="29.5" x14ac:dyDescent="0.75">
      <c r="C23" s="12" t="str">
        <f>IF(HospitalDischargeReportSK!J23="*  ..  ##34###34# ##334###334#","//--- END",HospitalDischargeReportSK!J23)</f>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IF(HospitalDischargeReportSK!J24="*  ..  ##34###34# ##334###334#","//--- END",HospitalDischargeReportSK!J24)</f>
        <v>* header.subjectContact.contactPoint.preferredHP.role 0..* CodeableConcept ##34#A.1.2.2.3-Role of the HP [Required]##34# ##334#Healthcare professional role##334#</v>
      </c>
    </row>
    <row r="25" spans="3:3" ht="29.5" x14ac:dyDescent="0.75">
      <c r="C25" s="12" t="str">
        <f>IF(HospitalDischargeReportSK!J25="*  ..  ##34###34# ##334###334#","//--- END",HospitalDischargeReportSK!J25)</f>
        <v>* header.subjectContact.contactPoint.preferredHP.organization 0..1 BackboneElement ##34#A.1.2.2.4-HP Organisation [Required]##34# ##334#Healthcare Professional Organisation##334#</v>
      </c>
    </row>
    <row r="26" spans="3:3" ht="29.5" x14ac:dyDescent="0.75">
      <c r="C26" s="12" t="str">
        <f>IF(HospitalDischargeReportSK!J26="*  ..  ##34###34# ##334###334#","//--- END",HospitalDischargeReportSK!J26)</f>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29.5" x14ac:dyDescent="0.75">
      <c r="C27" s="12" t="str">
        <f>IF(HospitalDischargeReportSK!J27="*  ..  ##34###34# ##334###334#","//--- END",HospitalDischargeReportSK!J27)</f>
        <v>* header.subjectContact.contactPoint.preferredHP.telecom 0..* ContactPoint ##34#A.1.2.2.6-Telecom [Required]##34# ##334#Telecommunication contact information (addresses) associated to a person. Multiple telecommunication addresses might be provided.##334#</v>
      </c>
    </row>
    <row r="28" spans="3:3" ht="29.5" x14ac:dyDescent="0.75">
      <c r="C28" s="12" t="str">
        <f>IF(HospitalDischargeReportSK!J28="*  ..  ##34###34# ##334###334#","//--- END",HospitalDischargeReportSK!J28)</f>
        <v>* header.subjectContact.contactPoint.person 0..* BackboneElement ##34#A.1.2.3-Contact person/ legal guardian [Required]##34# ##334#A.1.2.3-Contact person/ legal guardian [Required]##334#</v>
      </c>
    </row>
    <row r="29" spans="3:3" ht="29.5" x14ac:dyDescent="0.75">
      <c r="C29" s="12" t="str">
        <f>IF(HospitalDischargeReportSK!J29="*  ..  ##34###34# ##334###334#","//--- END",HospitalDischargeReportSK!J29)</f>
        <v>* header.subjectContact.contactPoint.person.role 0..0 CodeableConcept ##34#A.1.2.3.1-Role of that person [Required]##34# ##334#Role of the contact person: legal guardian, next of kin, other person to contact.##334#</v>
      </c>
    </row>
    <row r="30" spans="3:3" ht="29.5" x14ac:dyDescent="0.75">
      <c r="C30" s="12" t="str">
        <f>IF(HospitalDischargeReportSK!J30="*  ..  ##34###34# ##334###334#","//--- END",HospitalDischargeReportSK!J30)</f>
        <v>* header.subjectContact.contactPoint.person.relationship 0..0 CodeableConcept ##34#A.1.2.3.2-Relationship level [Required]##34# ##334#Relationship type with the patient (e.g. father, wife, daughter)##334#</v>
      </c>
    </row>
    <row r="31" spans="3:3" ht="44.25" x14ac:dyDescent="0.75">
      <c r="C31" s="12" t="str">
        <f>IF(HospitalDischargeReportSK!J31="*  ..  ##34###34# ##334###334#","//--- END",HospitalDischargeReportSK!J31)</f>
        <v>* header.subjectContact.contactPoint.person.identifier 0..0 Identifier ##34#A.1.2.3.3-Identifier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IF(HospitalDischargeReportSK!J32="*  ..  ##34###34# ##334###334#","//--- END",HospitalDischargeReportSK!J32)</f>
        <v>* header.subjectContact.contactPoint.person.given 1..* string ##34#A.1.2.3.4-Given name [Mandatory]##34# ##334#The first name of the contact person/guardian (example: Peter). This field can contain more than one element.##334#</v>
      </c>
    </row>
    <row r="33" spans="3:3" ht="29.5" x14ac:dyDescent="0.75">
      <c r="C33" s="12" t="str">
        <f>IF(HospitalDischargeReportSK!J33="*  ..  ##34###34# ##334###334#","//--- END",HospitalDischargeReportSK!J33)</f>
        <v>* header.subjectContact.contactPoint.person.name 1..* string ##34#A.1.2.3.5-Family name/surname [Mandatory]##34# ##334#This field can contain more than one element. Example: Español Smith##334#</v>
      </c>
    </row>
    <row r="34" spans="3:3" ht="59" x14ac:dyDescent="0.75">
      <c r="C34" s="12" t="str">
        <f>IF(HospitalDischargeReportSK!J34="*  ..  ##34###34# ##334###334#","//--- END",HospitalDischargeReportSK!J34)</f>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IF(HospitalDischargeReportSK!J35="*  ..  ##34###34# ##334###334#","//--- END",HospitalDischargeReportSK!J35)</f>
        <v>* header.subjectContact.contactPoint.person.telecom 0..0 ContactPoint ##34#A.1.2.3.7-Telecom [Required]##34# ##334#Telecommunication contact information (addresses) associated to a person. Multiple telecommunication addresses might be provided.##334#</v>
      </c>
    </row>
    <row r="36" spans="3:3" ht="44.25" x14ac:dyDescent="0.75">
      <c r="C36" s="12" t="str">
        <f>IF(HospitalDischargeReportSK!J36="*  ..  ##34###34# ##334###334#","//--- END",HospitalDischargeReportSK!J36)</f>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IF(HospitalDischargeReportSK!J37="*  ..  ##34###34# ##334###334#","//--- END",HospitalDischargeReportSK!J37)</f>
        <v>* header.payer.insuranceCode 0..1 Identifier ##34#A.1.3.1-Health insurance code [Mandatory]##34# ##334#Unique health insurance company identification code.##334#</v>
      </c>
    </row>
    <row r="38" spans="3:3" ht="29.5" x14ac:dyDescent="0.75">
      <c r="C38" s="12" t="str">
        <f>IF(HospitalDischargeReportSK!J38="*  ..  ##34###34# ##334###334#","//--- END",HospitalDischargeReportSK!J38)</f>
        <v>* header.payer.insuranceName 0..1 string ##34#A.1.3.2-Health insurance name [Required]##34# ##334#Full, official name of the healthcare insurance provider.##334#</v>
      </c>
    </row>
    <row r="39" spans="3:3" ht="29.5" x14ac:dyDescent="0.75">
      <c r="C39" s="12" t="str">
        <f>IF(HospitalDischargeReportSK!J39="*  ..  ##34###34# ##334###334#","//--- END",HospitalDischargeReportSK!J39)</f>
        <v>* header.payer.insuranceNumber 0..1 Identifier ##34#A.1.3.3-Health insurance number [Mandatory]##34# ##334#Number or code under which the insured person is registered at the insurance provider.##334#</v>
      </c>
    </row>
    <row r="40" spans="3:3" ht="44.25" x14ac:dyDescent="0.75">
      <c r="C40" s="12" t="str">
        <f>IF(HospitalDischargeReportSK!J40="*  ..  ##34###34# ##334###334#","//--- END",HospitalDischargeReportSK!J40)</f>
        <v>* header.informationRecipient 0..0 BackboneElement ##34#A.1.4-Information recipient [Required]##34# ##334#intended recipient or recipients of the report, additional recipients might be identified by the ordering party, e.g. GP, other specialist##334#</v>
      </c>
    </row>
    <row r="41" spans="3:3" ht="59" x14ac:dyDescent="0.75">
      <c r="C41" s="12" t="str">
        <f>IF(HospitalDischargeReportSK!J41="*  ..  ##34###34# ##334###334#","//--- END",HospitalDischargeReportSK!J41)</f>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IF(HospitalDischargeReportSK!J42="*  ..  ##34###34# ##334###334#","//--- END",HospitalDischargeReportSK!J42)</f>
        <v>* header.informationRecipient.name 0..0 HumanName ##34#A.1.4.2-Recipient name [Required]##34# ##334#Person name.##334#</v>
      </c>
    </row>
    <row r="43" spans="3:3" ht="44.25" x14ac:dyDescent="0.75">
      <c r="C43" s="12" t="str">
        <f>IF(HospitalDischargeReportSK!J43="*  ..  ##34###34# ##334###334#","//--- END",HospitalDischargeReportSK!J43)</f>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IF(HospitalDischargeReportSK!J44="*  ..  ##34###34# ##334###334#","//--- END",HospitalDischargeReportSK!J44)</f>
        <v>* header.informationRecipient.organization 0..0 BackboneElement ##34#A.1.4.4-Recipient organization [Required]##34# ##334#The healthcare provider organization information.##334#</v>
      </c>
    </row>
    <row r="45" spans="3:3" ht="29.5" x14ac:dyDescent="0.75">
      <c r="C45" s="12" t="str">
        <f>IF(HospitalDischargeReportSK!J45="*  ..  ##34###34# ##334###334#","//--- END",HospitalDischargeReportSK!J45)</f>
        <v>* header.author 1..* BackboneElement ##34#A.1.5-Author (by whom the Hospital discharge report was authored) [Mandatory]##34# ##334#Author (by whom the Hospital discharge report was authored)##334#</v>
      </c>
    </row>
    <row r="46" spans="3:3" ht="44.25" x14ac:dyDescent="0.75">
      <c r="C46" s="12" t="str">
        <f>IF(HospitalDischargeReportSK!J46="*  ..  ##34###34# ##334###334#","//--- END",HospitalDischargeReportSK!J46)</f>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IF(HospitalDischargeReportSK!J47="*  ..  ##34###34# ##334###334#","//--- END",HospitalDischargeReportSK!J47)</f>
        <v>* header.author.name 1..1 HumanName ##34#A.1.5.2-Author name [Mandatory]##34# ##334#Person name.##334#</v>
      </c>
    </row>
    <row r="48" spans="3:3" ht="29.5" x14ac:dyDescent="0.75">
      <c r="C48" s="12" t="str">
        <f>IF(HospitalDischargeReportSK!J48="*  ..  ##34###34# ##334###334#","//--- END",HospitalDischargeReportSK!J48)</f>
        <v>* header.author.organizationID 0..* Identifier ##34#A.1.5.3-Author organization ID [Required]##34# ##334#The healthcare provider organization information.##334#</v>
      </c>
    </row>
    <row r="49" spans="3:3" ht="44.25" x14ac:dyDescent="0.75">
      <c r="C49" s="12" t="str">
        <f>IF(HospitalDischargeReportSK!J49="*  ..  ##34###34# ##334###334#","//--- END",HospitalDischargeReportSK!J49)</f>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IF(HospitalDischargeReportSK!J50="*  ..  ##34###34# ##334###334#","//--- END",HospitalDischargeReportSK!J50)</f>
        <v>* header.author.dateTime 1..1 dateTime ##34#A.1.5.5-DateTime [Mandatory]##34# ##334#Date and time of the last modification of the document by its Author.##334#</v>
      </c>
    </row>
    <row r="51" spans="3:3" x14ac:dyDescent="0.75">
      <c r="C51" s="12" t="str">
        <f>IF(HospitalDischargeReportSK!J51="*  ..  ##34###34# ##334###334#","//--- END",HospitalDischargeReportSK!J51)</f>
        <v>* header.attester 0..* BackboneElement ##34#A.1.6-Attester [Required]##34# ##334#A.1.6-Attester [Required]##334#</v>
      </c>
    </row>
    <row r="52" spans="3:3" ht="44.25" x14ac:dyDescent="0.75">
      <c r="C52" s="12" t="str">
        <f>IF(HospitalDischargeReportSK!J52="*  ..  ##34###34# ##334###334#","//--- END",HospitalDischargeReportSK!J52)</f>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IF(HospitalDischargeReportSK!J53="*  ..  ##34###34# ##334###334#","//--- END",HospitalDischargeReportSK!J53)</f>
        <v>* header.attester.name 1..1 HumanName ##34#A.1.6.2-Attester name [Mandatory]##34# ##334#Person name.##334#</v>
      </c>
    </row>
    <row r="54" spans="3:3" ht="44.25" x14ac:dyDescent="0.75">
      <c r="C54" s="12" t="str">
        <f>IF(HospitalDischargeReportSK!J54="*  ..  ##34###34# ##334###334#","//--- END",HospitalDischargeReportSK!J54)</f>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IF(HospitalDischargeReportSK!J55="*  ..  ##34###34# ##334###334#","//--- END",HospitalDischargeReportSK!J55)</f>
        <v>* header.attester.organization 0..0 BackboneElement ##34#A.1.6.4-Attester organization [Mandatory]##34# ##334#The healthcare provider organization information.##334#</v>
      </c>
    </row>
    <row r="56" spans="3:3" ht="29.5" x14ac:dyDescent="0.75">
      <c r="C56" s="12" t="str">
        <f>IF(HospitalDischargeReportSK!J56="*  ..  ##34###34# ##334###334#","//--- END",HospitalDischargeReportSK!J56)</f>
        <v>* header.attester.dateTime 0..0 dateTime ##34#A.1.6.5-Approval date and time [Mandatory]##34# ##334#Date and time of the approval of the document by Attester.##334#</v>
      </c>
    </row>
    <row r="57" spans="3:3" ht="29.5" x14ac:dyDescent="0.75">
      <c r="C57" s="12" t="str">
        <f>IF(HospitalDischargeReportSK!J57="*  ..  ##34###34# ##334###334#","//--- END",HospitalDischargeReportSK!J57)</f>
        <v>* header.legalAuthenticator 0..1 BackboneElement ##34#A.1.7-Legal authenticator [Required]##34# ##334#The person taking responsibility for the medical content of the document##334#</v>
      </c>
    </row>
    <row r="58" spans="3:3" ht="44.25" x14ac:dyDescent="0.75">
      <c r="C58" s="12" t="str">
        <f>IF(HospitalDischargeReportSK!J58="*  ..  ##34###34# ##334###334#","//--- END",HospitalDischargeReportSK!J58)</f>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IF(HospitalDischargeReportSK!J59="*  ..  ##34###34# ##334###334#","//--- END",HospitalDischargeReportSK!J59)</f>
        <v>* header.legalAuthenticator.name 1..1 HumanName ##34#A.1.7.2-Legal authenticator name [Mandatory]##34# ##334#Person name.##334#</v>
      </c>
    </row>
    <row r="60" spans="3:3" ht="44.25" x14ac:dyDescent="0.75">
      <c r="C60" s="12" t="str">
        <f>IF(HospitalDischargeReportSK!J60="*  ..  ##34###34# ##334###334#","//--- END",HospitalDischargeReportSK!J60)</f>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IF(HospitalDischargeReportSK!J61="*  ..  ##34###34# ##334###334#","//--- END",HospitalDischargeReportSK!J61)</f>
        <v>* header.legalAuthenticator.organization 0..0 BackboneElement ##34#A.1.7.3-Legal authenticator organization [Mandatory]##34# ##334#The healthcare provider organization information.##334#</v>
      </c>
    </row>
    <row r="62" spans="3:3" ht="29.5" x14ac:dyDescent="0.75">
      <c r="C62" s="12" t="str">
        <f>IF(HospitalDischargeReportSK!J62="*  ..  ##34###34# ##334###334#","//--- END",HospitalDischargeReportSK!J62)</f>
        <v>* header.legalAuthenticator.dateTime 0..0 dateTime ##34#A.1.7.4-Authentication date and time [Mandatory]##34# ##334#Date and time when the document was authorized.##334#</v>
      </c>
    </row>
    <row r="63" spans="3:3" ht="29.5" x14ac:dyDescent="0.75">
      <c r="C63" s="12" t="str">
        <f>IF(HospitalDischargeReportSK!J63="*  ..  ##34###34# ##334###334#","//--- END",HospitalDischargeReportSK!J63)</f>
        <v>* header.documentMetadata 0..0 BackboneElement ##34#A.1.8-Document metadata [Mandatory]##34# ##334#A.1.8-Document metadata [Mandatory]##334#</v>
      </c>
    </row>
    <row r="64" spans="3:3" ht="29.5" x14ac:dyDescent="0.75">
      <c r="C64" s="12" t="str">
        <f>IF(HospitalDischargeReportSK!J64="*  ..  ##34###34# ##334###334#","//--- END",HospitalDischargeReportSK!J64)</f>
        <v>* header.documentMetadata.identifier 0..0 Identifier ##34#A.1.8.1-Document ID [Mandatory]##34# ##334#Unique identifier of the document##334#</v>
      </c>
    </row>
    <row r="65" spans="3:3" ht="29.5" x14ac:dyDescent="0.75">
      <c r="C65" s="12" t="str">
        <f>IF(HospitalDischargeReportSK!J65="*  ..  ##34###34# ##334###334#","//--- END",HospitalDischargeReportSK!J65)</f>
        <v>* header.documentMetadata.type 0..0 CodeableConcept ##34#A.1.8.2-Document type [Mandatory]##34# ##334#A coded type of the document. Fixed value 'Hospital dicharge summary'##334#</v>
      </c>
    </row>
    <row r="66" spans="3:3" ht="29.5" x14ac:dyDescent="0.75">
      <c r="C66" s="12" t="str">
        <f>IF(HospitalDischargeReportSK!J66="*  ..  ##34###34# ##334###334#","//--- END",HospitalDischargeReportSK!J66)</f>
        <v>* header.documentMetadata.status 0..0 CodeableConcept ##34#A.1.8.3-Document status [Mandatory]##34# ##334#The status of the Hospital discharge report. E.g., preliminary, final.##334#</v>
      </c>
    </row>
    <row r="67" spans="3:3" ht="29.5" x14ac:dyDescent="0.75">
      <c r="C67" s="12" t="str">
        <f>IF(HospitalDischargeReportSK!J67="*  ..  ##34###34# ##334###334#","//--- END",HospitalDischargeReportSK!J67)</f>
        <v>* header.documentMetadata.dateTime 0..0 dateTime ##34#A.1.8.4-Report date and time [Mandatory]##34# ##334#Date and time of the result report creation.##334#</v>
      </c>
    </row>
    <row r="68" spans="3:3" ht="29.5" x14ac:dyDescent="0.75">
      <c r="C68" s="12" t="str">
        <f>IF(HospitalDischargeReportSK!J68="*  ..  ##34###34# ##334###334#","//--- END",HospitalDischargeReportSK!J68)</f>
        <v>* header.documentMetadata.title 0..0 string ##34#A.1.8.5-Document title [Mandatory]##34# ##334#Document title, e.g. 'Hospital discharge report'##334#</v>
      </c>
    </row>
    <row r="69" spans="3:3" ht="29.5" x14ac:dyDescent="0.75">
      <c r="C69" s="12" t="str">
        <f>IF(HospitalDischargeReportSK!J69="*  ..  ##34###34# ##334###334#","//--- END",HospitalDischargeReportSK!J69)</f>
        <v>* header.documentMetadata.custodian 0..0 BackboneElement ##34#A.1.8.6-Report custodian [Optional]##34# ##334#Organisation that is in charge of maintaining the report##334#</v>
      </c>
    </row>
    <row r="70" spans="3:3" ht="29.5" x14ac:dyDescent="0.75">
      <c r="C70" s="12" t="str">
        <f>IF(HospitalDischargeReportSK!J70="*  ..  ##34###34# ##334###334#","//--- END",HospitalDischargeReportSK!J70)</f>
        <v>* header.documentMetadata.confidentiality 0..0 CodeableConcept ##34#A.1.8.7-Confidentiality [Mandatory]##34# ##334#Level of confidentiality of the document. Implicit value is normal.##334#</v>
      </c>
    </row>
    <row r="71" spans="3:3" ht="29.5" x14ac:dyDescent="0.75">
      <c r="C71" s="12" t="str">
        <f>IF(HospitalDischargeReportSK!J71="*  ..  ##34###34# ##334###334#","//--- END",HospitalDischargeReportSK!J71)</f>
        <v>* header.documentMetadata.language 0..0 CodeableConcept ##34#A.1.8.8-Language [Required]##34# ##334#Language in which the document is written. Language is expressed by the ISO language code.##334#</v>
      </c>
    </row>
    <row r="72" spans="3:3" x14ac:dyDescent="0.75">
      <c r="C72" s="12" t="str">
        <f>IF(HospitalDischargeReportSK!J72="*  ..  ##34###34# ##334###334#","//--- END",HospitalDischargeReportSK!J72)</f>
        <v>* header.documentMetadata.version 0..0 string ##34#A.1.8.9-Version [Required]##34# ##334#Version of the document##334#</v>
      </c>
    </row>
    <row r="73" spans="3:3" ht="29.5" x14ac:dyDescent="0.75">
      <c r="C73" s="12" t="str">
        <f>IF(HospitalDischargeReportSK!J73="*  ..  ##34###34# ##334###334#","//--- END",HospitalDischargeReportSK!J73)</f>
        <v>* header.digitalSignature 0..0 BackboneElement ##34#A.1.9-Digital signatures [Required]##34# ##334#A.1.9-Digital signatures [Required]##334#</v>
      </c>
    </row>
    <row r="74" spans="3:3" ht="29.5" x14ac:dyDescent="0.75">
      <c r="C74" s="12" t="str">
        <f>IF(HospitalDischargeReportSK!J74="*  ..  ##34###34# ##334###334#","//--- END",HospitalDischargeReportSK!J74)</f>
        <v>* header.digitalSignature.signature 0..0 BackboneElement ##34#A.1.9.1-Digital signature [Required]##34# ##334#Digital signature of the document##334#</v>
      </c>
    </row>
    <row r="75" spans="3:3" ht="29.5" x14ac:dyDescent="0.75">
      <c r="C75" s="12" t="str">
        <f>IF(HospitalDischargeReportSK!J75="*  ..  ##34###34# ##334###334#","//--- END",HospitalDischargeReportSK!J75)</f>
        <v>* header.digitalSignature.timeStamp 0..0 dateTime ##34#A.1.9.2-Time stamp [Required]##34# ##334#An electronic time stamp##334#</v>
      </c>
    </row>
    <row r="76" spans="3:3" x14ac:dyDescent="0.75">
      <c r="C76" s="12" t="str">
        <f>IF(HospitalDischargeReportSK!J76="*  ..  ##34###34# ##334###334#","//--- END",HospitalDischargeReportSK!J76)</f>
        <v>* body 1..1 BackboneElement ##34#A.2-Body (missing elementy ?) [Mandatory]##34# ##334#Missing element ?##334#</v>
      </c>
    </row>
    <row r="77" spans="3:3" ht="29.5" x14ac:dyDescent="0.75">
      <c r="C77" s="12" t="str">
        <f>IF(HospitalDischargeReportSK!J77="*  ..  ##34###34# ##334###334#","//--- END",HospitalDischargeReportSK!J77)</f>
        <v>* body.advanceDirectives 0..1 BackboneElement ##34#A.2.1-Advance directives [Required]##34# ##334#A.2.1-Advance directives [Required]##334#</v>
      </c>
    </row>
    <row r="78" spans="3:3" ht="29.5" x14ac:dyDescent="0.75">
      <c r="C78" s="12" t="str">
        <f>IF(HospitalDischargeReportSK!J78="*  ..  ##34###34# ##334###334#","//--- END",HospitalDischargeReportSK!J78)</f>
        <v>* body.emergencyInfos 1..1 BackboneElement ##34#A.2.2-Emergency information [Mandatory]##34# ##334#A.2.2-Emergency information [Mandatory]##334#</v>
      </c>
    </row>
    <row r="79" spans="3:3" x14ac:dyDescent="0.75">
      <c r="C79" s="12" t="str">
        <f>IF(HospitalDischargeReportSK!J79="*  ..  ##34###34# ##334###334#","//--- END",HospitalDischargeReportSK!J79)</f>
        <v>* body.encounter 1..1 BackboneElement ##34#A.2.3-Encounter [Mandatory]##34# ##334#A.2.3-Encounter [Mandatory]##334#</v>
      </c>
    </row>
    <row r="80" spans="3:3" ht="44.25" x14ac:dyDescent="0.75">
      <c r="C80" s="12" t="str">
        <f>IF(HospitalDischargeReportSK!J80="*  ..  ##34###34# ##334###334#","//--- END",HospitalDischargeReportSK!J80)</f>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IF(HospitalDischargeReportSK!J81="*  ..  ##34###34# ##334###334#","//--- END",HospitalDischargeReportSK!J81)</f>
        <v>* body.patientHistory 0..1 BackboneElement ##34#A.2.6-Patient history [Optional]##34# ##334#A.2.6-Patient history [Optional]##334#</v>
      </c>
    </row>
    <row r="82" spans="3:3" ht="29.5" x14ac:dyDescent="0.75">
      <c r="C82" s="12" t="str">
        <f>IF(HospitalDischargeReportSK!J82="*  ..  ##34###34# ##334###334#","//--- END",HospitalDischargeReportSK!J82)</f>
        <v>* body.hospitalStay 1..1 BackboneElement ##34#A.2.7-Hospital stay [Mandatory]##34# ##334#A.2.7-Hospital stay [Mandatory]##334#</v>
      </c>
    </row>
    <row r="83" spans="3:3" ht="29.5" x14ac:dyDescent="0.75">
      <c r="C83" s="12" t="str">
        <f>IF(HospitalDischargeReportSK!J83="*  ..  ##34###34# ##334###334#","//--- END",HospitalDischargeReportSK!J83)</f>
        <v>* body.dischargeDetails 1..1 BackboneElement ##34#A.2.8-Discharge details [Mandatory]##34# ##334#structured information should be provided, however if not available, at least a summary note should be present##334#</v>
      </c>
    </row>
    <row r="84" spans="3:3" ht="29.5" x14ac:dyDescent="0.75">
      <c r="C84" s="12" t="str">
        <f>IF(HospitalDischargeReportSK!J84="*  ..  ##34###34# ##334###334#","//--- END",HospitalDischargeReportSK!J84)</f>
        <v>* body.recommendations 0..1 BackboneElement ##34#A.2.9-Recommendations [Required]##34# ##334#A.2.9-Recommendations [Required]##334#</v>
      </c>
    </row>
    <row r="85" spans="3:3" x14ac:dyDescent="0.75">
      <c r="C85" s="12" t="str">
        <f>IF(HospitalDischargeReportSK!J85="*  ..  ##34###34# ##334###334#","//--- END",HospitalDischargeReportSK!J85)</f>
        <v>//--- END</v>
      </c>
    </row>
    <row r="86" spans="3:3" x14ac:dyDescent="0.75">
      <c r="C86" s="12" t="str">
        <f>IF(HospitalDischargeReportSK!J86="*  ..  ##34###34# ##334###334#","//--- END",HospitalDischargeReportSK!J86)</f>
        <v>//--- END</v>
      </c>
    </row>
    <row r="87" spans="3:3" x14ac:dyDescent="0.75">
      <c r="C87" s="12" t="str">
        <f>IF(HospitalDischargeReportSK!J87="*  ..  ##34###34# ##334###334#","//--- END",HospitalDischargeReportSK!J87)</f>
        <v>//--- END</v>
      </c>
    </row>
    <row r="93" spans="3:3" x14ac:dyDescent="0.75">
      <c r="C93" s="23" t="s">
        <v>98</v>
      </c>
    </row>
    <row r="94" spans="3:3" x14ac:dyDescent="0.75">
      <c r="C94" s="24" t="s">
        <v>18</v>
      </c>
    </row>
    <row r="95" spans="3:3" x14ac:dyDescent="0.75">
      <c r="C95" s="24" t="s">
        <v>98</v>
      </c>
    </row>
    <row r="96" spans="3:3" x14ac:dyDescent="0.75">
      <c r="C96" s="12" t="str">
        <f>IF(HospitalDischargeReportSK!L8="*  ..  ##34###34# ##334###334#","//--- END",HospitalDischargeReportSK!L8)</f>
        <v/>
      </c>
    </row>
    <row r="97" spans="3:3" x14ac:dyDescent="0.75">
      <c r="C97" s="12" t="str">
        <f>IF(HospitalDischargeReportSK!L9="*  ..  ##34###34# ##334###334#","//--- END",HospitalDischargeReportSK!L9)</f>
        <v/>
      </c>
    </row>
    <row r="98" spans="3:3" x14ac:dyDescent="0.75">
      <c r="C98" s="12" t="str">
        <f>IF(HospitalDischargeReportSK!L10="*  ..  ##34###34# ##334###334#","//--- END",HospitalDischargeReportSK!L10)</f>
        <v/>
      </c>
    </row>
    <row r="99" spans="3:3" x14ac:dyDescent="0.75">
      <c r="C99" s="12" t="str">
        <f>IF(HospitalDischargeReportSK!L11="*  ..  ##34###34# ##334###334#","//--- END",HospitalDischargeReportSK!L11)</f>
        <v/>
      </c>
    </row>
    <row r="100" spans="3:3" x14ac:dyDescent="0.75">
      <c r="C100" s="12" t="str">
        <f>IF(HospitalDischargeReportSK!L12="*  ..  ##34###34# ##334###334#","//--- END",HospitalDischargeReportSK!L12)</f>
        <v/>
      </c>
    </row>
    <row r="101" spans="3:3" x14ac:dyDescent="0.75">
      <c r="C101" s="12" t="str">
        <f>IF(HospitalDischargeReportSK!L13="*  ..  ##34###34# ##334###334#","//--- END",HospitalDischargeReportSK!L13)</f>
        <v/>
      </c>
    </row>
    <row r="102" spans="3:3" x14ac:dyDescent="0.75">
      <c r="C102" s="12" t="str">
        <f>IF(HospitalDischargeReportSK!L14="*  ..  ##34###34# ##334###334#","//--- END",HospitalDischargeReportSK!L14)</f>
        <v>* header.subjectIdentification.nationality ^comment = ##334#eHDSICountry (ISO 3166)##334#</v>
      </c>
    </row>
    <row r="103" spans="3:3" x14ac:dyDescent="0.75">
      <c r="C103" s="12" t="str">
        <f>IF(HospitalDischargeReportSK!L15="*  ..  ##34###34# ##334###334#","//--- END",HospitalDischargeReportSK!L15)</f>
        <v>* header.subjectIdentification.gender ^comment = ##334#HL7 Administrative Gender ##334#</v>
      </c>
    </row>
    <row r="104" spans="3:3" x14ac:dyDescent="0.75">
      <c r="C104" s="12" t="str">
        <f>IF(HospitalDischargeReportSK!L16="*  ..  ##34###34# ##334###334#","//--- END",HospitalDischargeReportSK!L16)</f>
        <v>* header.subjectIdentification.language ^comment = ##334#BCP 47##334#</v>
      </c>
    </row>
    <row r="105" spans="3:3" x14ac:dyDescent="0.75">
      <c r="C105" s="12" t="str">
        <f>IF(HospitalDischargeReportSK!L17="*  ..  ##34###34# ##334###334#","//--- END",HospitalDischargeReportSK!L17)</f>
        <v/>
      </c>
    </row>
    <row r="106" spans="3:3" x14ac:dyDescent="0.75">
      <c r="C106" s="12" t="str">
        <f>IF(HospitalDischargeReportSK!L18="*  ..  ##34###34# ##334###334#","//--- END",HospitalDischargeReportSK!L18)</f>
        <v/>
      </c>
    </row>
    <row r="107" spans="3:3" x14ac:dyDescent="0.75">
      <c r="C107" s="12" t="str">
        <f>IF(HospitalDischargeReportSK!L19="*  ..  ##34###34# ##334###334#","//--- END",HospitalDischargeReportSK!L19)</f>
        <v>* header.subjectContact.contactPoint.address ^comment = ##334#eHDSICountry (ISO 3166)##334#</v>
      </c>
    </row>
    <row r="108" spans="3:3" x14ac:dyDescent="0.75">
      <c r="C108" s="12" t="str">
        <f>IF(HospitalDischargeReportSK!L20="*  ..  ##34###34# ##334###334#","//--- END",HospitalDischargeReportSK!L20)</f>
        <v/>
      </c>
    </row>
    <row r="109" spans="3:3" x14ac:dyDescent="0.75">
      <c r="C109" s="12" t="str">
        <f>IF(HospitalDischargeReportSK!L21="*  ..  ##34###34# ##334###334#","//--- END",HospitalDischargeReportSK!L21)</f>
        <v/>
      </c>
    </row>
    <row r="110" spans="3:3" x14ac:dyDescent="0.75">
      <c r="C110" s="12" t="str">
        <f>IF(HospitalDischargeReportSK!L22="*  ..  ##34###34# ##334###334#","//--- END",HospitalDischargeReportSK!L22)</f>
        <v/>
      </c>
    </row>
    <row r="111" spans="3:3" x14ac:dyDescent="0.75">
      <c r="C111" s="12" t="str">
        <f>IF(HospitalDischargeReportSK!L23="*  ..  ##34###34# ##334###334#","//--- END",HospitalDischargeReportSK!L23)</f>
        <v/>
      </c>
    </row>
    <row r="112" spans="3:3" ht="29.5" x14ac:dyDescent="0.75">
      <c r="C112" s="12" t="str">
        <f>IF(HospitalDischargeReportSK!L24="*  ..  ##34###34# ##334###334#","//--- END",HospitalDischargeReportSK!L24)</f>
        <v>* header.subjectContact.contactPoint.preferredHP.role ^comment = ##334#ISCO or SNOMED CT specialty - to be discussed##334#</v>
      </c>
    </row>
    <row r="113" spans="3:3" x14ac:dyDescent="0.75">
      <c r="C113" s="12" t="str">
        <f>IF(HospitalDischargeReportSK!L25="*  ..  ##34###34# ##334###334#","//--- END",HospitalDischargeReportSK!L25)</f>
        <v/>
      </c>
    </row>
    <row r="114" spans="3:3" x14ac:dyDescent="0.75">
      <c r="C114" s="12" t="str">
        <f>IF(HospitalDischargeReportSK!L26="*  ..  ##34###34# ##334###334#","//--- END",HospitalDischargeReportSK!L26)</f>
        <v/>
      </c>
    </row>
    <row r="115" spans="3:3" x14ac:dyDescent="0.75">
      <c r="C115" s="12" t="str">
        <f>IF(HospitalDischargeReportSK!L27="*  ..  ##34###34# ##334###334#","//--- END",HospitalDischargeReportSK!L27)</f>
        <v/>
      </c>
    </row>
    <row r="116" spans="3:3" x14ac:dyDescent="0.75">
      <c r="C116" s="12" t="str">
        <f>IF(HospitalDischargeReportSK!L28="*  ..  ##34###34# ##334###334#","//--- END",HospitalDischargeReportSK!L28)</f>
        <v/>
      </c>
    </row>
    <row r="117" spans="3:3" ht="29.5" x14ac:dyDescent="0.75">
      <c r="C117" s="12" t="str">
        <f>IF(HospitalDischargeReportSK!L29="*  ..  ##34###34# ##334###334#","//--- END",HospitalDischargeReportSK!L29)</f>
        <v>* header.subjectContact.contactPoint.person.role ^comment = ##334#http://terminology.hl7.org/CodeSystem/v3-RoleClass##334#</v>
      </c>
    </row>
    <row r="118" spans="3:3" x14ac:dyDescent="0.75">
      <c r="C118" s="12" t="str">
        <f>IF(HospitalDischargeReportSK!L30="*  ..  ##34###34# ##334###334#","//--- END",HospitalDischargeReportSK!L30)</f>
        <v>* header.subjectContact.contactPoint.person.relationship ^comment = ##334#eHDSIPersonalRelationship##334#</v>
      </c>
    </row>
    <row r="119" spans="3:3" x14ac:dyDescent="0.75">
      <c r="C119" s="12" t="str">
        <f>IF(HospitalDischargeReportSK!L31="*  ..  ##34###34# ##334###334#","//--- END",HospitalDischargeReportSK!L31)</f>
        <v/>
      </c>
    </row>
    <row r="120" spans="3:3" x14ac:dyDescent="0.75">
      <c r="C120" s="12" t="str">
        <f>IF(HospitalDischargeReportSK!L32="*  ..  ##34###34# ##334###334#","//--- END",HospitalDischargeReportSK!L32)</f>
        <v/>
      </c>
    </row>
    <row r="121" spans="3:3" x14ac:dyDescent="0.75">
      <c r="C121" s="12" t="str">
        <f>IF(HospitalDischargeReportSK!L33="*  ..  ##34###34# ##334###334#","//--- END",HospitalDischargeReportSK!L33)</f>
        <v/>
      </c>
    </row>
    <row r="122" spans="3:3" x14ac:dyDescent="0.75">
      <c r="C122" s="12" t="str">
        <f>IF(HospitalDischargeReportSK!L34="*  ..  ##34###34# ##334###334#","//--- END",HospitalDischargeReportSK!L34)</f>
        <v/>
      </c>
    </row>
    <row r="123" spans="3:3" x14ac:dyDescent="0.75">
      <c r="C123" s="12" t="str">
        <f>IF(HospitalDischargeReportSK!L35="*  ..  ##34###34# ##334###334#","//--- END",HospitalDischargeReportSK!L35)</f>
        <v/>
      </c>
    </row>
    <row r="124" spans="3:3" x14ac:dyDescent="0.75">
      <c r="C124" s="12" t="str">
        <f>IF(HospitalDischargeReportSK!L36="*  ..  ##34###34# ##334###334#","//--- END",HospitalDischargeReportSK!L36)</f>
        <v/>
      </c>
    </row>
    <row r="125" spans="3:3" x14ac:dyDescent="0.75">
      <c r="C125" s="12" t="str">
        <f>IF(HospitalDischargeReportSK!L37="*  ..  ##34###34# ##334###334#","//--- END",HospitalDischargeReportSK!L37)</f>
        <v/>
      </c>
    </row>
    <row r="126" spans="3:3" x14ac:dyDescent="0.75">
      <c r="C126" s="12" t="str">
        <f>IF(HospitalDischargeReportSK!L38="*  ..  ##34###34# ##334###334#","//--- END",HospitalDischargeReportSK!L38)</f>
        <v/>
      </c>
    </row>
    <row r="127" spans="3:3" x14ac:dyDescent="0.75">
      <c r="C127" s="12" t="str">
        <f>IF(HospitalDischargeReportSK!L39="*  ..  ##34###34# ##334###334#","//--- END",HospitalDischargeReportSK!L39)</f>
        <v/>
      </c>
    </row>
    <row r="128" spans="3:3" x14ac:dyDescent="0.75">
      <c r="C128" s="12" t="str">
        <f>IF(HospitalDischargeReportSK!L40="*  ..  ##34###34# ##334###334#","//--- END",HospitalDischargeReportSK!L40)</f>
        <v/>
      </c>
    </row>
    <row r="129" spans="3:3" x14ac:dyDescent="0.75">
      <c r="C129" s="12" t="str">
        <f>IF(HospitalDischargeReportSK!L41="*  ..  ##34###34# ##334###334#","//--- END",HospitalDischargeReportSK!L41)</f>
        <v/>
      </c>
    </row>
    <row r="130" spans="3:3" x14ac:dyDescent="0.75">
      <c r="C130" s="12" t="str">
        <f>IF(HospitalDischargeReportSK!L42="*  ..  ##34###34# ##334###334#","//--- END",HospitalDischargeReportSK!L42)</f>
        <v/>
      </c>
    </row>
    <row r="131" spans="3:3" x14ac:dyDescent="0.75">
      <c r="C131" s="12" t="str">
        <f>IF(HospitalDischargeReportSK!L43="*  ..  ##34###34# ##334###334#","//--- END",HospitalDischargeReportSK!L43)</f>
        <v/>
      </c>
    </row>
    <row r="132" spans="3:3" x14ac:dyDescent="0.75">
      <c r="C132" s="12" t="str">
        <f>IF(HospitalDischargeReportSK!L44="*  ..  ##34###34# ##334###334#","//--- END",HospitalDischargeReportSK!L44)</f>
        <v/>
      </c>
    </row>
    <row r="133" spans="3:3" x14ac:dyDescent="0.75">
      <c r="C133" s="12" t="str">
        <f>IF(HospitalDischargeReportSK!L45="*  ..  ##34###34# ##334###334#","//--- END",HospitalDischargeReportSK!L45)</f>
        <v/>
      </c>
    </row>
    <row r="134" spans="3:3" x14ac:dyDescent="0.75">
      <c r="C134" s="12" t="str">
        <f>IF(HospitalDischargeReportSK!L46="*  ..  ##34###34# ##334###334#","//--- END",HospitalDischargeReportSK!L46)</f>
        <v/>
      </c>
    </row>
    <row r="135" spans="3:3" x14ac:dyDescent="0.75">
      <c r="C135" s="12" t="str">
        <f>IF(HospitalDischargeReportSK!L47="*  ..  ##34###34# ##334###334#","//--- END",HospitalDischargeReportSK!L47)</f>
        <v/>
      </c>
    </row>
    <row r="136" spans="3:3" x14ac:dyDescent="0.75">
      <c r="C136" s="12" t="str">
        <f>IF(HospitalDischargeReportSK!L48="*  ..  ##34###34# ##334###334#","//--- END",HospitalDischargeReportSK!L48)</f>
        <v/>
      </c>
    </row>
    <row r="137" spans="3:3" x14ac:dyDescent="0.75">
      <c r="C137" s="12" t="str">
        <f>IF(HospitalDischargeReportSK!L49="*  ..  ##34###34# ##334###334#","//--- END",HospitalDischargeReportSK!L49)</f>
        <v/>
      </c>
    </row>
    <row r="138" spans="3:3" x14ac:dyDescent="0.75">
      <c r="C138" s="12" t="str">
        <f>IF(HospitalDischargeReportSK!L50="*  ..  ##34###34# ##334###334#","//--- END",HospitalDischargeReportSK!L50)</f>
        <v/>
      </c>
    </row>
    <row r="139" spans="3:3" x14ac:dyDescent="0.75">
      <c r="C139" s="12" t="str">
        <f>IF(HospitalDischargeReportSK!L51="*  ..  ##34###34# ##334###334#","//--- END",HospitalDischargeReportSK!L51)</f>
        <v/>
      </c>
    </row>
    <row r="140" spans="3:3" x14ac:dyDescent="0.75">
      <c r="C140" s="12" t="str">
        <f>IF(HospitalDischargeReportSK!L52="*  ..  ##34###34# ##334###334#","//--- END",HospitalDischargeReportSK!L52)</f>
        <v/>
      </c>
    </row>
    <row r="141" spans="3:3" x14ac:dyDescent="0.75">
      <c r="C141" s="12" t="str">
        <f>IF(HospitalDischargeReportSK!L53="*  ..  ##34###34# ##334###334#","//--- END",HospitalDischargeReportSK!L53)</f>
        <v/>
      </c>
    </row>
    <row r="142" spans="3:3" x14ac:dyDescent="0.75">
      <c r="C142" s="12" t="str">
        <f>IF(HospitalDischargeReportSK!L54="*  ..  ##34###34# ##334###334#","//--- END",HospitalDischargeReportSK!L54)</f>
        <v/>
      </c>
    </row>
    <row r="143" spans="3:3" x14ac:dyDescent="0.75">
      <c r="C143" s="12" t="str">
        <f>IF(HospitalDischargeReportSK!L55="*  ..  ##34###34# ##334###334#","//--- END",HospitalDischargeReportSK!L55)</f>
        <v/>
      </c>
    </row>
    <row r="144" spans="3:3" x14ac:dyDescent="0.75">
      <c r="C144" s="12" t="str">
        <f>IF(HospitalDischargeReportSK!L56="*  ..  ##34###34# ##334###334#","//--- END",HospitalDischargeReportSK!L56)</f>
        <v/>
      </c>
    </row>
    <row r="145" spans="3:3" x14ac:dyDescent="0.75">
      <c r="C145" s="12" t="str">
        <f>IF(HospitalDischargeReportSK!L57="*  ..  ##34###34# ##334###334#","//--- END",HospitalDischargeReportSK!L57)</f>
        <v/>
      </c>
    </row>
    <row r="146" spans="3:3" x14ac:dyDescent="0.75">
      <c r="C146" s="12" t="str">
        <f>IF(HospitalDischargeReportSK!L58="*  ..  ##34###34# ##334###334#","//--- END",HospitalDischargeReportSK!L58)</f>
        <v/>
      </c>
    </row>
    <row r="147" spans="3:3" x14ac:dyDescent="0.75">
      <c r="C147" s="12" t="str">
        <f>IF(HospitalDischargeReportSK!L59="*  ..  ##34###34# ##334###334#","//--- END",HospitalDischargeReportSK!L59)</f>
        <v/>
      </c>
    </row>
    <row r="148" spans="3:3" x14ac:dyDescent="0.75">
      <c r="C148" s="12" t="str">
        <f>IF(HospitalDischargeReportSK!L60="*  ..  ##34###34# ##334###334#","//--- END",HospitalDischargeReportSK!L60)</f>
        <v/>
      </c>
    </row>
    <row r="149" spans="3:3" x14ac:dyDescent="0.75">
      <c r="C149" s="12" t="str">
        <f>IF(HospitalDischargeReportSK!L61="*  ..  ##34###34# ##334###334#","//--- END",HospitalDischargeReportSK!L61)</f>
        <v/>
      </c>
    </row>
    <row r="150" spans="3:3" x14ac:dyDescent="0.75">
      <c r="C150" s="12" t="str">
        <f>IF(HospitalDischargeReportSK!L62="*  ..  ##34###34# ##334###334#","//--- END",HospitalDischargeReportSK!L62)</f>
        <v/>
      </c>
    </row>
    <row r="151" spans="3:3" x14ac:dyDescent="0.75">
      <c r="C151" s="12" t="str">
        <f>IF(HospitalDischargeReportSK!L63="*  ..  ##34###34# ##334###334#","//--- END",HospitalDischargeReportSK!L63)</f>
        <v/>
      </c>
    </row>
    <row r="152" spans="3:3" x14ac:dyDescent="0.75">
      <c r="C152" s="12" t="str">
        <f>IF(HospitalDischargeReportSK!L64="*  ..  ##34###34# ##334###334#","//--- END",HospitalDischargeReportSK!L64)</f>
        <v/>
      </c>
    </row>
    <row r="153" spans="3:3" x14ac:dyDescent="0.75">
      <c r="C153" s="12" t="str">
        <f>IF(HospitalDischargeReportSK!L65="*  ..  ##34###34# ##334###334#","//--- END",HospitalDischargeReportSK!L65)</f>
        <v>* header.documentMetadata.type ^comment = ##334#LOINC##334#</v>
      </c>
    </row>
    <row r="154" spans="3:3" x14ac:dyDescent="0.75">
      <c r="C154" s="12" t="str">
        <f>IF(HospitalDischargeReportSK!L66="*  ..  ##34###34# ##334###334#","//--- END",HospitalDischargeReportSK!L66)</f>
        <v>* header.documentMetadata.status ^comment = ##334#hl7:CompositionStatus ##334#</v>
      </c>
    </row>
    <row r="155" spans="3:3" x14ac:dyDescent="0.75">
      <c r="C155" s="12" t="str">
        <f>IF(HospitalDischargeReportSK!L67="*  ..  ##34###34# ##334###334#","//--- END",HospitalDischargeReportSK!L67)</f>
        <v/>
      </c>
    </row>
    <row r="156" spans="3:3" x14ac:dyDescent="0.75">
      <c r="C156" s="12" t="str">
        <f>IF(HospitalDischargeReportSK!L68="*  ..  ##34###34# ##334###334#","//--- END",HospitalDischargeReportSK!L68)</f>
        <v/>
      </c>
    </row>
    <row r="157" spans="3:3" x14ac:dyDescent="0.75">
      <c r="C157" s="12" t="str">
        <f>IF(HospitalDischargeReportSK!L69="*  ..  ##34###34# ##334###334#","//--- END",HospitalDischargeReportSK!L69)</f>
        <v/>
      </c>
    </row>
    <row r="158" spans="3:3" x14ac:dyDescent="0.75">
      <c r="C158" s="12" t="str">
        <f>IF(HospitalDischargeReportSK!L70="*  ..  ##34###34# ##334###334#","//--- END",HospitalDischargeReportSK!L70)</f>
        <v>* header.documentMetadata.confidentiality ^comment = ##334#hl7:confidentiality##334#</v>
      </c>
    </row>
    <row r="159" spans="3:3" x14ac:dyDescent="0.75">
      <c r="C159" s="12" t="str">
        <f>IF(HospitalDischargeReportSK!L71="*  ..  ##34###34# ##334###334#","//--- END",HospitalDischargeReportSK!L71)</f>
        <v>* header.documentMetadata.language ^comment = ##334#BCP 47##334#</v>
      </c>
    </row>
    <row r="160" spans="3:3" x14ac:dyDescent="0.75">
      <c r="C160" s="12" t="str">
        <f>IF(HospitalDischargeReportSK!L72="*  ..  ##34###34# ##334###334#","//--- END",HospitalDischargeReportSK!L72)</f>
        <v/>
      </c>
    </row>
    <row r="161" spans="3:3" x14ac:dyDescent="0.75">
      <c r="C161" s="12" t="str">
        <f>IF(HospitalDischargeReportSK!L73="*  ..  ##34###34# ##334###334#","//--- END",HospitalDischargeReportSK!L73)</f>
        <v/>
      </c>
    </row>
    <row r="162" spans="3:3" x14ac:dyDescent="0.75">
      <c r="C162" s="12" t="str">
        <f>IF(HospitalDischargeReportSK!L74="*  ..  ##34###34# ##334###334#","//--- END",HospitalDischargeReportSK!L74)</f>
        <v/>
      </c>
    </row>
    <row r="163" spans="3:3" x14ac:dyDescent="0.75">
      <c r="C163" s="12" t="str">
        <f>IF(HospitalDischargeReportSK!L75="*  ..  ##34###34# ##334###334#","//--- END",HospitalDischargeReportSK!L75)</f>
        <v/>
      </c>
    </row>
    <row r="164" spans="3:3" x14ac:dyDescent="0.75">
      <c r="C164" s="12" t="str">
        <f>IF(HospitalDischargeReportSK!L76="*  ..  ##34###34# ##334###334#","//--- END",HospitalDischargeReportSK!L76)</f>
        <v/>
      </c>
    </row>
    <row r="165" spans="3:3" x14ac:dyDescent="0.75">
      <c r="C165" s="12" t="str">
        <f>IF(HospitalDischargeReportSK!L77="*  ..  ##34###34# ##334###334#","//--- END",HospitalDischargeReportSK!L77)</f>
        <v/>
      </c>
    </row>
    <row r="166" spans="3:3" x14ac:dyDescent="0.75">
      <c r="C166" s="12" t="str">
        <f>IF(HospitalDischargeReportSK!L78="*  ..  ##34###34# ##334###334#","//--- END",HospitalDischargeReportSK!L78)</f>
        <v/>
      </c>
    </row>
    <row r="167" spans="3:3" x14ac:dyDescent="0.75">
      <c r="C167" s="12" t="str">
        <f>IF(HospitalDischargeReportSK!L79="*  ..  ##34###34# ##334###334#","//--- END",HospitalDischargeReportSK!L79)</f>
        <v/>
      </c>
    </row>
    <row r="168" spans="3:3" x14ac:dyDescent="0.75">
      <c r="C168" s="12" t="str">
        <f>IF(HospitalDischargeReportSK!L80="*  ..  ##34###34# ##334###334#","//--- END",HospitalDischargeReportSK!L80)</f>
        <v/>
      </c>
    </row>
    <row r="169" spans="3:3" x14ac:dyDescent="0.75">
      <c r="C169" s="12" t="str">
        <f>IF(HospitalDischargeReportSK!L81="*  ..  ##34###34# ##334###334#","//--- END",HospitalDischargeReportSK!L81)</f>
        <v/>
      </c>
    </row>
    <row r="170" spans="3:3" x14ac:dyDescent="0.75">
      <c r="C170" s="12" t="str">
        <f>IF(HospitalDischargeReportSK!L82="*  ..  ##34###34# ##334###334#","//--- END",HospitalDischargeReportSK!L82)</f>
        <v/>
      </c>
    </row>
    <row r="171" spans="3:3" x14ac:dyDescent="0.75">
      <c r="C171" s="12" t="str">
        <f>IF(HospitalDischargeReportSK!L83="*  ..  ##34###34# ##334###334#","//--- END",HospitalDischargeReportSK!L83)</f>
        <v/>
      </c>
    </row>
    <row r="172" spans="3:3" x14ac:dyDescent="0.75">
      <c r="C172" s="12" t="str">
        <f>IF(HospitalDischargeReportSK!L84="*  ..  ##34###34# ##334###334#","//--- END",HospitalDischargeReportSK!L84)</f>
        <v/>
      </c>
    </row>
    <row r="173" spans="3:3" x14ac:dyDescent="0.75">
      <c r="C173" s="12" t="str">
        <f>IF(HospitalDischargeReportSK!L85="*  ..  ##34###34# ##334###334#","//--- END",HospitalDischargeReportSK!L85)</f>
        <v>//--- END</v>
      </c>
    </row>
    <row r="174" spans="3:3" x14ac:dyDescent="0.75">
      <c r="C174" s="12" t="str">
        <f>IF(HospitalDischargeReportSK!L86="*  ..  ##34###34# ##334###334#","//--- END",HospitalDischargeReportSK!L86)</f>
        <v>//--- END</v>
      </c>
    </row>
    <row r="175" spans="3:3" x14ac:dyDescent="0.75">
      <c r="C175" s="12" t="str">
        <f>IF(HospitalDischargeReportSK!L87="*  ..  ##34###34# ##334###334#","//--- END",HospitalDischargeReportSK!L87)</f>
        <v>//--- END</v>
      </c>
    </row>
    <row r="176" spans="3:3" x14ac:dyDescent="0.75">
      <c r="C176" s="12" t="str">
        <f>IF(HospitalDischargeReportSK!L88="*  ..  ##34###34# ##334###334#","//--- END",HospitalDischargeReportSK!L88)</f>
        <v>//--- END</v>
      </c>
    </row>
    <row r="178" spans="3:3" x14ac:dyDescent="0.75">
      <c r="C178" s="23" t="str">
        <f>'HospitalDischargeReportSK-Map'!E1</f>
        <v>// -------------------------------------------------------------------------------</v>
      </c>
    </row>
    <row r="179" spans="3:3" x14ac:dyDescent="0.75">
      <c r="C179" s="24" t="str">
        <f>'HospitalDischargeReportSK-Map'!E2</f>
        <v>//  Map to FHIR R4</v>
      </c>
    </row>
    <row r="180" spans="3:3" x14ac:dyDescent="0.75">
      <c r="C180" s="24" t="str">
        <f>'HospitalDischargeReportSK-Map'!E3</f>
        <v>// -------------------------------------------------------------------------------</v>
      </c>
    </row>
    <row r="181" spans="3:3" x14ac:dyDescent="0.75">
      <c r="C181" s="12" t="str">
        <f>'HospitalDischargeReportSK-Map'!E4</f>
        <v>Mapping: HospitalDischargeReportSK2FHIR</v>
      </c>
    </row>
    <row r="182" spans="3:3" x14ac:dyDescent="0.75">
      <c r="C182" s="12" t="str">
        <f>'HospitalDischargeReportSK-Map'!E5</f>
        <v>Id: fhir</v>
      </c>
    </row>
    <row r="183" spans="3:3" x14ac:dyDescent="0.75">
      <c r="C183" s="12" t="str">
        <f>'HospitalDischargeReportSK-Map'!E6</f>
        <v>Title: ##34#Hospital Discharge Report model to FHIR R4 Map##34#</v>
      </c>
    </row>
    <row r="184" spans="3:3" x14ac:dyDescent="0.75">
      <c r="C184" s="12" t="str">
        <f>'HospitalDischargeReportSK-Map'!E7</f>
        <v>Source: HospitalDischargeReportSK</v>
      </c>
    </row>
    <row r="185" spans="3:3" x14ac:dyDescent="0.75">
      <c r="C185" s="12" t="str">
        <f>'HospitalDischargeReportSK-Map'!E8</f>
        <v>Target: ##34#hl7.org/fhir/r4##34#</v>
      </c>
    </row>
    <row r="187" spans="3:3" x14ac:dyDescent="0.75">
      <c r="C187" s="4" t="str">
        <f>'HospitalDischargeReportSK-Map'!E9</f>
        <v>* -&gt; ##34#TBD##34#</v>
      </c>
    </row>
    <row r="188" spans="3:3" x14ac:dyDescent="0.75">
      <c r="C188" s="12" t="str">
        <f>IF('HospitalDischargeReportSK-Map'!E10="*  -&gt; ##34###34#","// --END",'HospitalDischargeReportSK-Map'!E10)</f>
        <v>* header -&gt; ##34#TBD##34#</v>
      </c>
    </row>
    <row r="189" spans="3:3" x14ac:dyDescent="0.75">
      <c r="C189" s="12" t="str">
        <f>IF('HospitalDischargeReportSK-Map'!E11="*  -&gt; ##34###34#","// --END",'HospitalDischargeReportSK-Map'!E11)</f>
        <v>* header.subjectIdentification -&gt; ##34#TBD##34#</v>
      </c>
    </row>
    <row r="190" spans="3:3" x14ac:dyDescent="0.75">
      <c r="C190" s="12" t="str">
        <f>IF('HospitalDischargeReportSK-Map'!E12="*  -&gt; ##34###34#","// --END",'HospitalDischargeReportSK-Map'!E12)</f>
        <v>* header.subjectIdentification.given -&gt; ##34#TBD##34#</v>
      </c>
    </row>
    <row r="191" spans="3:3" x14ac:dyDescent="0.75">
      <c r="C191" s="12" t="str">
        <f>IF('HospitalDischargeReportSK-Map'!E13="*  -&gt; ##34###34#","// --END",'HospitalDischargeReportSK-Map'!E13)</f>
        <v>* header.subjectIdentification.family -&gt; ##34#TBD##34#</v>
      </c>
    </row>
    <row r="192" spans="3:3" x14ac:dyDescent="0.75">
      <c r="C192" s="12" t="str">
        <f>IF('HospitalDischargeReportSK-Map'!E14="*  -&gt; ##34###34#","// --END",'HospitalDischargeReportSK-Map'!E14)</f>
        <v>* header.subjectIdentification.birthDate -&gt; ##34#TBD##34#</v>
      </c>
    </row>
    <row r="193" spans="3:3" x14ac:dyDescent="0.75">
      <c r="C193" s="12" t="str">
        <f>IF('HospitalDischargeReportSK-Map'!E15="*  -&gt; ##34###34#","// --END",'HospitalDischargeReportSK-Map'!E15)</f>
        <v>* header.subjectIdentification.identifier -&gt; ##34#TBD##34#</v>
      </c>
    </row>
    <row r="194" spans="3:3" x14ac:dyDescent="0.75">
      <c r="C194" s="12" t="str">
        <f>IF('HospitalDischargeReportSK-Map'!E16="*  -&gt; ##34###34#","// --END",'HospitalDischargeReportSK-Map'!E16)</f>
        <v>* header.subjectIdentification.nationality -&gt; ##34#TBD##34#</v>
      </c>
    </row>
    <row r="195" spans="3:3" x14ac:dyDescent="0.75">
      <c r="C195" s="12" t="str">
        <f>IF('HospitalDischargeReportSK-Map'!E17="*  -&gt; ##34###34#","// --END",'HospitalDischargeReportSK-Map'!E17)</f>
        <v>* header.subjectIdentification.gender -&gt; ##34#TBD##34#</v>
      </c>
    </row>
    <row r="196" spans="3:3" x14ac:dyDescent="0.75">
      <c r="C196" s="12" t="str">
        <f>IF('HospitalDischargeReportSK-Map'!E18="*  -&gt; ##34###34#","// --END",'HospitalDischargeReportSK-Map'!E18)</f>
        <v>* header.subjectIdentification.language -&gt; ##34#TBD##34#</v>
      </c>
    </row>
    <row r="197" spans="3:3" x14ac:dyDescent="0.75">
      <c r="C197" s="12" t="str">
        <f>IF('HospitalDischargeReportSK-Map'!E19="*  -&gt; ##34###34#","// --END",'HospitalDischargeReportSK-Map'!E19)</f>
        <v>* header.subjectContact -&gt; ##34#TBD##34#</v>
      </c>
    </row>
    <row r="198" spans="3:3" x14ac:dyDescent="0.75">
      <c r="C198" s="12" t="str">
        <f>IF('HospitalDischargeReportSK-Map'!E20="*  -&gt; ##34###34#","// --END",'HospitalDischargeReportSK-Map'!E20)</f>
        <v>* header.subjectContact.contactPoint -&gt; ##34#TBD##34#</v>
      </c>
    </row>
    <row r="199" spans="3:3" x14ac:dyDescent="0.75">
      <c r="C199" s="12" t="str">
        <f>IF('HospitalDischargeReportSK-Map'!E21="*  -&gt; ##34###34#","// --END",'HospitalDischargeReportSK-Map'!E21)</f>
        <v>* header.subjectContact.contactPoint.address -&gt; ##34#TBD##34#</v>
      </c>
    </row>
    <row r="200" spans="3:3" x14ac:dyDescent="0.75">
      <c r="C200" s="12" t="str">
        <f>IF('HospitalDischargeReportSK-Map'!E22="*  -&gt; ##34###34#","// --END",'HospitalDischargeReportSK-Map'!E22)</f>
        <v>* header.subjectContact.contactPoint.telecom -&gt; ##34#TBD##34#</v>
      </c>
    </row>
    <row r="201" spans="3:3" x14ac:dyDescent="0.75">
      <c r="C201" s="12" t="str">
        <f>IF('HospitalDischargeReportSK-Map'!E23="*  -&gt; ##34###34#","// --END",'HospitalDischargeReportSK-Map'!E23)</f>
        <v>* header.subjectContact.contactPoint.preferredHP -&gt; ##34#TBD##34#</v>
      </c>
    </row>
    <row r="202" spans="3:3" x14ac:dyDescent="0.75">
      <c r="C202" s="12" t="str">
        <f>IF('HospitalDischargeReportSK-Map'!E24="*  -&gt; ##34###34#","// --END",'HospitalDischargeReportSK-Map'!E24)</f>
        <v>* header.subjectContact.contactPoint.preferredHP.identifier -&gt; ##34#TBD##34#</v>
      </c>
    </row>
    <row r="203" spans="3:3" x14ac:dyDescent="0.75">
      <c r="C203" s="12" t="str">
        <f>IF('HospitalDischargeReportSK-Map'!E25="*  -&gt; ##34###34#","// --END",'HospitalDischargeReportSK-Map'!E25)</f>
        <v>* header.subjectContact.contactPoint.preferredHP.name -&gt; ##34#TBD##34#</v>
      </c>
    </row>
    <row r="204" spans="3:3" x14ac:dyDescent="0.75">
      <c r="C204" s="12" t="str">
        <f>IF('HospitalDischargeReportSK-Map'!E26="*  -&gt; ##34###34#","// --END",'HospitalDischargeReportSK-Map'!E26)</f>
        <v>* header.subjectContact.contactPoint.preferredHP.role -&gt; ##34#TBD##34#</v>
      </c>
    </row>
    <row r="205" spans="3:3" x14ac:dyDescent="0.75">
      <c r="C205" s="12" t="str">
        <f>IF('HospitalDischargeReportSK-Map'!E27="*  -&gt; ##34###34#","// --END",'HospitalDischargeReportSK-Map'!E27)</f>
        <v>* header.subjectContact.contactPoint.preferredHP.organization -&gt; ##34#TBD##34#</v>
      </c>
    </row>
    <row r="206" spans="3:3" x14ac:dyDescent="0.75">
      <c r="C206" s="12" t="str">
        <f>IF('HospitalDischargeReportSK-Map'!E28="*  -&gt; ##34###34#","// --END",'HospitalDischargeReportSK-Map'!E28)</f>
        <v>* header.subjectContact.contactPoint.preferredHP.address -&gt; ##34#TBD##34#</v>
      </c>
    </row>
    <row r="207" spans="3:3" x14ac:dyDescent="0.75">
      <c r="C207" s="12" t="str">
        <f>IF('HospitalDischargeReportSK-Map'!E29="*  -&gt; ##34###34#","// --END",'HospitalDischargeReportSK-Map'!E29)</f>
        <v>* header.subjectContact.contactPoint.preferredHP.telecom -&gt; ##34#TBD##34#</v>
      </c>
    </row>
    <row r="208" spans="3:3" x14ac:dyDescent="0.75">
      <c r="C208" s="12" t="str">
        <f>IF('HospitalDischargeReportSK-Map'!E30="*  -&gt; ##34###34#","// --END",'HospitalDischargeReportSK-Map'!E30)</f>
        <v>* header.subjectContact.contactPoint.person -&gt; ##34#TBD##34#</v>
      </c>
    </row>
    <row r="209" spans="3:3" x14ac:dyDescent="0.75">
      <c r="C209" s="12" t="str">
        <f>IF('HospitalDischargeReportSK-Map'!E31="*  -&gt; ##34###34#","// --END",'HospitalDischargeReportSK-Map'!E31)</f>
        <v>* header.subjectContact.contactPoint.person.role -&gt; ##34#TBD##34#</v>
      </c>
    </row>
    <row r="210" spans="3:3" x14ac:dyDescent="0.75">
      <c r="C210" s="12" t="str">
        <f>IF('HospitalDischargeReportSK-Map'!E32="*  -&gt; ##34###34#","// --END",'HospitalDischargeReportSK-Map'!E32)</f>
        <v>* header.subjectContact.contactPoint.person.relationship -&gt; ##34#TBD##34#</v>
      </c>
    </row>
    <row r="211" spans="3:3" x14ac:dyDescent="0.75">
      <c r="C211" s="12" t="str">
        <f>IF('HospitalDischargeReportSK-Map'!E33="*  -&gt; ##34###34#","// --END",'HospitalDischargeReportSK-Map'!E33)</f>
        <v>* header.subjectContact.contactPoint.person.identifier -&gt; ##34#TBD##34#</v>
      </c>
    </row>
    <row r="212" spans="3:3" x14ac:dyDescent="0.75">
      <c r="C212" s="12" t="str">
        <f>IF('HospitalDischargeReportSK-Map'!E34="*  -&gt; ##34###34#","// --END",'HospitalDischargeReportSK-Map'!E34)</f>
        <v>* header.subjectContact.contactPoint.person.given -&gt; ##34#TBD##34#</v>
      </c>
    </row>
    <row r="213" spans="3:3" x14ac:dyDescent="0.75">
      <c r="C213" s="12" t="str">
        <f>IF('HospitalDischargeReportSK-Map'!E35="*  -&gt; ##34###34#","// --END",'HospitalDischargeReportSK-Map'!E35)</f>
        <v>* header.subjectContact.contactPoint.person.name -&gt; ##34#TBD##34#</v>
      </c>
    </row>
    <row r="214" spans="3:3" x14ac:dyDescent="0.75">
      <c r="C214" s="12" t="str">
        <f>IF('HospitalDischargeReportSK-Map'!E36="*  -&gt; ##34###34#","// --END",'HospitalDischargeReportSK-Map'!E36)</f>
        <v>* header.subjectContact.contactPoint.person.address -&gt; ##34#TBD##34#</v>
      </c>
    </row>
    <row r="215" spans="3:3" x14ac:dyDescent="0.75">
      <c r="C215" s="12" t="str">
        <f>IF('HospitalDischargeReportSK-Map'!E37="*  -&gt; ##34###34#","// --END",'HospitalDischargeReportSK-Map'!E37)</f>
        <v>* header.subjectContact.contactPoint.person.telecom -&gt; ##34#TBD##34#</v>
      </c>
    </row>
    <row r="216" spans="3:3" x14ac:dyDescent="0.75">
      <c r="C216" s="12" t="str">
        <f>IF('HospitalDischargeReportSK-Map'!E38="*  -&gt; ##34###34#","// --END",'HospitalDischargeReportSK-Map'!E38)</f>
        <v>* header.payer -&gt; ##34#TBD##34#</v>
      </c>
    </row>
    <row r="217" spans="3:3" x14ac:dyDescent="0.75">
      <c r="C217" s="12" t="str">
        <f>IF('HospitalDischargeReportSK-Map'!E39="*  -&gt; ##34###34#","// --END",'HospitalDischargeReportSK-Map'!E39)</f>
        <v>* header.payer.insuranceCode -&gt; ##34#TBD##34#</v>
      </c>
    </row>
    <row r="218" spans="3:3" x14ac:dyDescent="0.75">
      <c r="C218" s="12" t="str">
        <f>IF('HospitalDischargeReportSK-Map'!E40="*  -&gt; ##34###34#","// --END",'HospitalDischargeReportSK-Map'!E40)</f>
        <v>* header.payer.insuranceName -&gt; ##34#TBD##34#</v>
      </c>
    </row>
    <row r="219" spans="3:3" x14ac:dyDescent="0.75">
      <c r="C219" s="12" t="str">
        <f>IF('HospitalDischargeReportSK-Map'!E41="*  -&gt; ##34###34#","// --END",'HospitalDischargeReportSK-Map'!E41)</f>
        <v>* header.payer.insuranceNumber -&gt; ##34#TBD##34#</v>
      </c>
    </row>
    <row r="220" spans="3:3" x14ac:dyDescent="0.75">
      <c r="C220" s="12" t="str">
        <f>IF('HospitalDischargeReportSK-Map'!E42="*  -&gt; ##34###34#","// --END",'HospitalDischargeReportSK-Map'!E42)</f>
        <v>* header.informationRecipient -&gt; ##34#TBD##34#</v>
      </c>
    </row>
    <row r="221" spans="3:3" x14ac:dyDescent="0.75">
      <c r="C221" s="12" t="str">
        <f>IF('HospitalDischargeReportSK-Map'!E43="*  -&gt; ##34###34#","// --END",'HospitalDischargeReportSK-Map'!E43)</f>
        <v>* header.informationRecipient.identifier -&gt; ##34#TBD##34#</v>
      </c>
    </row>
    <row r="222" spans="3:3" x14ac:dyDescent="0.75">
      <c r="C222" s="12" t="str">
        <f>IF('HospitalDischargeReportSK-Map'!E44="*  -&gt; ##34###34#","// --END",'HospitalDischargeReportSK-Map'!E44)</f>
        <v>* header.informationRecipient.name -&gt; ##34#TBD##34#</v>
      </c>
    </row>
    <row r="223" spans="3:3" x14ac:dyDescent="0.75">
      <c r="C223" s="12" t="str">
        <f>IF('HospitalDischargeReportSK-Map'!E45="*  -&gt; ##34###34#","// --END",'HospitalDischargeReportSK-Map'!E45)</f>
        <v>* header.informationRecipient.organizationID -&gt; ##34#TBD##34#</v>
      </c>
    </row>
    <row r="224" spans="3:3" x14ac:dyDescent="0.75">
      <c r="C224" s="12" t="str">
        <f>IF('HospitalDischargeReportSK-Map'!E46="*  -&gt; ##34###34#","// --END",'HospitalDischargeReportSK-Map'!E46)</f>
        <v>* header.informationRecipient.organization -&gt; ##34#TBD##34#</v>
      </c>
    </row>
    <row r="225" spans="3:3" x14ac:dyDescent="0.75">
      <c r="C225" s="12" t="str">
        <f>IF('HospitalDischargeReportSK-Map'!E47="*  -&gt; ##34###34#","// --END",'HospitalDischargeReportSK-Map'!E47)</f>
        <v>* header.author -&gt; ##34#TBD##34#</v>
      </c>
    </row>
    <row r="226" spans="3:3" x14ac:dyDescent="0.75">
      <c r="C226" s="12" t="str">
        <f>IF('HospitalDischargeReportSK-Map'!E48="*  -&gt; ##34###34#","// --END",'HospitalDischargeReportSK-Map'!E48)</f>
        <v>* header.author.identifier -&gt; ##34#TBD##34#</v>
      </c>
    </row>
    <row r="227" spans="3:3" x14ac:dyDescent="0.75">
      <c r="C227" s="12" t="str">
        <f>IF('HospitalDischargeReportSK-Map'!E49="*  -&gt; ##34###34#","// --END",'HospitalDischargeReportSK-Map'!E49)</f>
        <v>* header.author.name -&gt; ##34#TBD##34#</v>
      </c>
    </row>
    <row r="228" spans="3:3" x14ac:dyDescent="0.75">
      <c r="C228" s="12" t="str">
        <f>IF('HospitalDischargeReportSK-Map'!E50="*  -&gt; ##34###34#","// --END",'HospitalDischargeReportSK-Map'!E50)</f>
        <v>* header.author.organizationID -&gt; ##34#TBD##34#</v>
      </c>
    </row>
    <row r="229" spans="3:3" x14ac:dyDescent="0.75">
      <c r="C229" s="12" t="str">
        <f>IF('HospitalDischargeReportSK-Map'!E51="*  -&gt; ##34###34#","// --END",'HospitalDischargeReportSK-Map'!E51)</f>
        <v>* header.author.organization -&gt; ##34#TBD##34#</v>
      </c>
    </row>
    <row r="230" spans="3:3" x14ac:dyDescent="0.75">
      <c r="C230" s="12" t="str">
        <f>IF('HospitalDischargeReportSK-Map'!E52="*  -&gt; ##34###34#","// --END",'HospitalDischargeReportSK-Map'!E52)</f>
        <v>* header.author.dateTime -&gt; ##34#TBD##34#</v>
      </c>
    </row>
    <row r="231" spans="3:3" x14ac:dyDescent="0.75">
      <c r="C231" s="12" t="str">
        <f>IF('HospitalDischargeReportSK-Map'!E53="*  -&gt; ##34###34#","// --END",'HospitalDischargeReportSK-Map'!E53)</f>
        <v>* header.attester -&gt; ##34#TBD##34#</v>
      </c>
    </row>
    <row r="232" spans="3:3" x14ac:dyDescent="0.75">
      <c r="C232" s="12" t="str">
        <f>IF('HospitalDischargeReportSK-Map'!E54="*  -&gt; ##34###34#","// --END",'HospitalDischargeReportSK-Map'!E54)</f>
        <v>* header.attester.identifier -&gt; ##34#TBD##34#</v>
      </c>
    </row>
    <row r="233" spans="3:3" x14ac:dyDescent="0.75">
      <c r="C233" s="12" t="str">
        <f>IF('HospitalDischargeReportSK-Map'!E55="*  -&gt; ##34###34#","// --END",'HospitalDischargeReportSK-Map'!E55)</f>
        <v>* header.attester.name -&gt; ##34#TBD##34#</v>
      </c>
    </row>
    <row r="234" spans="3:3" x14ac:dyDescent="0.75">
      <c r="C234" s="12" t="str">
        <f>IF('HospitalDischargeReportSK-Map'!E56="*  -&gt; ##34###34#","// --END",'HospitalDischargeReportSK-Map'!E56)</f>
        <v>* header.attester.organizationID -&gt; ##34#TBD##34#</v>
      </c>
    </row>
    <row r="235" spans="3:3" x14ac:dyDescent="0.75">
      <c r="C235" s="12" t="str">
        <f>IF('HospitalDischargeReportSK-Map'!E57="*  -&gt; ##34###34#","// --END",'HospitalDischargeReportSK-Map'!E57)</f>
        <v>* header.attester.organization -&gt; ##34#TBD##34#</v>
      </c>
    </row>
    <row r="236" spans="3:3" x14ac:dyDescent="0.75">
      <c r="C236" s="12" t="str">
        <f>IF('HospitalDischargeReportSK-Map'!E58="*  -&gt; ##34###34#","// --END",'HospitalDischargeReportSK-Map'!E58)</f>
        <v>* header.attester.dateTime -&gt; ##34#TBD##34#</v>
      </c>
    </row>
    <row r="237" spans="3:3" x14ac:dyDescent="0.75">
      <c r="C237" s="12" t="str">
        <f>IF('HospitalDischargeReportSK-Map'!E59="*  -&gt; ##34###34#","// --END",'HospitalDischargeReportSK-Map'!E59)</f>
        <v>* header.legalAuthenticator -&gt; ##34#TBD##34#</v>
      </c>
    </row>
    <row r="238" spans="3:3" x14ac:dyDescent="0.75">
      <c r="C238" s="12" t="str">
        <f>IF('HospitalDischargeReportSK-Map'!E60="*  -&gt; ##34###34#","// --END",'HospitalDischargeReportSK-Map'!E60)</f>
        <v>* header.legalAuthenticator.identifier -&gt; ##34#TBD##34#</v>
      </c>
    </row>
    <row r="239" spans="3:3" x14ac:dyDescent="0.75">
      <c r="C239" s="12" t="str">
        <f>IF('HospitalDischargeReportSK-Map'!E61="*  -&gt; ##34###34#","// --END",'HospitalDischargeReportSK-Map'!E61)</f>
        <v>* header.legalAuthenticator.name -&gt; ##34#TBD##34#</v>
      </c>
    </row>
    <row r="240" spans="3:3" x14ac:dyDescent="0.75">
      <c r="C240" s="12" t="str">
        <f>IF('HospitalDischargeReportSK-Map'!E62="*  -&gt; ##34###34#","// --END",'HospitalDischargeReportSK-Map'!E62)</f>
        <v>* header.legalAuthenticator.organizationID -&gt; ##34#TBD##34#</v>
      </c>
    </row>
    <row r="241" spans="3:3" x14ac:dyDescent="0.75">
      <c r="C241" s="12" t="str">
        <f>IF('HospitalDischargeReportSK-Map'!E63="*  -&gt; ##34###34#","// --END",'HospitalDischargeReportSK-Map'!E63)</f>
        <v>* header.legalAuthenticator.organization -&gt; ##34#TBD##34#</v>
      </c>
    </row>
    <row r="242" spans="3:3" x14ac:dyDescent="0.75">
      <c r="C242" s="12" t="str">
        <f>IF('HospitalDischargeReportSK-Map'!E64="*  -&gt; ##34###34#","// --END",'HospitalDischargeReportSK-Map'!E64)</f>
        <v>* header.legalAuthenticator.dateTime -&gt; ##34#TBD##34#</v>
      </c>
    </row>
    <row r="243" spans="3:3" x14ac:dyDescent="0.75">
      <c r="C243" s="12" t="str">
        <f>IF('HospitalDischargeReportSK-Map'!E65="*  -&gt; ##34###34#","// --END",'HospitalDischargeReportSK-Map'!E65)</f>
        <v>* header.documentMetadata -&gt; ##34#TBD##34#</v>
      </c>
    </row>
    <row r="244" spans="3:3" x14ac:dyDescent="0.75">
      <c r="C244" s="12" t="str">
        <f>IF('HospitalDischargeReportSK-Map'!E66="*  -&gt; ##34###34#","// --END",'HospitalDischargeReportSK-Map'!E66)</f>
        <v>* header.documentMetadata.identifier -&gt; ##34#TBD##34#</v>
      </c>
    </row>
    <row r="245" spans="3:3" x14ac:dyDescent="0.75">
      <c r="C245" s="12" t="str">
        <f>IF('HospitalDischargeReportSK-Map'!E67="*  -&gt; ##34###34#","// --END",'HospitalDischargeReportSK-Map'!E67)</f>
        <v>* header.documentMetadata.type -&gt; ##34#TBD##34#</v>
      </c>
    </row>
    <row r="246" spans="3:3" x14ac:dyDescent="0.75">
      <c r="C246" s="12" t="str">
        <f>IF('HospitalDischargeReportSK-Map'!E68="*  -&gt; ##34###34#","// --END",'HospitalDischargeReportSK-Map'!E68)</f>
        <v>* header.documentMetadata.status -&gt; ##34#TBD##34#</v>
      </c>
    </row>
    <row r="247" spans="3:3" x14ac:dyDescent="0.75">
      <c r="C247" s="12" t="str">
        <f>IF('HospitalDischargeReportSK-Map'!E69="*  -&gt; ##34###34#","// --END",'HospitalDischargeReportSK-Map'!E69)</f>
        <v>* header.documentMetadata.dateTime -&gt; ##34#TBD##34#</v>
      </c>
    </row>
    <row r="248" spans="3:3" x14ac:dyDescent="0.75">
      <c r="C248" s="12" t="str">
        <f>IF('HospitalDischargeReportSK-Map'!E70="*  -&gt; ##34###34#","// --END",'HospitalDischargeReportSK-Map'!E70)</f>
        <v>* header.documentMetadata.title -&gt; ##34#TBD##34#</v>
      </c>
    </row>
    <row r="249" spans="3:3" x14ac:dyDescent="0.75">
      <c r="C249" s="12" t="str">
        <f>IF('HospitalDischargeReportSK-Map'!E71="*  -&gt; ##34###34#","// --END",'HospitalDischargeReportSK-Map'!E71)</f>
        <v>* header.documentMetadata.custodian -&gt; ##34#TBD##34#</v>
      </c>
    </row>
    <row r="250" spans="3:3" x14ac:dyDescent="0.75">
      <c r="C250" s="12" t="str">
        <f>IF('HospitalDischargeReportSK-Map'!E72="*  -&gt; ##34###34#","// --END",'HospitalDischargeReportSK-Map'!E72)</f>
        <v>* header.documentMetadata.confidentiality -&gt; ##34#TBD##34#</v>
      </c>
    </row>
    <row r="251" spans="3:3" x14ac:dyDescent="0.75">
      <c r="C251" s="12" t="str">
        <f>IF('HospitalDischargeReportSK-Map'!E73="*  -&gt; ##34###34#","// --END",'HospitalDischargeReportSK-Map'!E73)</f>
        <v>* header.documentMetadata.language -&gt; ##34#TBD##34#</v>
      </c>
    </row>
    <row r="252" spans="3:3" x14ac:dyDescent="0.75">
      <c r="C252" s="12" t="str">
        <f>IF('HospitalDischargeReportSK-Map'!E74="*  -&gt; ##34###34#","// --END",'HospitalDischargeReportSK-Map'!E74)</f>
        <v>* header.documentMetadata.version -&gt; ##34#TBD##34#</v>
      </c>
    </row>
    <row r="253" spans="3:3" x14ac:dyDescent="0.75">
      <c r="C253" s="12" t="str">
        <f>IF('HospitalDischargeReportSK-Map'!E75="*  -&gt; ##34###34#","// --END",'HospitalDischargeReportSK-Map'!E75)</f>
        <v>* header.digitalSignature -&gt; ##34#TBD##34#</v>
      </c>
    </row>
    <row r="254" spans="3:3" x14ac:dyDescent="0.75">
      <c r="C254" s="12" t="str">
        <f>IF('HospitalDischargeReportSK-Map'!E76="*  -&gt; ##34###34#","// --END",'HospitalDischargeReportSK-Map'!E76)</f>
        <v>* header.digitalSignature.signature -&gt; ##34#TBD##34#</v>
      </c>
    </row>
    <row r="255" spans="3:3" x14ac:dyDescent="0.75">
      <c r="C255" s="12" t="str">
        <f>IF('HospitalDischargeReportSK-Map'!E77="*  -&gt; ##34###34#","// --END",'HospitalDischargeReportSK-Map'!E77)</f>
        <v>* header.digitalSignature.timeStamp -&gt; ##34#TBD##34#</v>
      </c>
    </row>
    <row r="256" spans="3:3" x14ac:dyDescent="0.75">
      <c r="C256" s="12" t="str">
        <f>IF('HospitalDischargeReportSK-Map'!E78="*  -&gt; ##34###34#","// --END",'HospitalDischargeReportSK-Map'!E78)</f>
        <v>* body -&gt; ##34#TBD##34#</v>
      </c>
    </row>
    <row r="257" spans="3:3" x14ac:dyDescent="0.75">
      <c r="C257" s="12" t="str">
        <f>IF('HospitalDischargeReportSK-Map'!E79="*  -&gt; ##34###34#","// --END",'HospitalDischargeReportSK-Map'!E79)</f>
        <v>* body.advanceDirectives -&gt; ##34#TBD##34#</v>
      </c>
    </row>
    <row r="258" spans="3:3" x14ac:dyDescent="0.75">
      <c r="C258" s="12" t="str">
        <f>IF('HospitalDischargeReportSK-Map'!E80="*  -&gt; ##34###34#","// --END",'HospitalDischargeReportSK-Map'!E80)</f>
        <v>* body.emergencyInfos -&gt; ##34#TBD##34#</v>
      </c>
    </row>
    <row r="259" spans="3:3" x14ac:dyDescent="0.75">
      <c r="C259" s="12" t="str">
        <f>IF('HospitalDischargeReportSK-Map'!E81="*  -&gt; ##34###34#","// --END",'HospitalDischargeReportSK-Map'!E81)</f>
        <v>* body.encounter -&gt; ##34#TBD##34#</v>
      </c>
    </row>
    <row r="260" spans="3:3" x14ac:dyDescent="0.75">
      <c r="C260" s="12" t="str">
        <f>IF('HospitalDischargeReportSK-Map'!E82="*  -&gt; ##34###34#","// --END",'HospitalDischargeReportSK-Map'!E82)</f>
        <v>* body.admissionEvaluation -&gt; ##34#TBD##34#</v>
      </c>
    </row>
    <row r="261" spans="3:3" x14ac:dyDescent="0.75">
      <c r="C261" s="12" t="str">
        <f>IF('HospitalDischargeReportSK-Map'!E83="*  -&gt; ##34###34#","// --END",'HospitalDischargeReportSK-Map'!E83)</f>
        <v>* body.patientHistory -&gt; ##34#TBD##34#</v>
      </c>
    </row>
    <row r="262" spans="3:3" x14ac:dyDescent="0.75">
      <c r="C262" s="12" t="str">
        <f>IF('HospitalDischargeReportSK-Map'!E84="*  -&gt; ##34###34#","// --END",'HospitalDischargeReportSK-Map'!E84)</f>
        <v>* body.hospitalStay -&gt; ##34#TBD##34#</v>
      </c>
    </row>
    <row r="263" spans="3:3" x14ac:dyDescent="0.75">
      <c r="C263" s="12" t="str">
        <f>IF('HospitalDischargeReportSK-Map'!E85="*  -&gt; ##34###34#","// --END",'HospitalDischargeReportSK-Map'!E85)</f>
        <v>* body.dischargeDetails -&gt; ##34#TBD##34#</v>
      </c>
    </row>
    <row r="264" spans="3:3" x14ac:dyDescent="0.75">
      <c r="C264" s="12" t="str">
        <f>IF('HospitalDischargeReportSK-Map'!E86="*  -&gt; ##34###34#","// --END",'HospitalDischargeReportSK-Map'!E86)</f>
        <v>* body.recommendations -&gt; ##34#TBD##34#</v>
      </c>
    </row>
    <row r="265" spans="3:3" x14ac:dyDescent="0.75">
      <c r="C265" s="12" t="str">
        <f>IF('HospitalDischargeReportSK-Map'!E87="*  -&gt; ##34###34#","// --END",'HospitalDischargeReportSK-Map'!E87)</f>
        <v>// --END</v>
      </c>
    </row>
    <row r="266" spans="3:3" x14ac:dyDescent="0.75">
      <c r="C266" s="12" t="str">
        <f>IF('HospitalDischargeReportSK-Map'!E88="*  -&gt; ##34###34#","// --END",'HospitalDischargeReportSK-Map'!E88)</f>
        <v>// --END</v>
      </c>
    </row>
    <row r="267" spans="3:3" x14ac:dyDescent="0.75">
      <c r="C267" s="12" t="str">
        <f>IF('HospitalDischargeReportSK-Map'!E89="*  -&gt; ##34###34#","// --END",'HospitalDischargeReportSK-Map'!E89)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Fill="0" autoPict="0" macro="[0]!export">
                <anchor moveWithCells="1">
                  <from>
                    <xdr:col>2</xdr:col>
                    <xdr:colOff>444500</xdr:colOff>
                    <xdr:row>187</xdr:row>
                    <xdr:rowOff>171450</xdr:rowOff>
                  </from>
                  <to>
                    <xdr:col>2</xdr:col>
                    <xdr:colOff>1117600</xdr:colOff>
                    <xdr:row>189</xdr:row>
                    <xdr:rowOff>88900</xdr:rowOff>
                  </to>
                </anchor>
              </controlPr>
            </control>
          </mc:Choice>
        </mc:AlternateContent>
        <mc:AlternateContent xmlns:mc="http://schemas.openxmlformats.org/markup-compatibility/2006">
          <mc:Choice Requires="x14">
            <control shapeId="151554"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01A3-3752-43DD-A396-2661C2F8E03B}">
  <sheetPr codeName="Foglio6"/>
  <dimension ref="A3:J28"/>
  <sheetViews>
    <sheetView topLeftCell="A3" workbookViewId="0">
      <selection activeCell="F20" sqref="E20:F20"/>
    </sheetView>
  </sheetViews>
  <sheetFormatPr defaultRowHeight="14.75" x14ac:dyDescent="0.75"/>
  <cols>
    <col min="1" max="1" width="8.86328125" bestFit="1" customWidth="1"/>
    <col min="2" max="2" width="43.1328125" hidden="1" customWidth="1"/>
    <col min="3" max="3" width="46.58984375" customWidth="1"/>
    <col min="4" max="4" width="88.6796875" bestFit="1" customWidth="1"/>
    <col min="5" max="5" width="28.04296875" customWidth="1"/>
    <col min="6" max="6" width="33.40625" customWidth="1"/>
    <col min="7" max="7" width="11.40625" customWidth="1"/>
    <col min="8" max="8" width="46.40625" bestFit="1" customWidth="1"/>
    <col min="9" max="9" width="15.5" customWidth="1"/>
    <col min="10" max="10" width="27.40625" customWidth="1"/>
  </cols>
  <sheetData>
    <row r="3" spans="1:10" s="56" customFormat="1" ht="16.25" thickBot="1" x14ac:dyDescent="0.9">
      <c r="A3" s="135" t="s">
        <v>103</v>
      </c>
      <c r="B3" s="135" t="s">
        <v>104</v>
      </c>
      <c r="C3" s="135"/>
      <c r="D3" s="135" t="s">
        <v>3</v>
      </c>
      <c r="E3" s="135" t="s">
        <v>6</v>
      </c>
      <c r="F3" s="135" t="s">
        <v>7</v>
      </c>
      <c r="G3" s="135"/>
      <c r="H3" s="135" t="s">
        <v>105</v>
      </c>
      <c r="I3" s="135" t="s">
        <v>106</v>
      </c>
      <c r="J3" s="135" t="s">
        <v>107</v>
      </c>
    </row>
    <row r="4" spans="1:10" ht="16.5" thickBot="1" x14ac:dyDescent="0.9">
      <c r="A4" s="136" t="s">
        <v>376</v>
      </c>
      <c r="B4" s="136" t="s">
        <v>377</v>
      </c>
      <c r="C4" s="124" t="str">
        <f>CONCATENATE(A4," - ",B4," [",J4,"]")</f>
        <v>A.2.3  - Encounter [Mandatory]</v>
      </c>
      <c r="D4" s="136"/>
      <c r="E4" s="59">
        <f t="shared" ref="E4" si="0">_xlfn.NUMBERVALUE(MID(I4,1,1))</f>
        <v>1</v>
      </c>
      <c r="F4" s="59" t="str">
        <f t="shared" ref="F4" si="1">MID(I4,4,1)</f>
        <v>1</v>
      </c>
      <c r="G4" s="136"/>
      <c r="H4" s="136"/>
      <c r="I4" s="137" t="s">
        <v>110</v>
      </c>
      <c r="J4" s="137" t="s">
        <v>111</v>
      </c>
    </row>
    <row r="5" spans="1:10" ht="16.5" thickBot="1" x14ac:dyDescent="0.9">
      <c r="A5" s="137" t="s">
        <v>378</v>
      </c>
      <c r="B5" s="138" t="s">
        <v>379</v>
      </c>
      <c r="C5" s="124" t="str">
        <f t="shared" ref="C5:C28" si="2">CONCATENATE(A5," - ",B5," [",J5,"]")</f>
        <v>A.2.3.1 - Encounter type [Mandatory]</v>
      </c>
      <c r="D5" s="137" t="s">
        <v>380</v>
      </c>
      <c r="E5" s="59">
        <f t="shared" ref="E5:E28" si="3">_xlfn.NUMBERVALUE(MID(I5,1,1))</f>
        <v>1</v>
      </c>
      <c r="F5" s="59" t="str">
        <f t="shared" ref="F5:F28" si="4">MID(I5,4,1)</f>
        <v>1</v>
      </c>
      <c r="G5" s="137"/>
      <c r="H5" s="139" t="s">
        <v>381</v>
      </c>
      <c r="I5" s="137" t="s">
        <v>110</v>
      </c>
      <c r="J5" s="137" t="s">
        <v>111</v>
      </c>
    </row>
    <row r="6" spans="1:10" ht="16.5" thickBot="1" x14ac:dyDescent="0.9">
      <c r="A6" s="137" t="s">
        <v>382</v>
      </c>
      <c r="B6" s="138" t="s">
        <v>383</v>
      </c>
      <c r="C6" s="124" t="str">
        <f t="shared" si="2"/>
        <v>A.2.3.2 - Encounter note [Optional]</v>
      </c>
      <c r="D6" s="137" t="s">
        <v>384</v>
      </c>
      <c r="E6" s="59">
        <f t="shared" si="3"/>
        <v>0</v>
      </c>
      <c r="F6" s="59" t="str">
        <f t="shared" si="4"/>
        <v>1</v>
      </c>
      <c r="G6" s="137"/>
      <c r="H6" s="140"/>
      <c r="I6" s="137" t="s">
        <v>142</v>
      </c>
      <c r="J6" s="137" t="s">
        <v>139</v>
      </c>
    </row>
    <row r="7" spans="1:10" ht="16.5" thickBot="1" x14ac:dyDescent="0.9">
      <c r="A7" s="136" t="s">
        <v>385</v>
      </c>
      <c r="B7" s="136" t="s">
        <v>386</v>
      </c>
      <c r="C7" s="124" t="str">
        <f t="shared" si="2"/>
        <v>A.2.3.3 - Admission [Mandatory]</v>
      </c>
      <c r="D7" s="136"/>
      <c r="E7" s="59">
        <f t="shared" si="3"/>
        <v>1</v>
      </c>
      <c r="F7" s="59" t="str">
        <f t="shared" si="4"/>
        <v>1</v>
      </c>
      <c r="G7" s="136"/>
      <c r="H7" s="136"/>
      <c r="I7" s="137" t="s">
        <v>110</v>
      </c>
      <c r="J7" s="137" t="s">
        <v>111</v>
      </c>
    </row>
    <row r="8" spans="1:10" ht="32.25" thickBot="1" x14ac:dyDescent="0.9">
      <c r="A8" s="137" t="s">
        <v>387</v>
      </c>
      <c r="B8" s="141" t="s">
        <v>388</v>
      </c>
      <c r="C8" s="124" t="str">
        <f t="shared" si="2"/>
        <v>A.2.3.3.1 - Admission urgency [Required]</v>
      </c>
      <c r="D8" s="137" t="s">
        <v>389</v>
      </c>
      <c r="E8" s="59">
        <f t="shared" si="3"/>
        <v>0</v>
      </c>
      <c r="F8" s="59" t="str">
        <f t="shared" si="4"/>
        <v>1</v>
      </c>
      <c r="G8" s="137"/>
      <c r="H8" s="139" t="s">
        <v>390</v>
      </c>
      <c r="I8" s="137" t="s">
        <v>142</v>
      </c>
      <c r="J8" s="137" t="s">
        <v>23</v>
      </c>
    </row>
    <row r="9" spans="1:10" ht="32.25" thickBot="1" x14ac:dyDescent="0.9">
      <c r="A9" s="137" t="s">
        <v>391</v>
      </c>
      <c r="B9" s="141" t="s">
        <v>392</v>
      </c>
      <c r="C9" s="124" t="str">
        <f t="shared" si="2"/>
        <v>A.2.3.3.2 - Admission date [Mandatory]</v>
      </c>
      <c r="D9" s="137" t="s">
        <v>393</v>
      </c>
      <c r="E9" s="59">
        <f t="shared" si="3"/>
        <v>1</v>
      </c>
      <c r="F9" s="59" t="str">
        <f t="shared" si="4"/>
        <v>1</v>
      </c>
      <c r="G9" s="137"/>
      <c r="H9" s="140"/>
      <c r="I9" s="137" t="s">
        <v>110</v>
      </c>
      <c r="J9" s="137" t="s">
        <v>111</v>
      </c>
    </row>
    <row r="10" spans="1:10" ht="48" thickBot="1" x14ac:dyDescent="0.9">
      <c r="A10" s="137" t="s">
        <v>394</v>
      </c>
      <c r="B10" s="142" t="s">
        <v>395</v>
      </c>
      <c r="C10" s="124" t="str">
        <f t="shared" si="2"/>
        <v>A.2.3.3.3 - Admitting professional Id [Required]</v>
      </c>
      <c r="D10" s="137" t="s">
        <v>219</v>
      </c>
      <c r="E10" s="59">
        <f t="shared" si="3"/>
        <v>0</v>
      </c>
      <c r="F10" s="59" t="str">
        <f t="shared" si="4"/>
        <v>1</v>
      </c>
      <c r="G10" s="137"/>
      <c r="H10" s="140"/>
      <c r="I10" s="137" t="s">
        <v>142</v>
      </c>
      <c r="J10" s="137" t="s">
        <v>23</v>
      </c>
    </row>
    <row r="11" spans="1:10" ht="32.25" thickBot="1" x14ac:dyDescent="0.9">
      <c r="A11" s="137" t="s">
        <v>396</v>
      </c>
      <c r="B11" s="142" t="s">
        <v>397</v>
      </c>
      <c r="C11" s="124" t="str">
        <f t="shared" si="2"/>
        <v>A.2.3.3.4 - Admitting professional name [Required]</v>
      </c>
      <c r="D11" s="137" t="s">
        <v>208</v>
      </c>
      <c r="E11" s="59">
        <f t="shared" si="3"/>
        <v>0</v>
      </c>
      <c r="F11" s="59" t="str">
        <f t="shared" si="4"/>
        <v>1</v>
      </c>
      <c r="G11" s="137"/>
      <c r="H11" s="140"/>
      <c r="I11" s="137" t="s">
        <v>142</v>
      </c>
      <c r="J11" s="137" t="s">
        <v>23</v>
      </c>
    </row>
    <row r="12" spans="1:10" ht="32.25" thickBot="1" x14ac:dyDescent="0.9">
      <c r="A12" s="137" t="s">
        <v>398</v>
      </c>
      <c r="B12" s="142" t="s">
        <v>399</v>
      </c>
      <c r="C12" s="124" t="str">
        <f t="shared" si="2"/>
        <v>A.2.3.3.5 - Admit Source [Required]</v>
      </c>
      <c r="D12" s="137" t="s">
        <v>400</v>
      </c>
      <c r="E12" s="59">
        <f t="shared" si="3"/>
        <v>0</v>
      </c>
      <c r="F12" s="59" t="str">
        <f t="shared" si="4"/>
        <v>1</v>
      </c>
      <c r="G12" s="137"/>
      <c r="H12" s="139" t="s">
        <v>401</v>
      </c>
      <c r="I12" s="137" t="s">
        <v>142</v>
      </c>
      <c r="J12" s="137" t="s">
        <v>23</v>
      </c>
    </row>
    <row r="13" spans="1:10" ht="48" thickBot="1" x14ac:dyDescent="0.9">
      <c r="A13" s="137" t="s">
        <v>402</v>
      </c>
      <c r="B13" s="142" t="s">
        <v>403</v>
      </c>
      <c r="C13" s="124" t="str">
        <f t="shared" si="2"/>
        <v>A.2.3.3.6 - Referring professional Id [Required]</v>
      </c>
      <c r="D13" s="137" t="s">
        <v>219</v>
      </c>
      <c r="E13" s="59">
        <f t="shared" si="3"/>
        <v>0</v>
      </c>
      <c r="F13" s="59" t="str">
        <f t="shared" si="4"/>
        <v>1</v>
      </c>
      <c r="G13" s="137"/>
      <c r="H13" s="140"/>
      <c r="I13" s="137" t="s">
        <v>142</v>
      </c>
      <c r="J13" s="137" t="s">
        <v>23</v>
      </c>
    </row>
    <row r="14" spans="1:10" ht="32.25" thickBot="1" x14ac:dyDescent="0.9">
      <c r="A14" s="137" t="s">
        <v>404</v>
      </c>
      <c r="B14" s="142" t="s">
        <v>405</v>
      </c>
      <c r="C14" s="124" t="str">
        <f t="shared" si="2"/>
        <v>A.2.3.3.7 - Referring professional name [Required]</v>
      </c>
      <c r="D14" s="137" t="s">
        <v>208</v>
      </c>
      <c r="E14" s="59">
        <f t="shared" si="3"/>
        <v>0</v>
      </c>
      <c r="F14" s="59" t="str">
        <f t="shared" si="4"/>
        <v>1</v>
      </c>
      <c r="G14" s="137"/>
      <c r="H14" s="140"/>
      <c r="I14" s="137" t="s">
        <v>142</v>
      </c>
      <c r="J14" s="137" t="s">
        <v>23</v>
      </c>
    </row>
    <row r="15" spans="1:10" ht="32.25" thickBot="1" x14ac:dyDescent="0.9">
      <c r="A15" s="137" t="s">
        <v>406</v>
      </c>
      <c r="B15" s="142" t="s">
        <v>407</v>
      </c>
      <c r="C15" s="124" t="str">
        <f t="shared" si="2"/>
        <v>A.2.3.3.8 - Referring organization [Required]</v>
      </c>
      <c r="D15" s="137" t="s">
        <v>214</v>
      </c>
      <c r="E15" s="59">
        <f t="shared" si="3"/>
        <v>0</v>
      </c>
      <c r="F15" s="59" t="str">
        <f t="shared" si="4"/>
        <v>1</v>
      </c>
      <c r="G15" s="137"/>
      <c r="H15" s="140"/>
      <c r="I15" s="137" t="s">
        <v>142</v>
      </c>
      <c r="J15" s="137" t="s">
        <v>23</v>
      </c>
    </row>
    <row r="16" spans="1:10" ht="16.5" thickBot="1" x14ac:dyDescent="0.9">
      <c r="A16" s="136" t="s">
        <v>408</v>
      </c>
      <c r="B16" s="136" t="s">
        <v>409</v>
      </c>
      <c r="C16" s="124" t="str">
        <f t="shared" si="2"/>
        <v>A.2.3.4 - Admission reason [Mandatory]</v>
      </c>
      <c r="D16" s="136"/>
      <c r="E16" s="59">
        <f t="shared" si="3"/>
        <v>1</v>
      </c>
      <c r="F16" s="59" t="str">
        <f t="shared" si="4"/>
        <v>1</v>
      </c>
      <c r="G16" s="136"/>
      <c r="H16" s="136"/>
      <c r="I16" s="137" t="s">
        <v>110</v>
      </c>
      <c r="J16" s="137" t="s">
        <v>111</v>
      </c>
    </row>
    <row r="17" spans="1:10" ht="16.5" customHeight="1" thickBot="1" x14ac:dyDescent="0.9">
      <c r="A17" s="137" t="s">
        <v>410</v>
      </c>
      <c r="B17" s="138" t="s">
        <v>409</v>
      </c>
      <c r="C17" s="124" t="str">
        <f t="shared" si="2"/>
        <v>A.2.3.4.1 - Admission reason [Required]</v>
      </c>
      <c r="D17" s="137" t="s">
        <v>411</v>
      </c>
      <c r="E17" s="59">
        <f t="shared" si="3"/>
        <v>0</v>
      </c>
      <c r="F17" s="59" t="str">
        <f t="shared" si="4"/>
        <v>*</v>
      </c>
      <c r="G17" s="137"/>
      <c r="H17" s="137" t="s">
        <v>1329</v>
      </c>
      <c r="I17" s="137" t="s">
        <v>131</v>
      </c>
      <c r="J17" s="137" t="s">
        <v>23</v>
      </c>
    </row>
    <row r="18" spans="1:10" ht="32.25" thickBot="1" x14ac:dyDescent="0.9">
      <c r="A18" s="137" t="s">
        <v>412</v>
      </c>
      <c r="B18" s="138" t="s">
        <v>413</v>
      </c>
      <c r="C18" s="124" t="str">
        <f t="shared" si="2"/>
        <v>A.2.3.4.2 - Admission reason comment [Optional]</v>
      </c>
      <c r="D18" s="137" t="s">
        <v>414</v>
      </c>
      <c r="E18" s="59">
        <f t="shared" si="3"/>
        <v>0</v>
      </c>
      <c r="F18" s="59" t="str">
        <f t="shared" si="4"/>
        <v>1</v>
      </c>
      <c r="G18" s="137"/>
      <c r="H18" s="140"/>
      <c r="I18" s="137" t="s">
        <v>142</v>
      </c>
      <c r="J18" s="137" t="s">
        <v>139</v>
      </c>
    </row>
    <row r="19" spans="1:10" ht="63.75" thickBot="1" x14ac:dyDescent="0.9">
      <c r="A19" s="137" t="s">
        <v>415</v>
      </c>
      <c r="B19" s="141" t="s">
        <v>416</v>
      </c>
      <c r="C19" s="124" t="str">
        <f t="shared" si="2"/>
        <v>A.2.3.4.3 - Admission legal status [Required]</v>
      </c>
      <c r="D19" s="137" t="s">
        <v>417</v>
      </c>
      <c r="E19" s="59">
        <f t="shared" si="3"/>
        <v>0</v>
      </c>
      <c r="F19" s="59" t="str">
        <f t="shared" si="4"/>
        <v>1</v>
      </c>
      <c r="G19" s="137"/>
      <c r="H19" s="137" t="s">
        <v>326</v>
      </c>
      <c r="I19" s="137" t="s">
        <v>142</v>
      </c>
      <c r="J19" s="137" t="s">
        <v>23</v>
      </c>
    </row>
    <row r="20" spans="1:10" ht="16.5" thickBot="1" x14ac:dyDescent="0.9">
      <c r="A20" s="136" t="s">
        <v>418</v>
      </c>
      <c r="B20" s="136" t="s">
        <v>419</v>
      </c>
      <c r="C20" s="124" t="str">
        <f t="shared" si="2"/>
        <v>A.2.3.5 - Discharge [Mandatory]</v>
      </c>
      <c r="D20" s="136"/>
      <c r="E20" s="129">
        <f t="shared" si="3"/>
        <v>0</v>
      </c>
      <c r="F20" s="129" t="s">
        <v>9</v>
      </c>
      <c r="G20" s="136"/>
      <c r="H20" s="136"/>
      <c r="I20" s="140"/>
      <c r="J20" s="137" t="s">
        <v>111</v>
      </c>
    </row>
    <row r="21" spans="1:10" ht="32.25" thickBot="1" x14ac:dyDescent="0.9">
      <c r="A21" s="137" t="s">
        <v>420</v>
      </c>
      <c r="B21" s="138" t="s">
        <v>421</v>
      </c>
      <c r="C21" s="124" t="str">
        <f t="shared" si="2"/>
        <v>A.2.3.5.1 - Discharge date [Mandatory]</v>
      </c>
      <c r="D21" s="137" t="s">
        <v>422</v>
      </c>
      <c r="E21" s="59">
        <f t="shared" si="3"/>
        <v>1</v>
      </c>
      <c r="F21" s="59" t="str">
        <f t="shared" si="4"/>
        <v>1</v>
      </c>
      <c r="G21" s="137"/>
      <c r="H21" s="140"/>
      <c r="I21" s="137" t="s">
        <v>110</v>
      </c>
      <c r="J21" s="137" t="s">
        <v>111</v>
      </c>
    </row>
    <row r="22" spans="1:10" ht="32.25" thickBot="1" x14ac:dyDescent="0.9">
      <c r="A22" s="137" t="s">
        <v>423</v>
      </c>
      <c r="B22" s="138" t="s">
        <v>424</v>
      </c>
      <c r="C22" s="124" t="str">
        <f t="shared" si="2"/>
        <v>A.2.3.5.2 - Discharge destination type [Required]</v>
      </c>
      <c r="D22" s="137" t="s">
        <v>425</v>
      </c>
      <c r="E22" s="59">
        <f t="shared" si="3"/>
        <v>0</v>
      </c>
      <c r="F22" s="59" t="str">
        <f t="shared" si="4"/>
        <v>1</v>
      </c>
      <c r="G22" s="137"/>
      <c r="H22" s="139" t="s">
        <v>426</v>
      </c>
      <c r="I22" s="137" t="s">
        <v>142</v>
      </c>
      <c r="J22" s="137" t="s">
        <v>23</v>
      </c>
    </row>
    <row r="23" spans="1:10" ht="32.25" thickBot="1" x14ac:dyDescent="0.9">
      <c r="A23" s="137" t="s">
        <v>427</v>
      </c>
      <c r="B23" s="138" t="s">
        <v>428</v>
      </c>
      <c r="C23" s="124" t="str">
        <f t="shared" si="2"/>
        <v>A.2.3.5.3 - Destination location [Required]</v>
      </c>
      <c r="D23" s="137" t="s">
        <v>429</v>
      </c>
      <c r="E23" s="59">
        <f t="shared" si="3"/>
        <v>0</v>
      </c>
      <c r="F23" s="59" t="str">
        <f t="shared" si="4"/>
        <v>1</v>
      </c>
      <c r="G23" s="137"/>
      <c r="H23" s="140"/>
      <c r="I23" s="137" t="s">
        <v>142</v>
      </c>
      <c r="J23" s="137" t="s">
        <v>23</v>
      </c>
    </row>
    <row r="24" spans="1:10" ht="32.25" thickBot="1" x14ac:dyDescent="0.9">
      <c r="A24" s="136" t="s">
        <v>430</v>
      </c>
      <c r="B24" s="136" t="s">
        <v>431</v>
      </c>
      <c r="C24" s="124" t="str">
        <f t="shared" si="2"/>
        <v>A.2.3.6 - Location - All locations/departments where the patient stayed within the hospital. [Required]</v>
      </c>
      <c r="D24" s="136"/>
      <c r="E24" s="59">
        <f t="shared" si="3"/>
        <v>0</v>
      </c>
      <c r="F24" s="59" t="str">
        <f t="shared" si="4"/>
        <v>*</v>
      </c>
      <c r="G24" s="136"/>
      <c r="H24" s="136"/>
      <c r="I24" s="137" t="s">
        <v>131</v>
      </c>
      <c r="J24" s="137" t="s">
        <v>23</v>
      </c>
    </row>
    <row r="25" spans="1:10" ht="32.25" thickBot="1" x14ac:dyDescent="0.9">
      <c r="A25" s="137" t="s">
        <v>432</v>
      </c>
      <c r="B25" s="138" t="s">
        <v>374</v>
      </c>
      <c r="C25" s="124" t="str">
        <f t="shared" si="2"/>
        <v>A.2.3.6.1 - Period [Mandatory]</v>
      </c>
      <c r="D25" s="137" t="s">
        <v>433</v>
      </c>
      <c r="E25" s="59">
        <f t="shared" si="3"/>
        <v>1</v>
      </c>
      <c r="F25" s="59" t="str">
        <f t="shared" si="4"/>
        <v>1</v>
      </c>
      <c r="G25" s="137"/>
      <c r="H25" s="140"/>
      <c r="I25" s="137" t="s">
        <v>110</v>
      </c>
      <c r="J25" s="137" t="s">
        <v>111</v>
      </c>
    </row>
    <row r="26" spans="1:10" ht="32.25" thickBot="1" x14ac:dyDescent="0.9">
      <c r="A26" s="137" t="s">
        <v>434</v>
      </c>
      <c r="B26" s="138" t="s">
        <v>435</v>
      </c>
      <c r="C26" s="124" t="str">
        <f t="shared" si="2"/>
        <v>A.2.3.6.2 - Organization Id [Required]</v>
      </c>
      <c r="D26" s="137" t="s">
        <v>436</v>
      </c>
      <c r="E26" s="59">
        <f t="shared" si="3"/>
        <v>0</v>
      </c>
      <c r="F26" s="59" t="str">
        <f t="shared" si="4"/>
        <v>1</v>
      </c>
      <c r="G26" s="137"/>
      <c r="H26" s="140"/>
      <c r="I26" s="137" t="s">
        <v>142</v>
      </c>
      <c r="J26" s="137" t="s">
        <v>23</v>
      </c>
    </row>
    <row r="27" spans="1:10" ht="32.25" thickBot="1" x14ac:dyDescent="0.9">
      <c r="A27" s="137" t="s">
        <v>437</v>
      </c>
      <c r="B27" s="138" t="s">
        <v>438</v>
      </c>
      <c r="C27" s="124" t="str">
        <f t="shared" si="2"/>
        <v>A.2.3.6.3 - Organization Part Name [Mandatory]</v>
      </c>
      <c r="D27" s="137" t="s">
        <v>439</v>
      </c>
      <c r="E27" s="59">
        <f t="shared" si="3"/>
        <v>1</v>
      </c>
      <c r="F27" s="59" t="str">
        <f t="shared" si="4"/>
        <v>1</v>
      </c>
      <c r="G27" s="137"/>
      <c r="H27" s="140"/>
      <c r="I27" s="137" t="s">
        <v>110</v>
      </c>
      <c r="J27" s="137" t="s">
        <v>111</v>
      </c>
    </row>
    <row r="28" spans="1:10" ht="32.25" thickBot="1" x14ac:dyDescent="0.9">
      <c r="A28" s="137" t="s">
        <v>440</v>
      </c>
      <c r="B28" s="138" t="s">
        <v>441</v>
      </c>
      <c r="C28" s="124" t="str">
        <f t="shared" si="2"/>
        <v>A.2.3.6.4 - Organization Part Details [Required]</v>
      </c>
      <c r="D28" s="137" t="s">
        <v>442</v>
      </c>
      <c r="E28" s="59">
        <f t="shared" si="3"/>
        <v>1</v>
      </c>
      <c r="F28" s="59" t="str">
        <f t="shared" si="4"/>
        <v>*</v>
      </c>
      <c r="G28" s="137"/>
      <c r="H28" s="140"/>
      <c r="I28" s="137" t="s">
        <v>117</v>
      </c>
      <c r="J28" s="137" t="s">
        <v>23</v>
      </c>
    </row>
  </sheetData>
  <hyperlinks>
    <hyperlink ref="H5" r:id="rId1" display="https://terminology.hl7.org/3.1.0/ValueSet-v3-ActEncounterCode.html" xr:uid="{D1F80DA2-01E4-408F-BBBB-F8D6399A5952}"/>
    <hyperlink ref="H8" r:id="rId2" xr:uid="{7B1E7C08-556A-496F-9714-BD1FC9C79EB4}"/>
    <hyperlink ref="H12" r:id="rId3" xr:uid="{53855D9D-08DE-48DD-BFD5-4A0F1B2CD5D1}"/>
    <hyperlink ref="H22" r:id="rId4" xr:uid="{0AFC258C-65DC-419F-A9CE-B6663EFDCE16}"/>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F813C-BCF7-44B7-B273-963099E1787A}">
  <sheetPr codeName="Foglio30">
    <tabColor theme="7" tint="0.39997558519241921"/>
  </sheetPr>
  <dimension ref="A1:M37"/>
  <sheetViews>
    <sheetView zoomScale="115" zoomScaleNormal="115" workbookViewId="0">
      <selection activeCell="D8" sqref="D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97</v>
      </c>
      <c r="L1" s="23" t="s">
        <v>19</v>
      </c>
    </row>
    <row r="2" spans="1:12" x14ac:dyDescent="0.75">
      <c r="J2" s="24" t="s">
        <v>18</v>
      </c>
      <c r="L2" s="24" t="s">
        <v>96</v>
      </c>
    </row>
    <row r="3" spans="1:12" ht="17.75" customHeight="1" thickBot="1" x14ac:dyDescent="0.9">
      <c r="J3" s="24" t="str">
        <f>J1</f>
        <v>//===================================================</v>
      </c>
      <c r="L3" s="24" t="str">
        <f>L1</f>
        <v>// -------------------------------------------------------------------------------</v>
      </c>
    </row>
    <row r="4" spans="1:12" x14ac:dyDescent="0.75">
      <c r="A4" s="5" t="s">
        <v>11</v>
      </c>
      <c r="B4" s="30" t="s">
        <v>1354</v>
      </c>
      <c r="J4" s="16" t="str">
        <f>CONCATENATE("Logical: ",B4)</f>
        <v>Logical: HdrEHNEncounter</v>
      </c>
    </row>
    <row r="5" spans="1:12" x14ac:dyDescent="0.75">
      <c r="A5" s="14" t="s">
        <v>15</v>
      </c>
      <c r="B5" s="31" t="s">
        <v>1355</v>
      </c>
      <c r="J5" s="16" t="str">
        <f>CONCATENATE("Id: ",B5)</f>
        <v>Id: HDREncounter</v>
      </c>
    </row>
    <row r="6" spans="1:12" x14ac:dyDescent="0.75">
      <c r="A6" s="14" t="s">
        <v>10</v>
      </c>
      <c r="B6" s="32" t="s">
        <v>1356</v>
      </c>
      <c r="J6" s="17" t="str">
        <f>CONCATENATE("Title: ##34#",B6,"##34#")</f>
        <v>Title: ##34#A2.3 - Encounter##34#</v>
      </c>
    </row>
    <row r="7" spans="1:12" ht="29.5" x14ac:dyDescent="0.75">
      <c r="A7" s="26" t="s">
        <v>3</v>
      </c>
      <c r="B7" s="53" t="s">
        <v>1357</v>
      </c>
      <c r="C7" s="9" t="s">
        <v>4</v>
      </c>
      <c r="D7" s="1" t="s">
        <v>5</v>
      </c>
      <c r="E7" s="3" t="s">
        <v>6</v>
      </c>
      <c r="F7" s="3" t="s">
        <v>7</v>
      </c>
      <c r="G7" s="3" t="s">
        <v>8</v>
      </c>
      <c r="H7" s="52" t="s">
        <v>95</v>
      </c>
      <c r="J7" s="17" t="str">
        <f>CONCATENATE("Description: "," ##334#",B7,"##334#",)</f>
        <v>Description:  ##334#Hospital Discharge Report - Encounter - A2.3 eHN
Maturity Level: 0 Draft##334#</v>
      </c>
    </row>
    <row r="8" spans="1:12" ht="44.25" x14ac:dyDescent="0.75">
      <c r="A8" s="11">
        <v>0</v>
      </c>
      <c r="B8" s="11" t="s">
        <v>99</v>
      </c>
      <c r="C8" s="12" t="s">
        <v>1330</v>
      </c>
      <c r="D8" s="12" t="s">
        <v>380</v>
      </c>
      <c r="E8" s="11">
        <v>1</v>
      </c>
      <c r="F8" s="11" t="s">
        <v>35</v>
      </c>
      <c r="G8" s="11" t="s">
        <v>0</v>
      </c>
      <c r="H8" s="12" t="s">
        <v>381</v>
      </c>
      <c r="I8" s="25"/>
      <c r="J8" s="12" t="str">
        <f t="shared" ref="J8:J37" si="0">CONCATENATE("* ",B8, " ",E8,"..",F8," ",G8," ##34#",C8,"##34# ##334#",D8,"##334#")</f>
        <v>* type 1..1 CodeableConcept ##34#A.2.3.1 - Encounter type [Mandatory]##34# ##334#The type of the encounter whether inpatient or short stay encounter.##334#</v>
      </c>
      <c r="L8" s="12" t="str">
        <f>IF(H8="",IF(J8="*  ..  ##34###34# ##334###334#",J8,""),IF(J8="*  ..  ##34###34# ##334###334#",J8,CONCATENATE("* ",B8," ^comment = ##334#",H8,"##334#")))</f>
        <v>* type ^comment = ##334#Selection from hl7v3:ActEncounterCode##334#</v>
      </c>
    </row>
    <row r="9" spans="1:12" ht="29.5" x14ac:dyDescent="0.75">
      <c r="A9" s="11">
        <v>1</v>
      </c>
      <c r="B9" s="11" t="s">
        <v>1358</v>
      </c>
      <c r="C9" s="12" t="s">
        <v>1331</v>
      </c>
      <c r="D9" s="12" t="s">
        <v>384</v>
      </c>
      <c r="E9" s="11">
        <v>0</v>
      </c>
      <c r="F9" s="11" t="s">
        <v>35</v>
      </c>
      <c r="G9" s="11" t="s">
        <v>1</v>
      </c>
      <c r="H9" s="12"/>
      <c r="I9" s="25"/>
      <c r="J9" s="12" t="str">
        <f t="shared" si="0"/>
        <v>* note 0..1 string ##34#A.2.3.2 - Encounter note [Optional]##34# ##334#A narrative description of the encounter course.##334#</v>
      </c>
      <c r="L9" s="12" t="str">
        <f t="shared" ref="L9:L37" si="1">IF(H9="",IF(J9="*  ..  ##34###34# ##334###334#",J9,""),IF(J9="*  ..  ##34###34# ##334###334#",J9,CONCATENATE("* ",B9," ^comment = ##334#",H9,"##334#")))</f>
        <v/>
      </c>
    </row>
    <row r="10" spans="1:12" ht="29.5" x14ac:dyDescent="0.75">
      <c r="A10" s="11">
        <v>2</v>
      </c>
      <c r="B10" s="11" t="s">
        <v>1359</v>
      </c>
      <c r="C10" s="12" t="s">
        <v>1332</v>
      </c>
      <c r="D10" s="12" t="s">
        <v>1332</v>
      </c>
      <c r="E10" s="11">
        <v>1</v>
      </c>
      <c r="F10" s="11" t="s">
        <v>35</v>
      </c>
      <c r="G10" s="11" t="s">
        <v>2</v>
      </c>
      <c r="H10" s="12"/>
      <c r="I10" s="25"/>
      <c r="J10" s="12" t="str">
        <f t="shared" si="0"/>
        <v>* admission 1..1 BackboneElement ##34#A.2.3.3 - Admission [Mandatory]##34# ##334#A.2.3.3 - Admission [Mandatory]##334#</v>
      </c>
      <c r="L10" s="12" t="str">
        <f t="shared" si="1"/>
        <v/>
      </c>
    </row>
    <row r="11" spans="1:12" ht="29.5" x14ac:dyDescent="0.75">
      <c r="A11" s="11">
        <v>3</v>
      </c>
      <c r="B11" s="11" t="s">
        <v>1363</v>
      </c>
      <c r="C11" s="12" t="s">
        <v>1333</v>
      </c>
      <c r="D11" s="12" t="s">
        <v>389</v>
      </c>
      <c r="E11" s="11">
        <v>0</v>
      </c>
      <c r="F11" s="11" t="s">
        <v>35</v>
      </c>
      <c r="G11" s="11" t="s">
        <v>0</v>
      </c>
      <c r="H11" s="12" t="s">
        <v>390</v>
      </c>
      <c r="I11" s="25"/>
      <c r="J11" s="12" t="str">
        <f t="shared" si="0"/>
        <v>* admission.urgency 0..1 CodeableConcept ##34#A.2.3.3.1 - Admission urgency [Required]##34# ##334#Admission type, either emergency or planned##334#</v>
      </c>
      <c r="L11" s="12" t="str">
        <f t="shared" si="1"/>
        <v>* admission.urgency ^comment = ##334#http://terminology.hl7.org/ValueSet/v3-xEncounterAdmissionUrgency##334#</v>
      </c>
    </row>
    <row r="12" spans="1:12" s="2" customFormat="1" ht="29.5" x14ac:dyDescent="0.75">
      <c r="A12" s="11">
        <v>4</v>
      </c>
      <c r="B12" s="11" t="s">
        <v>1364</v>
      </c>
      <c r="C12" s="12" t="s">
        <v>1334</v>
      </c>
      <c r="D12" s="12" t="s">
        <v>393</v>
      </c>
      <c r="E12" s="11">
        <v>1</v>
      </c>
      <c r="F12" s="11" t="s">
        <v>35</v>
      </c>
      <c r="G12" s="11" t="s">
        <v>1146</v>
      </c>
      <c r="H12" s="12"/>
      <c r="I12" s="25"/>
      <c r="J12" s="12" t="str">
        <f t="shared" si="0"/>
        <v>* admission.date 1..1 dateTime ##34#A.2.3.3.2 - Admission date [Mandatory]##34# ##334#Admission date and time.##334#</v>
      </c>
      <c r="K12"/>
      <c r="L12" s="12" t="str">
        <f t="shared" si="1"/>
        <v/>
      </c>
    </row>
    <row r="13" spans="1:12" s="2" customFormat="1" ht="29.5" x14ac:dyDescent="0.75">
      <c r="A13" s="11">
        <v>5</v>
      </c>
      <c r="B13" s="11" t="s">
        <v>1367</v>
      </c>
      <c r="C13" s="144" t="s">
        <v>1366</v>
      </c>
      <c r="D13" s="4" t="s">
        <v>1371</v>
      </c>
      <c r="E13" s="11">
        <v>0</v>
      </c>
      <c r="F13" s="6" t="s">
        <v>9</v>
      </c>
      <c r="G13" s="11" t="s">
        <v>2</v>
      </c>
      <c r="H13" s="12"/>
      <c r="I13" s="25"/>
      <c r="J13" s="12" t="str">
        <f t="shared" si="0"/>
        <v>* admission.admitter 0..* BackboneElement ##34#- Admitting professional Id []##34# ##334#Admitting Healthcare Professional##334#</v>
      </c>
      <c r="K13"/>
      <c r="L13" s="12" t="str">
        <f t="shared" si="1"/>
        <v/>
      </c>
    </row>
    <row r="14" spans="1:12" s="2" customFormat="1" ht="73.75" x14ac:dyDescent="0.75">
      <c r="A14" s="11">
        <v>6</v>
      </c>
      <c r="B14" s="11" t="s">
        <v>1368</v>
      </c>
      <c r="C14" s="12" t="s">
        <v>1335</v>
      </c>
      <c r="D14" s="12" t="s">
        <v>219</v>
      </c>
      <c r="E14" s="11">
        <v>0</v>
      </c>
      <c r="F14" s="11" t="s">
        <v>35</v>
      </c>
      <c r="G14" s="11" t="s">
        <v>154</v>
      </c>
      <c r="H14" s="12"/>
      <c r="I14" s="25"/>
      <c r="J14" s="12" t="str">
        <f t="shared" si="0"/>
        <v>* admission.admitter.identifier 0..1 Identifier ##34#A.2.3.3.3 - Admitting professional Id [Required]##34# ##334#The health professional identification number. Either an internal identifier assigned by a healthcare provider institution or (preferably) a national health professional ID such as the license or registration number. ##334#</v>
      </c>
      <c r="K14"/>
      <c r="L14" s="12" t="str">
        <f t="shared" si="1"/>
        <v/>
      </c>
    </row>
    <row r="15" spans="1:12" s="2" customFormat="1" ht="29.5" x14ac:dyDescent="0.75">
      <c r="A15" s="11">
        <v>7</v>
      </c>
      <c r="B15" s="11" t="s">
        <v>1369</v>
      </c>
      <c r="C15" s="12" t="s">
        <v>1336</v>
      </c>
      <c r="D15" s="12" t="s">
        <v>208</v>
      </c>
      <c r="E15" s="11">
        <v>0</v>
      </c>
      <c r="F15" s="11" t="s">
        <v>35</v>
      </c>
      <c r="G15" s="11" t="s">
        <v>1176</v>
      </c>
      <c r="H15" s="11"/>
      <c r="I15" s="25"/>
      <c r="J15" s="12" t="str">
        <f t="shared" si="0"/>
        <v>* admission.admitter.name 0..1 HumanName ##34#A.2.3.3.4 - Admitting professional name [Required]##34# ##334#Person name.##334#</v>
      </c>
      <c r="K15"/>
      <c r="L15" s="12" t="str">
        <f t="shared" si="1"/>
        <v/>
      </c>
    </row>
    <row r="16" spans="1:12" s="2" customFormat="1" ht="44.25" x14ac:dyDescent="0.75">
      <c r="A16" s="11">
        <v>8</v>
      </c>
      <c r="B16" s="11" t="s">
        <v>1365</v>
      </c>
      <c r="C16" s="12" t="s">
        <v>1337</v>
      </c>
      <c r="D16" s="12" t="s">
        <v>400</v>
      </c>
      <c r="E16" s="11">
        <v>0</v>
      </c>
      <c r="F16" s="11" t="s">
        <v>35</v>
      </c>
      <c r="G16" s="11" t="s">
        <v>0</v>
      </c>
      <c r="H16" s="11" t="s">
        <v>401</v>
      </c>
      <c r="I16" s="25"/>
      <c r="J16" s="12" t="str">
        <f t="shared" si="0"/>
        <v>* admission.source 0..1 CodeableConcept ##34#A.2.3.3.5 - Admit Source [Required]##34# ##334#From where patient was admitted (e.g. physician referral, transfer).##334#</v>
      </c>
      <c r="K16"/>
      <c r="L16" s="12" t="str">
        <f t="shared" si="1"/>
        <v>* admission.source ^comment = ##334#http://terminology.hl7.org/CodeSystem/admit-source##334#</v>
      </c>
    </row>
    <row r="17" spans="1:12" s="2" customFormat="1" ht="29.5" x14ac:dyDescent="0.75">
      <c r="A17" s="11">
        <v>9</v>
      </c>
      <c r="B17" s="11" t="s">
        <v>1370</v>
      </c>
      <c r="C17" s="143" t="s">
        <v>1373</v>
      </c>
      <c r="D17" s="4" t="s">
        <v>1372</v>
      </c>
      <c r="E17" s="11">
        <v>0</v>
      </c>
      <c r="F17" s="6" t="s">
        <v>9</v>
      </c>
      <c r="G17" s="11" t="s">
        <v>2</v>
      </c>
      <c r="H17" s="11"/>
      <c r="I17" s="25"/>
      <c r="J17" s="12" t="str">
        <f t="shared" si="0"/>
        <v>* admission.referringHP 0..* BackboneElement ##34# - Referring professional Id []##34# ##334#Referring Healthcare Professional##334#</v>
      </c>
      <c r="K17"/>
      <c r="L17" s="12" t="str">
        <f t="shared" si="1"/>
        <v/>
      </c>
    </row>
    <row r="18" spans="1:12" s="2" customFormat="1" ht="73.75" x14ac:dyDescent="0.75">
      <c r="A18" s="11">
        <v>10</v>
      </c>
      <c r="B18" s="11" t="s">
        <v>1374</v>
      </c>
      <c r="C18" s="12" t="s">
        <v>1338</v>
      </c>
      <c r="D18" s="12" t="s">
        <v>219</v>
      </c>
      <c r="E18" s="11">
        <v>0</v>
      </c>
      <c r="F18" s="11" t="s">
        <v>35</v>
      </c>
      <c r="G18" s="11" t="s">
        <v>154</v>
      </c>
      <c r="H18" s="11"/>
      <c r="I18" s="25"/>
      <c r="J18" s="12" t="str">
        <f t="shared" si="0"/>
        <v>* admission.referringHP.identifier 0..1 Identifier ##34#A.2.3.3.6 - Referring professional Id [Required]##34# ##334#The health professional identification number. Either an internal identifier assigned by a healthcare provider institution or (preferably) a national health professional ID such as the license or registration number. ##334#</v>
      </c>
      <c r="K18"/>
      <c r="L18" s="12" t="str">
        <f t="shared" si="1"/>
        <v/>
      </c>
    </row>
    <row r="19" spans="1:12" s="2" customFormat="1" ht="29.5" x14ac:dyDescent="0.75">
      <c r="A19" s="11">
        <v>11</v>
      </c>
      <c r="B19" s="11" t="s">
        <v>1375</v>
      </c>
      <c r="C19" s="12" t="s">
        <v>1339</v>
      </c>
      <c r="D19" s="12" t="s">
        <v>208</v>
      </c>
      <c r="E19" s="11">
        <v>0</v>
      </c>
      <c r="F19" s="11" t="s">
        <v>35</v>
      </c>
      <c r="G19" s="11" t="s">
        <v>1176</v>
      </c>
      <c r="H19" s="12"/>
      <c r="I19" s="25"/>
      <c r="J19" s="12" t="str">
        <f t="shared" si="0"/>
        <v>* admission.referringHP.name 0..1 HumanName ##34#A.2.3.3.7 - Referring professional name [Required]##34# ##334#Person name.##334#</v>
      </c>
      <c r="K19"/>
      <c r="L19" s="12" t="str">
        <f t="shared" si="1"/>
        <v/>
      </c>
    </row>
    <row r="20" spans="1:12" s="2" customFormat="1" ht="44.25" x14ac:dyDescent="0.75">
      <c r="A20" s="11">
        <v>12</v>
      </c>
      <c r="B20" s="11" t="s">
        <v>1376</v>
      </c>
      <c r="C20" s="12" t="s">
        <v>1340</v>
      </c>
      <c r="D20" s="12" t="s">
        <v>214</v>
      </c>
      <c r="E20" s="6">
        <v>0</v>
      </c>
      <c r="F20" s="6" t="s">
        <v>35</v>
      </c>
      <c r="G20" s="11" t="s">
        <v>2</v>
      </c>
      <c r="H20" s="12"/>
      <c r="I20" s="25"/>
      <c r="J20" s="12" t="str">
        <f t="shared" si="0"/>
        <v>* admission.referringHP.organization 0..1 BackboneElement ##34#A.2.3.3.8 - Referring organization [Required]##34# ##334#The healthcare provider organization information.##334#</v>
      </c>
      <c r="K20"/>
      <c r="L20" s="12" t="str">
        <f t="shared" si="1"/>
        <v/>
      </c>
    </row>
    <row r="21" spans="1:12" s="2" customFormat="1" ht="44.25" x14ac:dyDescent="0.75">
      <c r="A21" s="11">
        <v>13</v>
      </c>
      <c r="B21" s="11" t="s">
        <v>1360</v>
      </c>
      <c r="C21" s="12" t="s">
        <v>1341</v>
      </c>
      <c r="D21" s="4" t="s">
        <v>411</v>
      </c>
      <c r="E21" s="11">
        <v>1</v>
      </c>
      <c r="F21" s="11" t="s">
        <v>35</v>
      </c>
      <c r="G21" s="11" t="s">
        <v>2</v>
      </c>
      <c r="H21" s="11"/>
      <c r="I21" s="25"/>
      <c r="J21" s="12" t="str">
        <f t="shared" si="0"/>
        <v>* reason 1..1 BackboneElement ##34#A.2.3.4 - Admission reason [Mandatory]##34# ##334#Reason for admission, e.g. Problem, procedure or finding.##334#</v>
      </c>
      <c r="K21"/>
      <c r="L21" s="12" t="str">
        <f t="shared" si="1"/>
        <v/>
      </c>
    </row>
    <row r="22" spans="1:12" s="2" customFormat="1" ht="29.5" x14ac:dyDescent="0.75">
      <c r="A22" s="11">
        <v>14</v>
      </c>
      <c r="B22" s="11" t="s">
        <v>1377</v>
      </c>
      <c r="C22" s="12" t="s">
        <v>1342</v>
      </c>
      <c r="D22" s="4" t="s">
        <v>1378</v>
      </c>
      <c r="E22" s="11">
        <v>0</v>
      </c>
      <c r="F22" s="11" t="s">
        <v>9</v>
      </c>
      <c r="G22" s="11" t="s">
        <v>0</v>
      </c>
      <c r="H22" s="11" t="s">
        <v>1329</v>
      </c>
      <c r="I22" s="25"/>
      <c r="J22" s="12" t="str">
        <f t="shared" si="0"/>
        <v>* reason.code 0..* CodeableConcept ##34#A.2.3.4.1 - Admission reason [Required]##34# ##334#Reason for admission code##334#</v>
      </c>
      <c r="K22"/>
      <c r="L22" s="12" t="str">
        <f t="shared" si="1"/>
        <v>* reason.code ^comment = ##334#ICD-10*
SNOMED CT
Orphacode##334#</v>
      </c>
    </row>
    <row r="23" spans="1:12" s="2" customFormat="1" ht="29.5" x14ac:dyDescent="0.75">
      <c r="A23" s="11">
        <v>15</v>
      </c>
      <c r="B23" s="11" t="s">
        <v>1379</v>
      </c>
      <c r="C23" s="12" t="s">
        <v>1343</v>
      </c>
      <c r="D23" s="12" t="s">
        <v>414</v>
      </c>
      <c r="E23" s="11">
        <v>0</v>
      </c>
      <c r="F23" s="11" t="s">
        <v>35</v>
      </c>
      <c r="G23" s="11" t="s">
        <v>1</v>
      </c>
      <c r="H23" s="11"/>
      <c r="I23" s="25"/>
      <c r="J23" s="12" t="str">
        <f t="shared" si="0"/>
        <v>* reason.comment 0..1 string ##34#A.2.3.4.2 - Admission reason comment [Optional]##34# ##334#Explanation of the reason for the encounter.##334#</v>
      </c>
      <c r="K23"/>
      <c r="L23" s="12" t="str">
        <f t="shared" si="1"/>
        <v/>
      </c>
    </row>
    <row r="24" spans="1:12" ht="103.25" x14ac:dyDescent="0.75">
      <c r="A24" s="11">
        <v>16</v>
      </c>
      <c r="B24" s="11" t="s">
        <v>1380</v>
      </c>
      <c r="C24" s="12" t="s">
        <v>1344</v>
      </c>
      <c r="D24" s="12" t="s">
        <v>417</v>
      </c>
      <c r="E24" s="11">
        <v>0</v>
      </c>
      <c r="F24" s="11" t="s">
        <v>35</v>
      </c>
      <c r="G24" s="11" t="s">
        <v>0</v>
      </c>
      <c r="H24" s="2" t="s">
        <v>326</v>
      </c>
      <c r="J24" s="12" t="str">
        <f t="shared" si="0"/>
        <v>* reason.legalStatus 0..1 CodeableConcept ##34#A.2.3.4.3 - Admission legal status [Required]##34# ##334#Legal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authority).##334#</v>
      </c>
      <c r="L24" s="12" t="str">
        <f t="shared" si="1"/>
        <v>* reason.legalStatus ^comment = ##334#SNOMED CT##334#</v>
      </c>
    </row>
    <row r="25" spans="1:12" ht="29.5" x14ac:dyDescent="0.75">
      <c r="A25" s="11">
        <v>17</v>
      </c>
      <c r="B25" s="11" t="s">
        <v>1362</v>
      </c>
      <c r="C25" s="12" t="s">
        <v>1345</v>
      </c>
      <c r="D25" s="12" t="s">
        <v>1345</v>
      </c>
      <c r="E25" s="133">
        <v>0</v>
      </c>
      <c r="F25" s="133" t="s">
        <v>9</v>
      </c>
      <c r="G25" s="11" t="s">
        <v>2</v>
      </c>
      <c r="J25" s="12" t="str">
        <f t="shared" si="0"/>
        <v>* discharge 0..* BackboneElement ##34#A.2.3.5 - Discharge [Mandatory]##34# ##334#A.2.3.5 - Discharge [Mandatory]##334#</v>
      </c>
      <c r="L25" s="12" t="str">
        <f t="shared" si="1"/>
        <v/>
      </c>
    </row>
    <row r="26" spans="1:12" ht="29.5" x14ac:dyDescent="0.75">
      <c r="A26" s="11">
        <v>18</v>
      </c>
      <c r="B26" s="11" t="s">
        <v>1381</v>
      </c>
      <c r="C26" s="12" t="s">
        <v>1346</v>
      </c>
      <c r="D26" s="12" t="s">
        <v>422</v>
      </c>
      <c r="E26" s="11">
        <v>1</v>
      </c>
      <c r="F26" s="11" t="s">
        <v>35</v>
      </c>
      <c r="G26" s="11" t="s">
        <v>1146</v>
      </c>
      <c r="J26" s="12" t="str">
        <f t="shared" si="0"/>
        <v>* discharge.dateTime 1..1 dateTime ##34#A.2.3.5.1 - Discharge date [Mandatory]##34# ##334#Discharge date and time##334#</v>
      </c>
      <c r="L26" s="12" t="str">
        <f t="shared" si="1"/>
        <v/>
      </c>
    </row>
    <row r="27" spans="1:12" ht="59" x14ac:dyDescent="0.75">
      <c r="A27" s="11">
        <v>19</v>
      </c>
      <c r="B27" s="11" t="s">
        <v>1382</v>
      </c>
      <c r="C27" s="12" t="s">
        <v>1347</v>
      </c>
      <c r="D27" s="12" t="s">
        <v>425</v>
      </c>
      <c r="E27" s="11">
        <v>0</v>
      </c>
      <c r="F27" s="11" t="s">
        <v>35</v>
      </c>
      <c r="G27" s="11" t="s">
        <v>0</v>
      </c>
      <c r="H27" s="2" t="s">
        <v>426</v>
      </c>
      <c r="J27" s="12" t="str">
        <f t="shared" si="0"/>
        <v>* discharge.destinationType 0..1 CodeableConcept ##34#A.2.3.5.2 - Discharge destination type [Required]##34# ##334#Type of location to which the patient will go after the encounter. E.g. home, hospital, nursing home, left against medical advice etc.  ##334#</v>
      </c>
      <c r="L27" s="12" t="str">
        <f t="shared" si="1"/>
        <v>* discharge.destinationType ^comment = ##334#http://terminology.hl7.org/CodeSystem/discharge-disposition##334#</v>
      </c>
    </row>
    <row r="28" spans="1:12" ht="59" x14ac:dyDescent="0.75">
      <c r="A28" s="11">
        <v>20</v>
      </c>
      <c r="B28" s="11" t="s">
        <v>1383</v>
      </c>
      <c r="C28" s="12" t="s">
        <v>1348</v>
      </c>
      <c r="D28" s="12" t="s">
        <v>429</v>
      </c>
      <c r="E28" s="11">
        <v>0</v>
      </c>
      <c r="F28" s="11" t="s">
        <v>35</v>
      </c>
      <c r="G28" s="11" t="s">
        <v>2</v>
      </c>
      <c r="J28" s="12" t="str">
        <f t="shared" si="0"/>
        <v>* discharge.destinationLocation 0..1 BackboneElement ##34#A.2.3.5.3 - Destination location [Required]##34# ##334#The location/organization to which the patient will go after the encounter. Name, address and telecommunication contact.##334#</v>
      </c>
      <c r="L28" s="12" t="str">
        <f t="shared" si="1"/>
        <v/>
      </c>
    </row>
    <row r="29" spans="1:12" ht="59" x14ac:dyDescent="0.75">
      <c r="A29" s="11">
        <v>21</v>
      </c>
      <c r="B29" s="11" t="s">
        <v>1361</v>
      </c>
      <c r="C29" s="12" t="s">
        <v>1349</v>
      </c>
      <c r="D29" s="12" t="s">
        <v>1349</v>
      </c>
      <c r="E29" s="11">
        <v>0</v>
      </c>
      <c r="F29" s="11" t="s">
        <v>9</v>
      </c>
      <c r="G29" s="11" t="s">
        <v>2</v>
      </c>
      <c r="J29" s="12" t="str">
        <f t="shared" si="0"/>
        <v>* location 0..* BackboneElement ##34#A.2.3.6 - Location - All locations/departments where the patient stayed within the hospital. [Required]##34# ##334#A.2.3.6 - Location - All locations/departments where the patient stayed within the hospital. [Required]##334#</v>
      </c>
      <c r="L29" s="12" t="str">
        <f t="shared" si="1"/>
        <v/>
      </c>
    </row>
    <row r="30" spans="1:12" ht="44.25" x14ac:dyDescent="0.75">
      <c r="A30" s="11">
        <v>22</v>
      </c>
      <c r="B30" s="11" t="s">
        <v>1384</v>
      </c>
      <c r="C30" s="12" t="s">
        <v>1350</v>
      </c>
      <c r="D30" s="12" t="s">
        <v>433</v>
      </c>
      <c r="E30" s="11">
        <v>1</v>
      </c>
      <c r="F30" s="11" t="s">
        <v>35</v>
      </c>
      <c r="G30" s="11" t="s">
        <v>374</v>
      </c>
      <c r="J30" s="12" t="str">
        <f t="shared" si="0"/>
        <v>* location.period 1..1 Period ##34#A.2.3.6.1 - Period [Mandatory]##34# ##334#Time period during which the patient was present at the location##334#</v>
      </c>
      <c r="L30" s="12" t="str">
        <f t="shared" si="1"/>
        <v/>
      </c>
    </row>
    <row r="31" spans="1:12" ht="29.5" x14ac:dyDescent="0.75">
      <c r="A31" s="11">
        <v>23</v>
      </c>
      <c r="B31" s="6" t="s">
        <v>1385</v>
      </c>
      <c r="C31" s="144" t="s">
        <v>1386</v>
      </c>
      <c r="D31" s="144" t="s">
        <v>1386</v>
      </c>
      <c r="E31" s="6">
        <v>0</v>
      </c>
      <c r="F31" s="6" t="s">
        <v>35</v>
      </c>
      <c r="G31" s="11" t="s">
        <v>2</v>
      </c>
      <c r="J31" s="12" t="str">
        <f t="shared" si="0"/>
        <v>* location.organization 0..1 BackboneElement ##34# - Organization Id []##34# ##334# - Organization Id []##334#</v>
      </c>
      <c r="L31" s="12" t="str">
        <f t="shared" si="1"/>
        <v/>
      </c>
    </row>
    <row r="32" spans="1:12" ht="29.5" x14ac:dyDescent="0.75">
      <c r="A32" s="11">
        <v>24</v>
      </c>
      <c r="B32" s="12" t="s">
        <v>1387</v>
      </c>
      <c r="C32" s="12" t="s">
        <v>1351</v>
      </c>
      <c r="D32" s="12" t="s">
        <v>436</v>
      </c>
      <c r="E32" s="11">
        <v>0</v>
      </c>
      <c r="F32" s="11" t="s">
        <v>35</v>
      </c>
      <c r="G32" s="11" t="s">
        <v>154</v>
      </c>
      <c r="J32" s="12" t="str">
        <f t="shared" si="0"/>
        <v>* location.organization.id 0..1 Identifier ##34#A.2.3.6.2 - Organization Id [Required]##34# ##334#The organization’s part identifier.##334#</v>
      </c>
      <c r="L32" s="12" t="str">
        <f t="shared" si="1"/>
        <v/>
      </c>
    </row>
    <row r="33" spans="1:12" ht="44.25" x14ac:dyDescent="0.75">
      <c r="A33" s="11">
        <v>25</v>
      </c>
      <c r="B33" s="12" t="s">
        <v>1388</v>
      </c>
      <c r="C33" s="12" t="s">
        <v>1352</v>
      </c>
      <c r="D33" s="12" t="s">
        <v>439</v>
      </c>
      <c r="E33" s="11">
        <v>1</v>
      </c>
      <c r="F33" s="11" t="s">
        <v>35</v>
      </c>
      <c r="G33" s="11" t="s">
        <v>1</v>
      </c>
      <c r="J33" s="12" t="str">
        <f t="shared" si="0"/>
        <v>* location.organization.name 1..1 string ##34#A.2.3.6.3 - Organization Part Name [Mandatory]##34# ##334#Full name of the organization part, e.g. Name of the department##334#</v>
      </c>
      <c r="L33" s="12" t="str">
        <f t="shared" si="1"/>
        <v/>
      </c>
    </row>
    <row r="34" spans="1:12" ht="44.25" x14ac:dyDescent="0.75">
      <c r="A34" s="11">
        <v>26</v>
      </c>
      <c r="B34" s="12" t="s">
        <v>1389</v>
      </c>
      <c r="C34" s="12" t="s">
        <v>1353</v>
      </c>
      <c r="D34" s="12" t="s">
        <v>442</v>
      </c>
      <c r="E34" s="11">
        <v>1</v>
      </c>
      <c r="F34" s="11" t="s">
        <v>9</v>
      </c>
      <c r="G34" s="11" t="s">
        <v>2</v>
      </c>
      <c r="J34" s="12" t="str">
        <f t="shared" si="0"/>
        <v>* location.organization.details 1..* BackboneElement ##34#A.2.3.6.4 - Organization Part Details [Required]##34# ##334#Address, contact names and contact details, specialty of the organization part.##334#</v>
      </c>
      <c r="L34" s="12" t="str">
        <f t="shared" si="1"/>
        <v/>
      </c>
    </row>
    <row r="35" spans="1:12" x14ac:dyDescent="0.75">
      <c r="J35" s="12" t="str">
        <f t="shared" si="0"/>
        <v>*  ..  ##34###34# ##334###334#</v>
      </c>
      <c r="L35" s="12" t="str">
        <f t="shared" si="1"/>
        <v>*  ..  ##34###34# ##334###334#</v>
      </c>
    </row>
    <row r="36" spans="1:12" x14ac:dyDescent="0.75">
      <c r="J36" s="12" t="str">
        <f t="shared" si="0"/>
        <v>*  ..  ##34###34# ##334###334#</v>
      </c>
      <c r="L36" s="12" t="str">
        <f t="shared" si="1"/>
        <v>*  ..  ##34###34# ##334###334#</v>
      </c>
    </row>
    <row r="37" spans="1:12" x14ac:dyDescent="0.75">
      <c r="J37" s="12" t="str">
        <f t="shared" si="0"/>
        <v>*  ..  ##34###34# ##334###334#</v>
      </c>
      <c r="L37" s="12" t="str">
        <f t="shared" si="1"/>
        <v>*  ..  ##34###34# ##334###334#</v>
      </c>
    </row>
  </sheetData>
  <autoFilter ref="A7:M23" xr:uid="{8509A97B-13A2-4A61-A2A1-3198312EE21A}"/>
  <phoneticPr fontId="23"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2605BC-CD3C-4109-9432-2378280AE9DB}">
  <sheetPr codeName="Foglio46"/>
  <dimension ref="A1:O48"/>
  <sheetViews>
    <sheetView workbookViewId="0">
      <selection activeCell="E91" sqref="B41:E91"/>
    </sheetView>
  </sheetViews>
  <sheetFormatPr defaultRowHeight="14.75" x14ac:dyDescent="0.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CONCATENATE(Encounter!B4,"2FHIR")</f>
        <v>HdrEHNEncounter2FHIR</v>
      </c>
      <c r="E4" s="19" t="str">
        <f>CONCATENATE("Mapping: ",C4)</f>
        <v>Mapping: HdrEHNEncounter2FHIR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1141</v>
      </c>
      <c r="E6" s="20" t="str">
        <f>CONCATENATE("Title: ##34#",C6,"##34#")</f>
        <v>Title: ##34#Hospital Discharge Report model to FHIR R4 Map##34#</v>
      </c>
      <c r="H6" s="7"/>
      <c r="I6" s="7"/>
      <c r="J6" s="7"/>
      <c r="K6" s="7"/>
      <c r="L6" s="7"/>
      <c r="M6" s="7"/>
      <c r="N6" s="7"/>
      <c r="O6" s="7"/>
    </row>
    <row r="7" spans="1:15" ht="15.5" thickBot="1" x14ac:dyDescent="0.9">
      <c r="B7" s="10" t="s">
        <v>17</v>
      </c>
      <c r="C7" s="8" t="str">
        <f>B9</f>
        <v>HDREncounter</v>
      </c>
      <c r="E7" s="20" t="str">
        <f>CONCATENATE("Source: ",C7)</f>
        <v>Source: HDREncounter</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Encounter!B5</f>
        <v>HDREncounter</v>
      </c>
      <c r="C9" s="6" t="s">
        <v>94</v>
      </c>
      <c r="E9" s="27" t="str">
        <f>CONCATENATE("* -&gt; ##34#",C9,"##34#")</f>
        <v>* -&gt; ##34#TBD##34#</v>
      </c>
      <c r="H9" s="7"/>
      <c r="I9" s="7"/>
      <c r="J9" s="7"/>
      <c r="K9" s="7"/>
      <c r="L9" s="7"/>
      <c r="M9" s="7"/>
      <c r="N9" s="7"/>
      <c r="O9" s="7"/>
    </row>
    <row r="10" spans="1:15" x14ac:dyDescent="0.75">
      <c r="A10" s="11"/>
      <c r="B10" s="11" t="str">
        <f>Encounter!B8</f>
        <v>type</v>
      </c>
      <c r="C10" s="11" t="s">
        <v>94</v>
      </c>
      <c r="E10" s="12" t="str">
        <f t="shared" ref="E10:E40" si="0">IF(B10=0,"*  -&gt; ##34###34#",CONCATENATE("* ",B10," -&gt; ##34#",C10,"##34#"))</f>
        <v>* type -&gt; ##34#TBD##34#</v>
      </c>
      <c r="H10" s="7"/>
      <c r="I10" s="7"/>
      <c r="J10" s="7"/>
      <c r="K10" s="7"/>
      <c r="L10" s="7"/>
      <c r="M10" s="7"/>
      <c r="N10" s="7"/>
      <c r="O10" s="7"/>
    </row>
    <row r="11" spans="1:15" x14ac:dyDescent="0.75">
      <c r="A11" s="11"/>
      <c r="B11" s="11" t="str">
        <f>Encounter!B9</f>
        <v>note</v>
      </c>
      <c r="C11" s="11" t="s">
        <v>94</v>
      </c>
      <c r="E11" s="12" t="str">
        <f t="shared" si="0"/>
        <v>* note -&gt; ##34#TBD##34#</v>
      </c>
      <c r="H11" s="7"/>
      <c r="I11" s="7"/>
      <c r="J11" s="7"/>
      <c r="K11" s="7"/>
      <c r="L11" s="7"/>
      <c r="M11" s="7"/>
      <c r="N11" s="7"/>
      <c r="O11" s="7"/>
    </row>
    <row r="12" spans="1:15" x14ac:dyDescent="0.75">
      <c r="A12" s="11"/>
      <c r="B12" s="11" t="str">
        <f>Encounter!B10</f>
        <v>admission</v>
      </c>
      <c r="C12" s="11" t="s">
        <v>94</v>
      </c>
      <c r="E12" s="12" t="str">
        <f t="shared" si="0"/>
        <v>* admission -&gt; ##34#TBD##34#</v>
      </c>
      <c r="H12" s="7"/>
      <c r="I12" s="7"/>
      <c r="J12" s="7"/>
      <c r="K12" s="7"/>
      <c r="L12" s="7"/>
      <c r="M12" s="7"/>
      <c r="N12" s="7"/>
      <c r="O12" s="7"/>
    </row>
    <row r="13" spans="1:15" x14ac:dyDescent="0.75">
      <c r="A13" s="11"/>
      <c r="B13" s="11" t="str">
        <f>Encounter!B11</f>
        <v>admission.urgency</v>
      </c>
      <c r="C13" s="11" t="s">
        <v>94</v>
      </c>
      <c r="E13" s="12" t="str">
        <f t="shared" si="0"/>
        <v>* admission.urgency -&gt; ##34#TBD##34#</v>
      </c>
      <c r="H13" s="7"/>
      <c r="I13" s="7"/>
      <c r="J13" s="7"/>
      <c r="K13" s="7"/>
      <c r="L13" s="7"/>
      <c r="M13" s="7"/>
      <c r="N13" s="7"/>
      <c r="O13" s="7"/>
    </row>
    <row r="14" spans="1:15" x14ac:dyDescent="0.75">
      <c r="A14" s="11"/>
      <c r="B14" s="11" t="str">
        <f>Encounter!B12</f>
        <v>admission.date</v>
      </c>
      <c r="C14" s="11" t="s">
        <v>94</v>
      </c>
      <c r="E14" s="12" t="str">
        <f t="shared" si="0"/>
        <v>* admission.date -&gt; ##34#TBD##34#</v>
      </c>
      <c r="H14" s="7"/>
      <c r="I14" s="7"/>
      <c r="J14" s="7"/>
      <c r="K14" s="7"/>
      <c r="L14" s="7"/>
      <c r="M14" s="7"/>
      <c r="N14" s="7"/>
      <c r="O14" s="7"/>
    </row>
    <row r="15" spans="1:15" x14ac:dyDescent="0.75">
      <c r="A15" s="11"/>
      <c r="B15" s="11" t="str">
        <f>Encounter!B13</f>
        <v>admission.admitter</v>
      </c>
      <c r="C15" s="11" t="s">
        <v>94</v>
      </c>
      <c r="E15" s="12" t="str">
        <f t="shared" si="0"/>
        <v>* admission.admitter -&gt; ##34#TBD##34#</v>
      </c>
      <c r="H15" s="7"/>
      <c r="I15" s="7"/>
      <c r="J15" s="7"/>
      <c r="K15" s="7"/>
      <c r="L15" s="7"/>
      <c r="M15" s="7"/>
      <c r="N15" s="7"/>
      <c r="O15" s="7"/>
    </row>
    <row r="16" spans="1:15" x14ac:dyDescent="0.75">
      <c r="A16" s="11"/>
      <c r="B16" s="11" t="str">
        <f>Encounter!B14</f>
        <v>admission.admitter.identifier</v>
      </c>
      <c r="C16" s="11" t="s">
        <v>94</v>
      </c>
      <c r="E16" s="12" t="str">
        <f t="shared" si="0"/>
        <v>* admission.admitter.identifier -&gt; ##34#TBD##34#</v>
      </c>
      <c r="H16" s="7"/>
      <c r="I16" s="7"/>
      <c r="J16" s="7"/>
      <c r="K16" s="7"/>
      <c r="L16" s="7"/>
      <c r="M16" s="7"/>
      <c r="N16" s="7"/>
      <c r="O16" s="7"/>
    </row>
    <row r="17" spans="1:5" x14ac:dyDescent="0.75">
      <c r="A17" s="11"/>
      <c r="B17" s="11" t="str">
        <f>Encounter!B15</f>
        <v>admission.admitter.name</v>
      </c>
      <c r="C17" s="11" t="s">
        <v>94</v>
      </c>
      <c r="E17" s="12" t="str">
        <f t="shared" si="0"/>
        <v>* admission.admitter.name -&gt; ##34#TBD##34#</v>
      </c>
    </row>
    <row r="18" spans="1:5" x14ac:dyDescent="0.75">
      <c r="A18" s="11"/>
      <c r="B18" s="11" t="str">
        <f>Encounter!B16</f>
        <v>admission.source</v>
      </c>
      <c r="C18" s="11" t="s">
        <v>94</v>
      </c>
      <c r="E18" s="12" t="str">
        <f t="shared" si="0"/>
        <v>* admission.source -&gt; ##34#TBD##34#</v>
      </c>
    </row>
    <row r="19" spans="1:5" x14ac:dyDescent="0.75">
      <c r="A19" s="11"/>
      <c r="B19" s="11" t="str">
        <f>Encounter!B17</f>
        <v>admission.referringHP</v>
      </c>
      <c r="C19" s="11" t="s">
        <v>94</v>
      </c>
      <c r="E19" s="12" t="str">
        <f t="shared" si="0"/>
        <v>* admission.referringHP -&gt; ##34#TBD##34#</v>
      </c>
    </row>
    <row r="20" spans="1:5" x14ac:dyDescent="0.75">
      <c r="A20" s="11"/>
      <c r="B20" s="11" t="str">
        <f>Encounter!B18</f>
        <v>admission.referringHP.identifier</v>
      </c>
      <c r="C20" s="11" t="s">
        <v>94</v>
      </c>
      <c r="E20" s="12" t="str">
        <f t="shared" si="0"/>
        <v>* admission.referringHP.identifier -&gt; ##34#TBD##34#</v>
      </c>
    </row>
    <row r="21" spans="1:5" x14ac:dyDescent="0.75">
      <c r="B21" s="11" t="str">
        <f>Encounter!B19</f>
        <v>admission.referringHP.name</v>
      </c>
      <c r="C21" s="11" t="s">
        <v>94</v>
      </c>
      <c r="E21" s="12" t="str">
        <f t="shared" si="0"/>
        <v>* admission.referringHP.name -&gt; ##34#TBD##34#</v>
      </c>
    </row>
    <row r="22" spans="1:5" x14ac:dyDescent="0.75">
      <c r="B22" s="11" t="str">
        <f>Encounter!B20</f>
        <v>admission.referringHP.organization</v>
      </c>
      <c r="C22" s="11" t="s">
        <v>94</v>
      </c>
      <c r="E22" s="12" t="str">
        <f t="shared" si="0"/>
        <v>* admission.referringHP.organization -&gt; ##34#TBD##34#</v>
      </c>
    </row>
    <row r="23" spans="1:5" x14ac:dyDescent="0.75">
      <c r="B23" s="11" t="str">
        <f>Encounter!B21</f>
        <v>reason</v>
      </c>
      <c r="C23" s="11" t="s">
        <v>94</v>
      </c>
      <c r="E23" s="12" t="str">
        <f t="shared" si="0"/>
        <v>* reason -&gt; ##34#TBD##34#</v>
      </c>
    </row>
    <row r="24" spans="1:5" x14ac:dyDescent="0.75">
      <c r="B24" s="11" t="str">
        <f>Encounter!B22</f>
        <v>reason.code</v>
      </c>
      <c r="C24" s="11" t="s">
        <v>94</v>
      </c>
      <c r="E24" s="12" t="str">
        <f t="shared" si="0"/>
        <v>* reason.code -&gt; ##34#TBD##34#</v>
      </c>
    </row>
    <row r="25" spans="1:5" x14ac:dyDescent="0.75">
      <c r="B25" s="11" t="str">
        <f>Encounter!B23</f>
        <v>reason.comment</v>
      </c>
      <c r="C25" s="11" t="s">
        <v>94</v>
      </c>
      <c r="E25" s="12" t="str">
        <f t="shared" si="0"/>
        <v>* reason.comment -&gt; ##34#TBD##34#</v>
      </c>
    </row>
    <row r="26" spans="1:5" x14ac:dyDescent="0.75">
      <c r="B26" s="11" t="str">
        <f>Encounter!B24</f>
        <v>reason.legalStatus</v>
      </c>
      <c r="C26" s="11" t="s">
        <v>94</v>
      </c>
      <c r="E26" s="12" t="str">
        <f t="shared" si="0"/>
        <v>* reason.legalStatus -&gt; ##34#TBD##34#</v>
      </c>
    </row>
    <row r="27" spans="1:5" x14ac:dyDescent="0.75">
      <c r="B27" s="11" t="str">
        <f>Encounter!B25</f>
        <v>discharge</v>
      </c>
      <c r="C27" s="11" t="s">
        <v>94</v>
      </c>
      <c r="E27" s="12" t="str">
        <f t="shared" si="0"/>
        <v>* discharge -&gt; ##34#TBD##34#</v>
      </c>
    </row>
    <row r="28" spans="1:5" x14ac:dyDescent="0.75">
      <c r="B28" s="11" t="str">
        <f>Encounter!B26</f>
        <v>discharge.dateTime</v>
      </c>
      <c r="C28" s="11" t="s">
        <v>94</v>
      </c>
      <c r="E28" s="12" t="str">
        <f t="shared" si="0"/>
        <v>* discharge.dateTime -&gt; ##34#TBD##34#</v>
      </c>
    </row>
    <row r="29" spans="1:5" x14ac:dyDescent="0.75">
      <c r="B29" s="11" t="str">
        <f>Encounter!B27</f>
        <v>discharge.destinationType</v>
      </c>
      <c r="C29" s="11" t="s">
        <v>94</v>
      </c>
      <c r="E29" s="12" t="str">
        <f t="shared" si="0"/>
        <v>* discharge.destinationType -&gt; ##34#TBD##34#</v>
      </c>
    </row>
    <row r="30" spans="1:5" x14ac:dyDescent="0.75">
      <c r="B30" s="11" t="str">
        <f>Encounter!B28</f>
        <v>discharge.destinationLocation</v>
      </c>
      <c r="C30" s="11" t="s">
        <v>94</v>
      </c>
      <c r="E30" s="12" t="str">
        <f t="shared" si="0"/>
        <v>* discharge.destinationLocation -&gt; ##34#TBD##34#</v>
      </c>
    </row>
    <row r="31" spans="1:5" x14ac:dyDescent="0.75">
      <c r="B31" s="11" t="str">
        <f>Encounter!B29</f>
        <v>location</v>
      </c>
      <c r="C31" s="11" t="s">
        <v>94</v>
      </c>
      <c r="E31" s="12" t="str">
        <f t="shared" si="0"/>
        <v>* location -&gt; ##34#TBD##34#</v>
      </c>
    </row>
    <row r="32" spans="1:5" x14ac:dyDescent="0.75">
      <c r="B32" s="11" t="str">
        <f>Encounter!B30</f>
        <v>location.period</v>
      </c>
      <c r="C32" s="11" t="s">
        <v>94</v>
      </c>
      <c r="E32" s="12" t="str">
        <f t="shared" si="0"/>
        <v>* location.period -&gt; ##34#TBD##34#</v>
      </c>
    </row>
    <row r="33" spans="2:5" x14ac:dyDescent="0.75">
      <c r="B33" s="11" t="str">
        <f>Encounter!B31</f>
        <v>location.organization</v>
      </c>
      <c r="C33" s="11" t="s">
        <v>94</v>
      </c>
      <c r="E33" s="12" t="str">
        <f t="shared" si="0"/>
        <v>* location.organization -&gt; ##34#TBD##34#</v>
      </c>
    </row>
    <row r="34" spans="2:5" x14ac:dyDescent="0.75">
      <c r="B34" s="11" t="str">
        <f>Encounter!B32</f>
        <v>location.organization.id</v>
      </c>
      <c r="C34" s="11" t="s">
        <v>94</v>
      </c>
      <c r="E34" s="12" t="str">
        <f t="shared" si="0"/>
        <v>* location.organization.id -&gt; ##34#TBD##34#</v>
      </c>
    </row>
    <row r="35" spans="2:5" x14ac:dyDescent="0.75">
      <c r="B35" s="11" t="str">
        <f>Encounter!B33</f>
        <v>location.organization.name</v>
      </c>
      <c r="C35" s="11" t="s">
        <v>94</v>
      </c>
      <c r="E35" s="12" t="str">
        <f t="shared" si="0"/>
        <v>* location.organization.name -&gt; ##34#TBD##34#</v>
      </c>
    </row>
    <row r="36" spans="2:5" x14ac:dyDescent="0.75">
      <c r="B36" s="11" t="str">
        <f>Encounter!B34</f>
        <v>location.organization.details</v>
      </c>
      <c r="C36" s="11" t="s">
        <v>94</v>
      </c>
      <c r="E36" s="12" t="str">
        <f t="shared" si="0"/>
        <v>* location.organization.details -&gt; ##34#TBD##34#</v>
      </c>
    </row>
    <row r="37" spans="2:5" x14ac:dyDescent="0.75">
      <c r="B37" s="11">
        <f>Encounter!B35</f>
        <v>0</v>
      </c>
      <c r="C37" s="11" t="s">
        <v>94</v>
      </c>
      <c r="E37" s="12" t="str">
        <f t="shared" si="0"/>
        <v>*  -&gt; ##34###34#</v>
      </c>
    </row>
    <row r="38" spans="2:5" x14ac:dyDescent="0.75">
      <c r="B38" s="11">
        <f>Encounter!B36</f>
        <v>0</v>
      </c>
      <c r="C38" s="11" t="s">
        <v>94</v>
      </c>
      <c r="E38" s="12" t="str">
        <f t="shared" si="0"/>
        <v>*  -&gt; ##34###34#</v>
      </c>
    </row>
    <row r="39" spans="2:5" x14ac:dyDescent="0.75">
      <c r="B39" s="11">
        <f>Encounter!B37</f>
        <v>0</v>
      </c>
      <c r="C39" s="11" t="s">
        <v>94</v>
      </c>
      <c r="E39" s="12" t="str">
        <f t="shared" si="0"/>
        <v>*  -&gt; ##34###34#</v>
      </c>
    </row>
    <row r="40" spans="2:5" x14ac:dyDescent="0.75">
      <c r="B40" s="11">
        <f>Encounter!B38</f>
        <v>0</v>
      </c>
      <c r="C40" s="11" t="s">
        <v>94</v>
      </c>
      <c r="E40" s="12" t="str">
        <f t="shared" si="0"/>
        <v>*  -&gt; ##34###34#</v>
      </c>
    </row>
    <row r="41" spans="2:5" x14ac:dyDescent="0.75">
      <c r="B41" s="11"/>
    </row>
    <row r="42" spans="2:5" x14ac:dyDescent="0.75">
      <c r="B42" s="11"/>
    </row>
    <row r="43" spans="2:5" x14ac:dyDescent="0.75">
      <c r="B43" s="11"/>
    </row>
    <row r="44" spans="2:5" x14ac:dyDescent="0.75">
      <c r="B44" s="11"/>
    </row>
    <row r="45" spans="2:5" x14ac:dyDescent="0.75">
      <c r="B45" s="11"/>
    </row>
    <row r="46" spans="2:5" x14ac:dyDescent="0.75">
      <c r="B46" s="11"/>
    </row>
    <row r="47" spans="2:5" x14ac:dyDescent="0.75">
      <c r="B47" s="11"/>
    </row>
    <row r="48" spans="2:5" x14ac:dyDescent="0.75">
      <c r="B48" s="1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DC29F-9077-4ADC-A36F-2E490368842E}">
  <sheetPr codeName="Foglio20">
    <tabColor theme="8" tint="-0.249977111117893"/>
  </sheetPr>
  <dimension ref="C1:G121"/>
  <sheetViews>
    <sheetView workbookViewId="0">
      <selection activeCell="C19" sqref="C1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Encounter!J1</f>
        <v>//===================================================</v>
      </c>
    </row>
    <row r="2" spans="3:7" ht="16.75" thickBot="1" x14ac:dyDescent="0.9">
      <c r="C2" s="24" t="str">
        <f>Encounter!J2</f>
        <v>//  Logical Model</v>
      </c>
      <c r="G2" s="29" t="s">
        <v>1390</v>
      </c>
    </row>
    <row r="3" spans="3:7" x14ac:dyDescent="0.75">
      <c r="C3" s="24" t="str">
        <f>Encounter!J3</f>
        <v>//===================================================</v>
      </c>
    </row>
    <row r="4" spans="3:7" x14ac:dyDescent="0.75">
      <c r="C4" s="16" t="str">
        <f>Encounter!J4</f>
        <v>Logical: HdrEHNEncounter</v>
      </c>
    </row>
    <row r="5" spans="3:7" x14ac:dyDescent="0.75">
      <c r="C5" s="16" t="str">
        <f>Encounter!J5</f>
        <v>Id: HDREncounter</v>
      </c>
    </row>
    <row r="6" spans="3:7" x14ac:dyDescent="0.75">
      <c r="C6" s="16" t="str">
        <f>Encounter!J6</f>
        <v>Title: ##34#A2.3 - Encounter##34#</v>
      </c>
    </row>
    <row r="7" spans="3:7" ht="29.5" x14ac:dyDescent="0.75">
      <c r="C7" s="16" t="str">
        <f>Encounter!J7</f>
        <v>Description:  ##334#Hospital Discharge Report - Encounter - A2.3 eHN
Maturity Level: 0 Draft##334#</v>
      </c>
    </row>
    <row r="8" spans="3:7" ht="29.5" x14ac:dyDescent="0.75">
      <c r="C8" s="12" t="str">
        <f>IF(Encounter!J8="*  ..  ##34###34# ##334###334#","//--- END",Encounter!J8)</f>
        <v>* type 1..1 CodeableConcept ##34#A.2.3.1 - Encounter type [Mandatory]##34# ##334#The type of the encounter whether inpatient or short stay encounter.##334#</v>
      </c>
    </row>
    <row r="9" spans="3:7" ht="29.5" x14ac:dyDescent="0.75">
      <c r="C9" s="12" t="str">
        <f>IF(Encounter!J9="*  ..  ##34###34# ##334###334#","//--- END",Encounter!J9)</f>
        <v>* note 0..1 string ##34#A.2.3.2 - Encounter note [Optional]##34# ##334#A narrative description of the encounter course.##334#</v>
      </c>
    </row>
    <row r="10" spans="3:7" x14ac:dyDescent="0.75">
      <c r="C10" s="12" t="str">
        <f>IF(Encounter!J10="*  ..  ##34###34# ##334###334#","//--- END",Encounter!J10)</f>
        <v>* admission 1..1 BackboneElement ##34#A.2.3.3 - Admission [Mandatory]##34# ##334#A.2.3.3 - Admission [Mandatory]##334#</v>
      </c>
    </row>
    <row r="11" spans="3:7" x14ac:dyDescent="0.75">
      <c r="C11" s="12" t="str">
        <f>IF(Encounter!J11="*  ..  ##34###34# ##334###334#","//--- END",Encounter!J11)</f>
        <v>* admission.urgency 0..1 CodeableConcept ##34#A.2.3.3.1 - Admission urgency [Required]##34# ##334#Admission type, either emergency or planned##334#</v>
      </c>
    </row>
    <row r="12" spans="3:7" x14ac:dyDescent="0.75">
      <c r="C12" s="12" t="str">
        <f>IF(Encounter!J12="*  ..  ##34###34# ##334###334#","//--- END",Encounter!J12)</f>
        <v>* admission.date 1..1 dateTime ##34#A.2.3.3.2 - Admission date [Mandatory]##34# ##334#Admission date and time.##334#</v>
      </c>
    </row>
    <row r="13" spans="3:7" x14ac:dyDescent="0.75">
      <c r="C13" s="12" t="str">
        <f>IF(Encounter!J13="*  ..  ##34###34# ##334###334#","//--- END",Encounter!J13)</f>
        <v>* admission.admitter 0..* BackboneElement ##34#- Admitting professional Id []##34# ##334#Admitting Healthcare Professional##334#</v>
      </c>
    </row>
    <row r="14" spans="3:7" ht="44.25" x14ac:dyDescent="0.75">
      <c r="C14" s="12" t="str">
        <f>IF(Encounter!J14="*  ..  ##34###34# ##334###334#","//--- END",Encounter!J14)</f>
        <v>* admission.admitter.identifier 0..1 Identifier ##34#A.2.3.3.3 - Admitting professional Id [Required]##34# ##334#The health professional identification number. Either an internal identifier assigned by a healthcare provider institution or (preferably) a national health professional ID such as the license or registration number. ##334#</v>
      </c>
    </row>
    <row r="15" spans="3:7" x14ac:dyDescent="0.75">
      <c r="C15" s="12" t="str">
        <f>IF(Encounter!J15="*  ..  ##34###34# ##334###334#","//--- END",Encounter!J15)</f>
        <v>* admission.admitter.name 0..1 HumanName ##34#A.2.3.3.4 - Admitting professional name [Required]##34# ##334#Person name.##334#</v>
      </c>
    </row>
    <row r="16" spans="3:7" x14ac:dyDescent="0.75">
      <c r="C16" s="12" t="str">
        <f>IF(Encounter!J16="*  ..  ##34###34# ##334###334#","//--- END",Encounter!J16)</f>
        <v>* admission.source 0..1 CodeableConcept ##34#A.2.3.3.5 - Admit Source [Required]##34# ##334#From where patient was admitted (e.g. physician referral, transfer).##334#</v>
      </c>
    </row>
    <row r="17" spans="3:3" x14ac:dyDescent="0.75">
      <c r="C17" s="12" t="str">
        <f>IF(Encounter!J17="*  ..  ##34###34# ##334###334#","//--- END",Encounter!J17)</f>
        <v>* admission.referringHP 0..* BackboneElement ##34# - Referring professional Id []##34# ##334#Referring Healthcare Professional##334#</v>
      </c>
    </row>
    <row r="18" spans="3:3" ht="44.25" x14ac:dyDescent="0.75">
      <c r="C18" s="12" t="str">
        <f>IF(Encounter!J18="*  ..  ##34###34# ##334###334#","//--- END",Encounter!J18)</f>
        <v>* admission.referringHP.identifier 0..1 Identifier ##34#A.2.3.3.6 - Referring professional Id [Required]##34# ##334#The health professional identification number. Either an internal identifier assigned by a healthcare provider institution or (preferably) a national health professional ID such as the license or registration number. ##334#</v>
      </c>
    </row>
    <row r="19" spans="3:3" x14ac:dyDescent="0.75">
      <c r="C19" s="12" t="str">
        <f>IF(Encounter!J19="*  ..  ##34###34# ##334###334#","//--- END",Encounter!J19)</f>
        <v>* admission.referringHP.name 0..1 HumanName ##34#A.2.3.3.7 - Referring professional name [Required]##34# ##334#Person name.##334#</v>
      </c>
    </row>
    <row r="20" spans="3:3" x14ac:dyDescent="0.75">
      <c r="C20" s="12" t="str">
        <f>IF(Encounter!J20="*  ..  ##34###34# ##334###334#","//--- END",Encounter!J20)</f>
        <v>* admission.referringHP.organization 0..1 BackboneElement ##34#A.2.3.3.8 - Referring organization [Required]##34# ##334#The healthcare provider organization information.##334#</v>
      </c>
    </row>
    <row r="21" spans="3:3" x14ac:dyDescent="0.75">
      <c r="C21" s="12" t="str">
        <f>IF(Encounter!J21="*  ..  ##34###34# ##334###334#","//--- END",Encounter!J21)</f>
        <v>* reason 1..1 BackboneElement ##34#A.2.3.4 - Admission reason [Mandatory]##34# ##334#Reason for admission, e.g. Problem, procedure or finding.##334#</v>
      </c>
    </row>
    <row r="22" spans="3:3" x14ac:dyDescent="0.75">
      <c r="C22" s="12" t="str">
        <f>IF(Encounter!J22="*  ..  ##34###34# ##334###334#","//--- END",Encounter!J22)</f>
        <v>* reason.code 0..* CodeableConcept ##34#A.2.3.4.1 - Admission reason [Required]##34# ##334#Reason for admission code##334#</v>
      </c>
    </row>
    <row r="23" spans="3:3" x14ac:dyDescent="0.75">
      <c r="C23" s="12" t="str">
        <f>IF(Encounter!J23="*  ..  ##34###34# ##334###334#","//--- END",Encounter!J23)</f>
        <v>* reason.comment 0..1 string ##34#A.2.3.4.2 - Admission reason comment [Optional]##34# ##334#Explanation of the reason for the encounter.##334#</v>
      </c>
    </row>
    <row r="24" spans="3:3" x14ac:dyDescent="0.75">
      <c r="C24" s="12" t="str">
        <f>IF(Encounter!J24="*  ..  ##34###34# ##334###334#","//--- END",Encounter!J24)</f>
        <v>* reason.legalStatus 0..1 CodeableConcept ##34#A.2.3.4.3 - Admission legal status [Required]##34# ##334#Legal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authority).##334#</v>
      </c>
    </row>
    <row r="25" spans="3:3" x14ac:dyDescent="0.75">
      <c r="C25" s="12" t="str">
        <f>IF(Encounter!J25="*  ..  ##34###34# ##334###334#","//--- END",Encounter!J25)</f>
        <v>* discharge 0..* BackboneElement ##34#A.2.3.5 - Discharge [Mandatory]##34# ##334#A.2.3.5 - Discharge [Mandatory]##334#</v>
      </c>
    </row>
    <row r="26" spans="3:3" ht="27.25" customHeight="1" x14ac:dyDescent="0.75">
      <c r="C26" s="12" t="str">
        <f>IF(Encounter!J26="*  ..  ##34###34# ##334###334#","//--- END",Encounter!J26)</f>
        <v>* discharge.dateTime 1..1 dateTime ##34#A.2.3.5.1 - Discharge date [Mandatory]##34# ##334#Discharge date and time##334#</v>
      </c>
    </row>
    <row r="27" spans="3:3" ht="44.25" x14ac:dyDescent="0.75">
      <c r="C27" s="12" t="str">
        <f>IF(Encounter!J27="*  ..  ##34###34# ##334###334#","//--- END",Encounter!J27)</f>
        <v>* discharge.destinationType 0..1 CodeableConcept ##34#A.2.3.5.2 - Discharge destination type [Required]##34# ##334#Type of location to which the patient will go after the encounter. E.g. home, hospital, nursing home, left against medical advice etc.  ##334#</v>
      </c>
    </row>
    <row r="28" spans="3:3" x14ac:dyDescent="0.75">
      <c r="C28" s="12" t="str">
        <f>IF(Encounter!J28="*  ..  ##34###34# ##334###334#","//--- END",Encounter!J28)</f>
        <v>* discharge.destinationLocation 0..1 BackboneElement ##34#A.2.3.5.3 - Destination location [Required]##34# ##334#The location/organization to which the patient will go after the encounter. Name, address and telecommunication contact.##334#</v>
      </c>
    </row>
    <row r="29" spans="3:3" x14ac:dyDescent="0.75">
      <c r="C29" s="12" t="str">
        <f>IF(Encounter!J29="*  ..  ##34###34# ##334###334#","//--- END",Encounter!J29)</f>
        <v>* location 0..* BackboneElement ##34#A.2.3.6 - Location - All locations/departments where the patient stayed within the hospital. [Required]##34# ##334#A.2.3.6 - Location - All locations/departments where the patient stayed within the hospital. [Required]##334#</v>
      </c>
    </row>
    <row r="30" spans="3:3" x14ac:dyDescent="0.75">
      <c r="C30" s="12" t="str">
        <f>IF(Encounter!J30="*  ..  ##34###34# ##334###334#","//--- END",Encounter!J30)</f>
        <v>* location.period 1..1 Period ##34#A.2.3.6.1 - Period [Mandatory]##34# ##334#Time period during which the patient was present at the location##334#</v>
      </c>
    </row>
    <row r="31" spans="3:3" x14ac:dyDescent="0.75">
      <c r="C31" s="12" t="str">
        <f>IF(Encounter!J31="*  ..  ##34###34# ##334###334#","//--- END",Encounter!J31)</f>
        <v>* location.organization 0..1 BackboneElement ##34# - Organization Id []##34# ##334# - Organization Id []##334#</v>
      </c>
    </row>
    <row r="32" spans="3:3" ht="29.5" x14ac:dyDescent="0.75">
      <c r="C32" s="12" t="str">
        <f>IF(Encounter!J32="*  ..  ##34###34# ##334###334#","//--- END",Encounter!J32)</f>
        <v>* location.organization.id 0..1 Identifier ##34#A.2.3.6.2 - Organization Id [Required]##34# ##334#The organization’s part identifier.##334#</v>
      </c>
    </row>
    <row r="33" spans="3:3" x14ac:dyDescent="0.75">
      <c r="C33" s="12" t="str">
        <f>IF(Encounter!J33="*  ..  ##34###34# ##334###334#","//--- END",Encounter!J33)</f>
        <v>* location.organization.name 1..1 string ##34#A.2.3.6.3 - Organization Part Name [Mandatory]##34# ##334#Full name of the organization part, e.g. Name of the department##334#</v>
      </c>
    </row>
    <row r="34" spans="3:3" x14ac:dyDescent="0.75">
      <c r="C34" s="12" t="str">
        <f>IF(Encounter!J34="*  ..  ##34###34# ##334###334#","//--- END",Encounter!J34)</f>
        <v>* location.organization.details 1..* BackboneElement ##34#A.2.3.6.4 - Organization Part Details [Required]##34# ##334#Address, contact names and contact details, specialty of the organization part.##334#</v>
      </c>
    </row>
    <row r="35" spans="3:3" x14ac:dyDescent="0.75">
      <c r="C35" s="12" t="str">
        <f>IF(Encounter!J35="*  ..  ##34###34# ##334###334#","//--- END",Encounter!J35)</f>
        <v>//--- END</v>
      </c>
    </row>
    <row r="36" spans="3:3" x14ac:dyDescent="0.75">
      <c r="C36" s="12" t="str">
        <f>IF(Encounter!J36="*  ..  ##34###34# ##334###334#","//--- END",Encounter!J36)</f>
        <v>//--- END</v>
      </c>
    </row>
    <row r="37" spans="3:3" x14ac:dyDescent="0.75">
      <c r="C37" s="12" t="str">
        <f>IF(Encounter!J37="*  ..  ##34###34# ##334###334#","//--- END",Encounter!J37)</f>
        <v>//--- END</v>
      </c>
    </row>
    <row r="45" spans="3:3" x14ac:dyDescent="0.75">
      <c r="C45" s="23" t="s">
        <v>98</v>
      </c>
    </row>
    <row r="46" spans="3:3" x14ac:dyDescent="0.75">
      <c r="C46" s="24" t="s">
        <v>96</v>
      </c>
    </row>
    <row r="47" spans="3:3" x14ac:dyDescent="0.75">
      <c r="C47" s="145" t="s">
        <v>98</v>
      </c>
    </row>
    <row r="48" spans="3:3" x14ac:dyDescent="0.75">
      <c r="C48" s="12" t="str">
        <f>IF(Encounter!L8="*  ..  ##34###34# ##334###334#","//--- END",Encounter!L8)</f>
        <v>* type ^comment = ##334#Selection from hl7v3:ActEncounterCode##334#</v>
      </c>
    </row>
    <row r="49" spans="3:3" x14ac:dyDescent="0.75">
      <c r="C49" s="12" t="str">
        <f>IF(Encounter!L9="*  ..  ##34###34# ##334###334#","//--- END",Encounter!L9)</f>
        <v/>
      </c>
    </row>
    <row r="50" spans="3:3" x14ac:dyDescent="0.75">
      <c r="C50" s="12" t="str">
        <f>IF(Encounter!L10="*  ..  ##34###34# ##334###334#","//--- END",Encounter!L10)</f>
        <v/>
      </c>
    </row>
    <row r="51" spans="3:3" x14ac:dyDescent="0.75">
      <c r="C51" s="12" t="str">
        <f>IF(Encounter!L11="*  ..  ##34###34# ##334###334#","//--- END",Encounter!L11)</f>
        <v>* admission.urgency ^comment = ##334#http://terminology.hl7.org/ValueSet/v3-xEncounterAdmissionUrgency##334#</v>
      </c>
    </row>
    <row r="52" spans="3:3" x14ac:dyDescent="0.75">
      <c r="C52" s="12" t="str">
        <f>IF(Encounter!L12="*  ..  ##34###34# ##334###334#","//--- END",Encounter!L12)</f>
        <v/>
      </c>
    </row>
    <row r="53" spans="3:3" x14ac:dyDescent="0.75">
      <c r="C53" s="12" t="str">
        <f>IF(Encounter!L13="*  ..  ##34###34# ##334###334#","//--- END",Encounter!L13)</f>
        <v/>
      </c>
    </row>
    <row r="54" spans="3:3" x14ac:dyDescent="0.75">
      <c r="C54" s="12" t="str">
        <f>IF(Encounter!L14="*  ..  ##34###34# ##334###334#","//--- END",Encounter!L14)</f>
        <v/>
      </c>
    </row>
    <row r="55" spans="3:3" x14ac:dyDescent="0.75">
      <c r="C55" s="12" t="str">
        <f>IF(Encounter!L15="*  ..  ##34###34# ##334###334#","//--- END",Encounter!L15)</f>
        <v/>
      </c>
    </row>
    <row r="56" spans="3:3" x14ac:dyDescent="0.75">
      <c r="C56" s="12" t="str">
        <f>IF(Encounter!L16="*  ..  ##34###34# ##334###334#","//--- END",Encounter!L16)</f>
        <v>* admission.source ^comment = ##334#http://terminology.hl7.org/CodeSystem/admit-source##334#</v>
      </c>
    </row>
    <row r="57" spans="3:3" x14ac:dyDescent="0.75">
      <c r="C57" s="12" t="str">
        <f>IF(Encounter!L17="*  ..  ##34###34# ##334###334#","//--- END",Encounter!L17)</f>
        <v/>
      </c>
    </row>
    <row r="58" spans="3:3" x14ac:dyDescent="0.75">
      <c r="C58" s="12" t="str">
        <f>IF(Encounter!L18="*  ..  ##34###34# ##334###334#","//--- END",Encounter!L18)</f>
        <v/>
      </c>
    </row>
    <row r="59" spans="3:3" x14ac:dyDescent="0.75">
      <c r="C59" s="12" t="str">
        <f>IF(Encounter!L19="*  ..  ##34###34# ##334###334#","//--- END",Encounter!L19)</f>
        <v/>
      </c>
    </row>
    <row r="60" spans="3:3" x14ac:dyDescent="0.75">
      <c r="C60" s="12" t="str">
        <f>IF(Encounter!L20="*  ..  ##34###34# ##334###334#","//--- END",Encounter!L20)</f>
        <v/>
      </c>
    </row>
    <row r="61" spans="3:3" x14ac:dyDescent="0.75">
      <c r="C61" s="12" t="str">
        <f>IF(Encounter!L21="*  ..  ##34###34# ##334###334#","//--- END",Encounter!L21)</f>
        <v/>
      </c>
    </row>
    <row r="62" spans="3:3" ht="44.25" x14ac:dyDescent="0.75">
      <c r="C62" s="12" t="str">
        <f>IF(Encounter!L22="*  ..  ##34###34# ##334###334#","//--- END",Encounter!L22)</f>
        <v>* reason.code ^comment = ##334#ICD-10*
SNOMED CT
Orphacode##334#</v>
      </c>
    </row>
    <row r="63" spans="3:3" x14ac:dyDescent="0.75">
      <c r="C63" s="12" t="str">
        <f>IF(Encounter!L23="*  ..  ##34###34# ##334###334#","//--- END",Encounter!L23)</f>
        <v/>
      </c>
    </row>
    <row r="64" spans="3:3" x14ac:dyDescent="0.75">
      <c r="C64" s="12" t="str">
        <f>IF(Encounter!L24="*  ..  ##34###34# ##334###334#","//--- END",Encounter!L24)</f>
        <v>* reason.legalStatus ^comment = ##334#SNOMED CT##334#</v>
      </c>
    </row>
    <row r="65" spans="3:3" x14ac:dyDescent="0.75">
      <c r="C65" s="12" t="str">
        <f>IF(Encounter!L25="*  ..  ##34###34# ##334###334#","//--- END",Encounter!L25)</f>
        <v/>
      </c>
    </row>
    <row r="66" spans="3:3" x14ac:dyDescent="0.75">
      <c r="C66" s="12" t="str">
        <f>IF(Encounter!L26="*  ..  ##34###34# ##334###334#","//--- END",Encounter!L26)</f>
        <v/>
      </c>
    </row>
    <row r="67" spans="3:3" x14ac:dyDescent="0.75">
      <c r="C67" s="12" t="str">
        <f>IF(Encounter!L27="*  ..  ##34###34# ##334###334#","//--- END",Encounter!L27)</f>
        <v>* discharge.destinationType ^comment = ##334#http://terminology.hl7.org/CodeSystem/discharge-disposition##334#</v>
      </c>
    </row>
    <row r="68" spans="3:3" x14ac:dyDescent="0.75">
      <c r="C68" s="12" t="str">
        <f>IF(Encounter!L28="*  ..  ##34###34# ##334###334#","//--- END",Encounter!L28)</f>
        <v/>
      </c>
    </row>
    <row r="69" spans="3:3" x14ac:dyDescent="0.75">
      <c r="C69" s="12" t="str">
        <f>IF(Encounter!L29="*  ..  ##34###34# ##334###334#","//--- END",Encounter!L29)</f>
        <v/>
      </c>
    </row>
    <row r="70" spans="3:3" x14ac:dyDescent="0.75">
      <c r="C70" s="12" t="str">
        <f>IF(Encounter!L30="*  ..  ##34###34# ##334###334#","//--- END",Encounter!L30)</f>
        <v/>
      </c>
    </row>
    <row r="71" spans="3:3" x14ac:dyDescent="0.75">
      <c r="C71" s="12" t="str">
        <f>IF(Encounter!L31="*  ..  ##34###34# ##334###334#","//--- END",Encounter!L31)</f>
        <v/>
      </c>
    </row>
    <row r="72" spans="3:3" x14ac:dyDescent="0.75">
      <c r="C72" s="12" t="str">
        <f>IF(Encounter!L32="*  ..  ##34###34# ##334###334#","//--- END",Encounter!L32)</f>
        <v/>
      </c>
    </row>
    <row r="73" spans="3:3" x14ac:dyDescent="0.75">
      <c r="C73" s="12" t="str">
        <f>IF(Encounter!L33="*  ..  ##34###34# ##334###334#","//--- END",Encounter!L33)</f>
        <v/>
      </c>
    </row>
    <row r="74" spans="3:3" x14ac:dyDescent="0.75">
      <c r="C74" s="12" t="str">
        <f>IF(Encounter!L34="*  ..  ##34###34# ##334###334#","//--- END",Encounter!L34)</f>
        <v/>
      </c>
    </row>
    <row r="75" spans="3:3" x14ac:dyDescent="0.75">
      <c r="C75" s="12" t="str">
        <f>IF(Encounter!L35="*  ..  ##34###34# ##334###334#","//--- END",Encounter!L35)</f>
        <v>//--- END</v>
      </c>
    </row>
    <row r="76" spans="3:3" x14ac:dyDescent="0.75">
      <c r="C76" s="12" t="str">
        <f>IF(Encounter!L36="*  ..  ##34###34# ##334###334#","//--- END",Encounter!L36)</f>
        <v>//--- END</v>
      </c>
    </row>
    <row r="77" spans="3:3" x14ac:dyDescent="0.75">
      <c r="C77" s="12" t="str">
        <f>IF(Encounter!L37="*  ..  ##34###34# ##334###334#","//--- END",Encounter!L37)</f>
        <v>//--- END</v>
      </c>
    </row>
    <row r="81" spans="3:3" x14ac:dyDescent="0.75">
      <c r="C81" s="23" t="str">
        <f>'Encounter-Map'!E1</f>
        <v>// -------------------------------------------------------------------------------</v>
      </c>
    </row>
    <row r="82" spans="3:3" x14ac:dyDescent="0.75">
      <c r="C82" s="24" t="str">
        <f>'Encounter-Map'!E2</f>
        <v>//  Map to FHIR R4</v>
      </c>
    </row>
    <row r="83" spans="3:3" x14ac:dyDescent="0.75">
      <c r="C83" s="24" t="str">
        <f>'Encounter-Map'!E3</f>
        <v>// -------------------------------------------------------------------------------</v>
      </c>
    </row>
    <row r="84" spans="3:3" x14ac:dyDescent="0.75">
      <c r="C84" s="12" t="str">
        <f>'Encounter-Map'!E4</f>
        <v>Mapping: HdrEHNEncounter2FHIR</v>
      </c>
    </row>
    <row r="85" spans="3:3" x14ac:dyDescent="0.75">
      <c r="C85" s="12" t="str">
        <f>'Encounter-Map'!E5</f>
        <v>Id: fhir</v>
      </c>
    </row>
    <row r="86" spans="3:3" x14ac:dyDescent="0.75">
      <c r="C86" s="12" t="str">
        <f>'Encounter-Map'!E6</f>
        <v>Title: ##34#Hospital Discharge Report model to FHIR R4 Map##34#</v>
      </c>
    </row>
    <row r="87" spans="3:3" x14ac:dyDescent="0.75">
      <c r="C87" s="12" t="str">
        <f>'Encounter-Map'!E7</f>
        <v>Source: HDREncounter</v>
      </c>
    </row>
    <row r="88" spans="3:3" x14ac:dyDescent="0.75">
      <c r="C88" s="12" t="str">
        <f>'Encounter-Map'!E8</f>
        <v>Target: ##34#hl7.org/fhir/r4##34#</v>
      </c>
    </row>
    <row r="90" spans="3:3" x14ac:dyDescent="0.75">
      <c r="C90" s="4" t="str">
        <f>'Encounter-Map'!E9</f>
        <v>* -&gt; ##34#TBD##34#</v>
      </c>
    </row>
    <row r="91" spans="3:3" x14ac:dyDescent="0.75">
      <c r="C91" s="12" t="str">
        <f>IF('Encounter-Map'!E10="*  -&gt; ##34###34#","// --END",'Encounter-Map'!E10)</f>
        <v>* type -&gt; ##34#TBD##34#</v>
      </c>
    </row>
    <row r="92" spans="3:3" x14ac:dyDescent="0.75">
      <c r="C92" s="12" t="str">
        <f>IF('Encounter-Map'!E11="*  -&gt; ##34###34#","// --END",'Encounter-Map'!E11)</f>
        <v>* note -&gt; ##34#TBD##34#</v>
      </c>
    </row>
    <row r="93" spans="3:3" x14ac:dyDescent="0.75">
      <c r="C93" s="12" t="str">
        <f>IF('Encounter-Map'!E12="*  -&gt; ##34###34#","// --END",'Encounter-Map'!E12)</f>
        <v>* admission -&gt; ##34#TBD##34#</v>
      </c>
    </row>
    <row r="94" spans="3:3" x14ac:dyDescent="0.75">
      <c r="C94" s="12" t="str">
        <f>IF('Encounter-Map'!E13="*  -&gt; ##34###34#","// --END",'Encounter-Map'!E13)</f>
        <v>* admission.urgency -&gt; ##34#TBD##34#</v>
      </c>
    </row>
    <row r="95" spans="3:3" x14ac:dyDescent="0.75">
      <c r="C95" s="12" t="str">
        <f>IF('Encounter-Map'!E14="*  -&gt; ##34###34#","// --END",'Encounter-Map'!E14)</f>
        <v>* admission.date -&gt; ##34#TBD##34#</v>
      </c>
    </row>
    <row r="96" spans="3:3" x14ac:dyDescent="0.75">
      <c r="C96" s="12" t="str">
        <f>IF('Encounter-Map'!E15="*  -&gt; ##34###34#","// --END",'Encounter-Map'!E15)</f>
        <v>* admission.admitter -&gt; ##34#TBD##34#</v>
      </c>
    </row>
    <row r="97" spans="3:3" x14ac:dyDescent="0.75">
      <c r="C97" s="12" t="str">
        <f>IF('Encounter-Map'!E16="*  -&gt; ##34###34#","// --END",'Encounter-Map'!E16)</f>
        <v>* admission.admitter.identifier -&gt; ##34#TBD##34#</v>
      </c>
    </row>
    <row r="98" spans="3:3" x14ac:dyDescent="0.75">
      <c r="C98" s="12" t="str">
        <f>IF('Encounter-Map'!E17="*  -&gt; ##34###34#","// --END",'Encounter-Map'!E17)</f>
        <v>* admission.admitter.name -&gt; ##34#TBD##34#</v>
      </c>
    </row>
    <row r="99" spans="3:3" x14ac:dyDescent="0.75">
      <c r="C99" s="12" t="str">
        <f>IF('Encounter-Map'!E18="*  -&gt; ##34###34#","// --END",'Encounter-Map'!E18)</f>
        <v>* admission.source -&gt; ##34#TBD##34#</v>
      </c>
    </row>
    <row r="100" spans="3:3" x14ac:dyDescent="0.75">
      <c r="C100" s="12" t="str">
        <f>IF('Encounter-Map'!E19="*  -&gt; ##34###34#","// --END",'Encounter-Map'!E19)</f>
        <v>* admission.referringHP -&gt; ##34#TBD##34#</v>
      </c>
    </row>
    <row r="101" spans="3:3" x14ac:dyDescent="0.75">
      <c r="C101" s="12" t="str">
        <f>IF('Encounter-Map'!E20="*  -&gt; ##34###34#","// --END",'Encounter-Map'!E20)</f>
        <v>* admission.referringHP.identifier -&gt; ##34#TBD##34#</v>
      </c>
    </row>
    <row r="102" spans="3:3" x14ac:dyDescent="0.75">
      <c r="C102" s="12" t="str">
        <f>IF('Encounter-Map'!E21="*  -&gt; ##34###34#","// --END",'Encounter-Map'!E21)</f>
        <v>* admission.referringHP.name -&gt; ##34#TBD##34#</v>
      </c>
    </row>
    <row r="103" spans="3:3" x14ac:dyDescent="0.75">
      <c r="C103" s="12" t="str">
        <f>IF('Encounter-Map'!E22="*  -&gt; ##34###34#","// --END",'Encounter-Map'!E22)</f>
        <v>* admission.referringHP.organization -&gt; ##34#TBD##34#</v>
      </c>
    </row>
    <row r="104" spans="3:3" x14ac:dyDescent="0.75">
      <c r="C104" s="12" t="str">
        <f>IF('Encounter-Map'!E23="*  -&gt; ##34###34#","// --END",'Encounter-Map'!E23)</f>
        <v>* reason -&gt; ##34#TBD##34#</v>
      </c>
    </row>
    <row r="105" spans="3:3" x14ac:dyDescent="0.75">
      <c r="C105" s="12" t="str">
        <f>IF('Encounter-Map'!E24="*  -&gt; ##34###34#","// --END",'Encounter-Map'!E24)</f>
        <v>* reason.code -&gt; ##34#TBD##34#</v>
      </c>
    </row>
    <row r="106" spans="3:3" x14ac:dyDescent="0.75">
      <c r="C106" s="12" t="str">
        <f>IF('Encounter-Map'!E25="*  -&gt; ##34###34#","// --END",'Encounter-Map'!E25)</f>
        <v>* reason.comment -&gt; ##34#TBD##34#</v>
      </c>
    </row>
    <row r="107" spans="3:3" x14ac:dyDescent="0.75">
      <c r="C107" s="12" t="str">
        <f>IF('Encounter-Map'!E26="*  -&gt; ##34###34#","// --END",'Encounter-Map'!E26)</f>
        <v>* reason.legalStatus -&gt; ##34#TBD##34#</v>
      </c>
    </row>
    <row r="108" spans="3:3" x14ac:dyDescent="0.75">
      <c r="C108" s="12" t="str">
        <f>IF('Encounter-Map'!E27="*  -&gt; ##34###34#","// --END",'Encounter-Map'!E27)</f>
        <v>* discharge -&gt; ##34#TBD##34#</v>
      </c>
    </row>
    <row r="109" spans="3:3" x14ac:dyDescent="0.75">
      <c r="C109" s="12" t="str">
        <f>IF('Encounter-Map'!E28="*  -&gt; ##34###34#","// --END",'Encounter-Map'!E28)</f>
        <v>* discharge.dateTime -&gt; ##34#TBD##34#</v>
      </c>
    </row>
    <row r="110" spans="3:3" x14ac:dyDescent="0.75">
      <c r="C110" s="12" t="str">
        <f>IF('Encounter-Map'!E29="*  -&gt; ##34###34#","// --END",'Encounter-Map'!E29)</f>
        <v>* discharge.destinationType -&gt; ##34#TBD##34#</v>
      </c>
    </row>
    <row r="111" spans="3:3" x14ac:dyDescent="0.75">
      <c r="C111" s="12" t="str">
        <f>IF('Encounter-Map'!E30="*  -&gt; ##34###34#","// --END",'Encounter-Map'!E30)</f>
        <v>* discharge.destinationLocation -&gt; ##34#TBD##34#</v>
      </c>
    </row>
    <row r="112" spans="3:3" x14ac:dyDescent="0.75">
      <c r="C112" s="12" t="str">
        <f>IF('Encounter-Map'!E31="*  -&gt; ##34###34#","// --END",'Encounter-Map'!E31)</f>
        <v>* location -&gt; ##34#TBD##34#</v>
      </c>
    </row>
    <row r="113" spans="3:3" x14ac:dyDescent="0.75">
      <c r="C113" s="12" t="str">
        <f>IF('Encounter-Map'!E32="*  -&gt; ##34###34#","// --END",'Encounter-Map'!E32)</f>
        <v>* location.period -&gt; ##34#TBD##34#</v>
      </c>
    </row>
    <row r="114" spans="3:3" x14ac:dyDescent="0.75">
      <c r="C114" s="12" t="str">
        <f>IF('Encounter-Map'!E33="*  -&gt; ##34###34#","// --END",'Encounter-Map'!E33)</f>
        <v>* location.organization -&gt; ##34#TBD##34#</v>
      </c>
    </row>
    <row r="115" spans="3:3" x14ac:dyDescent="0.75">
      <c r="C115" s="12" t="str">
        <f>IF('Encounter-Map'!E34="*  -&gt; ##34###34#","// --END",'Encounter-Map'!E34)</f>
        <v>* location.organization.id -&gt; ##34#TBD##34#</v>
      </c>
    </row>
    <row r="116" spans="3:3" x14ac:dyDescent="0.75">
      <c r="C116" s="12" t="str">
        <f>IF('Encounter-Map'!E35="*  -&gt; ##34###34#","// --END",'Encounter-Map'!E35)</f>
        <v>* location.organization.name -&gt; ##34#TBD##34#</v>
      </c>
    </row>
    <row r="117" spans="3:3" x14ac:dyDescent="0.75">
      <c r="C117" s="12" t="str">
        <f>IF('Encounter-Map'!E36="*  -&gt; ##34###34#","// --END",'Encounter-Map'!E36)</f>
        <v>* location.organization.details -&gt; ##34#TBD##34#</v>
      </c>
    </row>
    <row r="118" spans="3:3" x14ac:dyDescent="0.75">
      <c r="C118" s="12" t="str">
        <f>IF('Encounter-Map'!E37="*  -&gt; ##34###34#","// --END",'Encounter-Map'!E37)</f>
        <v>// --END</v>
      </c>
    </row>
    <row r="119" spans="3:3" x14ac:dyDescent="0.75">
      <c r="C119" s="12" t="str">
        <f>IF('Encounter-Map'!E38="*  -&gt; ##34###34#","// --END",'Encounter-Map'!E38)</f>
        <v>// --END</v>
      </c>
    </row>
    <row r="120" spans="3:3" x14ac:dyDescent="0.75">
      <c r="C120" s="12" t="str">
        <f>IF('Encounter-Map'!E39="*  -&gt; ##34###34#","// --END",'Encounter-Map'!E39)</f>
        <v>// --END</v>
      </c>
    </row>
    <row r="121" spans="3:3" x14ac:dyDescent="0.75">
      <c r="C121" s="12" t="str">
        <f>IF('Encounter-Map'!E40="*  -&gt; ##34###34#","// --END",'Encounter-Map'!E40)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2817" r:id="rId4" name="Button 1">
              <controlPr defaultSize="0" print="0" autoFill="0" autoPict="0" macro="[0]!export">
                <anchor moveWithCells="1">
                  <from>
                    <xdr:col>2</xdr:col>
                    <xdr:colOff>444500</xdr:colOff>
                    <xdr:row>90</xdr:row>
                    <xdr:rowOff>171450</xdr:rowOff>
                  </from>
                  <to>
                    <xdr:col>2</xdr:col>
                    <xdr:colOff>1117600</xdr:colOff>
                    <xdr:row>92</xdr:row>
                    <xdr:rowOff>88900</xdr:rowOff>
                  </to>
                </anchor>
              </controlPr>
            </control>
          </mc:Choice>
        </mc:AlternateContent>
        <mc:AlternateContent xmlns:mc="http://schemas.openxmlformats.org/markup-compatibility/2006">
          <mc:Choice Requires="x14">
            <control shapeId="162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mc:AlternateContent xmlns:mc="http://schemas.openxmlformats.org/markup-compatibility/2006">
          <mc:Choice Requires="x14">
            <control shapeId="162819" r:id="rId6" name="Button 3">
              <controlPr defaultSize="0" print="0" autoFill="0" autoPict="0" macro="[0]!export">
                <anchor moveWithCells="1">
                  <from>
                    <xdr:col>2</xdr:col>
                    <xdr:colOff>444500</xdr:colOff>
                    <xdr:row>121</xdr:row>
                    <xdr:rowOff>0</xdr:rowOff>
                  </from>
                  <to>
                    <xdr:col>2</xdr:col>
                    <xdr:colOff>1117600</xdr:colOff>
                    <xdr:row>122</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0FECE-3346-4650-98EC-1A238584883B}">
  <sheetPr codeName="Foglio49">
    <tabColor theme="0" tint="-0.499984740745262"/>
  </sheetPr>
  <dimension ref="A2:X217"/>
  <sheetViews>
    <sheetView topLeftCell="B1" workbookViewId="0">
      <selection activeCell="C9" sqref="C9"/>
    </sheetView>
  </sheetViews>
  <sheetFormatPr defaultRowHeight="14.75" x14ac:dyDescent="0.75"/>
  <cols>
    <col min="2" max="2" width="31.6796875" bestFit="1"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43" t="s">
        <v>16</v>
      </c>
      <c r="C3" s="28" t="s">
        <v>1402</v>
      </c>
      <c r="D3" s="148" t="s">
        <v>1391</v>
      </c>
      <c r="E3" s="216" t="s">
        <v>1403</v>
      </c>
      <c r="F3" s="217"/>
      <c r="G3" s="217"/>
    </row>
    <row r="4" spans="1:19" x14ac:dyDescent="0.75">
      <c r="B4" s="43" t="s">
        <v>15</v>
      </c>
      <c r="C4" s="28" t="s">
        <v>1405</v>
      </c>
      <c r="D4" s="148" t="s">
        <v>1393</v>
      </c>
      <c r="E4" s="147" t="s">
        <v>1404</v>
      </c>
    </row>
    <row r="5" spans="1:19" x14ac:dyDescent="0.75">
      <c r="B5" s="43" t="s">
        <v>10</v>
      </c>
      <c r="C5" s="150" t="s">
        <v>1394</v>
      </c>
      <c r="D5" s="148"/>
      <c r="E5" s="7"/>
    </row>
    <row r="6" spans="1:19" x14ac:dyDescent="0.75">
      <c r="B6" s="43" t="s">
        <v>17</v>
      </c>
      <c r="C6" s="151" t="s">
        <v>1392</v>
      </c>
      <c r="D6" s="148" t="s">
        <v>1395</v>
      </c>
      <c r="E6" s="216" t="str">
        <f>E3</f>
        <v>http://hl7.eu/fhir/ig/xpandh/hdr/StructureDefinition/HDREncounter</v>
      </c>
      <c r="F6" s="217"/>
      <c r="G6" s="217"/>
    </row>
    <row r="7" spans="1:19" x14ac:dyDescent="0.75">
      <c r="B7" s="43" t="s">
        <v>14</v>
      </c>
      <c r="C7" s="152" t="s">
        <v>1396</v>
      </c>
      <c r="D7" s="148" t="s">
        <v>1397</v>
      </c>
      <c r="E7" s="216" t="str">
        <f>E4</f>
        <v>http://hl7.eu/fhir/ig/xpandh/hdr/StructureDefinition/Encounter-eu-xpandh</v>
      </c>
      <c r="F7" s="217"/>
      <c r="G7" s="217"/>
    </row>
    <row r="8" spans="1:19" ht="44.25" x14ac:dyDescent="0.75">
      <c r="B8" s="43" t="s">
        <v>1398</v>
      </c>
      <c r="C8" s="150" t="s">
        <v>1455</v>
      </c>
      <c r="D8" s="148"/>
      <c r="E8"/>
      <c r="G8" s="7"/>
      <c r="I8" s="12" t="s">
        <v>36</v>
      </c>
      <c r="J8" s="12" t="s">
        <v>37</v>
      </c>
      <c r="K8" s="12" t="s">
        <v>38</v>
      </c>
      <c r="L8" s="12" t="s">
        <v>39</v>
      </c>
      <c r="M8" s="11" t="s">
        <v>40</v>
      </c>
      <c r="P8" s="34" t="s">
        <v>75</v>
      </c>
      <c r="Q8" s="34">
        <v>6</v>
      </c>
    </row>
    <row r="9" spans="1:19" ht="29.5" x14ac:dyDescent="0.75">
      <c r="B9" s="43" t="s">
        <v>1399</v>
      </c>
      <c r="C9" s="2" t="s">
        <v>1454</v>
      </c>
      <c r="D9" s="148"/>
      <c r="E9"/>
      <c r="I9" s="12"/>
      <c r="J9" s="11"/>
      <c r="K9" s="11"/>
      <c r="L9" s="11"/>
      <c r="M9" s="11"/>
    </row>
    <row r="10" spans="1:19" x14ac:dyDescent="0.75">
      <c r="B10" s="43"/>
      <c r="D10" s="148"/>
      <c r="E10"/>
      <c r="I10" s="12"/>
      <c r="J10" s="11"/>
      <c r="K10" s="11"/>
      <c r="L10" s="11"/>
      <c r="M10" s="11"/>
    </row>
    <row r="11" spans="1:19" x14ac:dyDescent="0.75">
      <c r="E11" s="7"/>
      <c r="I11" s="16" t="s">
        <v>78</v>
      </c>
      <c r="J11" s="48" t="s">
        <v>79</v>
      </c>
      <c r="K11" s="16" t="s">
        <v>76</v>
      </c>
      <c r="L11" s="48" t="s">
        <v>77</v>
      </c>
      <c r="M11" s="44" t="s">
        <v>71</v>
      </c>
      <c r="N11" s="47" t="s">
        <v>95</v>
      </c>
    </row>
    <row r="12" spans="1:19" x14ac:dyDescent="0.75">
      <c r="E12" s="37"/>
      <c r="I12" s="12"/>
      <c r="J12" s="11"/>
      <c r="K12" s="11"/>
      <c r="L12" s="11"/>
      <c r="M12" s="11"/>
    </row>
    <row r="13" spans="1:19" x14ac:dyDescent="0.75">
      <c r="D13" s="12"/>
      <c r="E13" s="11"/>
      <c r="F13" s="44" t="s">
        <v>71</v>
      </c>
      <c r="G13" s="47" t="s">
        <v>95</v>
      </c>
      <c r="H13" s="47"/>
      <c r="I13" s="12"/>
      <c r="J13" s="11"/>
      <c r="K13" s="44"/>
      <c r="L13" s="44"/>
      <c r="M13" s="44"/>
      <c r="N13" s="47"/>
    </row>
    <row r="14" spans="1:19" ht="29.5" x14ac:dyDescent="0.75">
      <c r="A14" s="40"/>
      <c r="B14" s="6" t="str">
        <f>Encounter!B5</f>
        <v>HDREncounter</v>
      </c>
      <c r="C14" s="12"/>
      <c r="D14" s="12" t="s">
        <v>1406</v>
      </c>
      <c r="E14" s="12"/>
      <c r="F14" s="12"/>
      <c r="G14" s="11"/>
      <c r="I14" s="12"/>
      <c r="J14" s="11"/>
      <c r="K14" s="11"/>
      <c r="L14" s="11"/>
      <c r="M14" s="44"/>
      <c r="N14" s="47"/>
    </row>
    <row r="15" spans="1:19" ht="103.25" x14ac:dyDescent="0.75">
      <c r="A15" s="40"/>
      <c r="B15" s="11" t="str">
        <f>Encounter!B8</f>
        <v>type</v>
      </c>
      <c r="C15" s="12" t="str">
        <f>Encounter!C8</f>
        <v>A.2.3.1 - Encounter type [Mandatory]</v>
      </c>
      <c r="D15" s="12" t="s">
        <v>1407</v>
      </c>
      <c r="E15" s="38"/>
      <c r="F15" s="45" t="s">
        <v>64</v>
      </c>
      <c r="G15" s="45"/>
      <c r="H15" s="39"/>
      <c r="I15" s="12" t="str">
        <f>"* group[=].element[+].code = #"&amp;$B$14&amp;"."&amp;B15</f>
        <v>* group[=].element[+].code = #HDREncounter.type</v>
      </c>
      <c r="J15" s="12" t="str">
        <f t="shared" ref="J15" si="0">"* group[=].element[=].display = ##34#"&amp;C15&amp;"##34#"</f>
        <v>* group[=].element[=].display = ##34#A.2.3.1 - Encounter type [Mandatory]##34#</v>
      </c>
      <c r="K15" s="12" t="str">
        <f t="shared" ref="K15" si="1">IF(F15="unmatched","//-- unmatched","* group[=].element[=].target.code = #"&amp;$D$14&amp;"."&amp;D15)</f>
        <v>* group[=].element[=].target.code = #Encounter.conformsTo('http://hl7.eu/fhir/ig/xpandh/hdr/StructureDefinition/Encounter-eu-xpandh').class</v>
      </c>
      <c r="L15" s="12" t="str">
        <f t="shared" ref="L15" si="2">IF(F15="unmatched","//-- unmatched","* group[=].element[=].target.display = ##34#"&amp;E15&amp;"##34#")</f>
        <v>* group[=].element[=].target.display = ##34###34#</v>
      </c>
      <c r="M15" s="12" t="str">
        <f t="shared" ref="M15" si="3">"* group[=].element[=].target.equivalence = #"&amp;F15</f>
        <v>* group[=].element[=].target.equivalence = #equal</v>
      </c>
      <c r="N15" s="4" t="str">
        <f t="shared" ref="N15" si="4">IF(G15&lt;&gt;"",CONCATENATE("* group[=].element[=].target.comment = ","##34#",G15,"##34#"),"")</f>
        <v/>
      </c>
      <c r="P15" s="11">
        <v>1</v>
      </c>
      <c r="Q15" s="11">
        <f>IF(MOD(P15,$Q$8)=0,P15/$Q$8-1,INT(P15/$Q$8))</f>
        <v>0</v>
      </c>
      <c r="R15" s="11">
        <f>IF(MOD(P15,$Q$8)=0,$Q$8,MOD(P15,$Q$8))</f>
        <v>1</v>
      </c>
      <c r="S15" s="12" t="str" cm="1">
        <f t="array" ref="S15">INDEX('Encounter-ConceptMap-1'!$I$15:$N$271,Q15+1,R15)</f>
        <v>* group[=].element[+].code = #HDREncounter.type</v>
      </c>
    </row>
    <row r="16" spans="1:19" ht="44.25" x14ac:dyDescent="0.75">
      <c r="A16" s="40"/>
      <c r="B16" s="11" t="str">
        <f>Encounter!B9</f>
        <v>note</v>
      </c>
      <c r="C16" s="12" t="str">
        <f>Encounter!C9</f>
        <v>A.2.3.2 - Encounter note [Optional]</v>
      </c>
      <c r="D16" s="12" t="s">
        <v>94</v>
      </c>
      <c r="E16" s="38"/>
      <c r="F16" s="45" t="s">
        <v>58</v>
      </c>
      <c r="G16" s="45"/>
      <c r="H16" s="39"/>
      <c r="I16" s="12" t="str">
        <f t="shared" ref="I16:I18" si="5">"* group[=].element[+].code = #"&amp;$B$14&amp;"."&amp;B16</f>
        <v>* group[=].element[+].code = #HDREncounter.note</v>
      </c>
      <c r="J16" s="12" t="str">
        <f t="shared" ref="J16:J19" si="6">"* group[=].element[=].display = ##34#"&amp;C16&amp;"##34#"</f>
        <v>* group[=].element[=].display = ##34#A.2.3.2 - Encounter note [Optional]##34#</v>
      </c>
      <c r="K16" s="12" t="str">
        <f t="shared" ref="K16:K19" si="7">IF(F16="unmatched","//-- unmatched","* group[=].element[=].target.code = #"&amp;$D$14&amp;"."&amp;D16)</f>
        <v>//-- unmatched</v>
      </c>
      <c r="L16" s="12" t="str">
        <f t="shared" ref="L16:L19" si="8">IF(F16="unmatched","//-- unmatched","* group[=].element[=].target.display = ##34#"&amp;E16&amp;"##34#")</f>
        <v>//-- unmatched</v>
      </c>
      <c r="M16" s="12" t="str">
        <f t="shared" ref="M16:M19" si="9">"* group[=].element[=].target.equivalence = #"&amp;F16</f>
        <v>* group[=].element[=].target.equivalence = #unmatched</v>
      </c>
      <c r="N16" s="4" t="str">
        <f t="shared" ref="N16:N19" si="10">IF(G16&lt;&gt;"",CONCATENATE("* group[=].element[=].target.comment = ","##34#",G16,"##34#"),"")</f>
        <v/>
      </c>
      <c r="P16" s="11">
        <v>2</v>
      </c>
      <c r="Q16" s="11">
        <f t="shared" ref="Q16:Q80" si="11">IF(MOD(P16,$Q$8)=0,P16/$Q$8-1,INT(P16/$Q$8))</f>
        <v>0</v>
      </c>
      <c r="R16" s="11">
        <f t="shared" ref="R16:R80" si="12">IF(MOD(P16,$Q$8)=0,$Q$8,MOD(P16,$Q$8))</f>
        <v>2</v>
      </c>
      <c r="S16" s="12" t="str" cm="1">
        <f t="array" ref="S16">INDEX('Encounter-ConceptMap-1'!$I$15:$N$271,Q16+1,R16)</f>
        <v>* group[=].element[=].display = ##34#A.2.3.1 - Encounter type [Mandatory]##34#</v>
      </c>
    </row>
    <row r="17" spans="1:24" ht="103.25" x14ac:dyDescent="0.75">
      <c r="A17" s="40"/>
      <c r="B17" s="11" t="str">
        <f>Encounter!B10</f>
        <v>admission</v>
      </c>
      <c r="C17" s="12" t="str">
        <f>Encounter!C10</f>
        <v>A.2.3.3 - Admission [Mandatory]</v>
      </c>
      <c r="D17" s="12" t="s">
        <v>1400</v>
      </c>
      <c r="E17" s="11"/>
      <c r="F17" s="45" t="s">
        <v>63</v>
      </c>
      <c r="G17" s="45"/>
      <c r="H17" s="39"/>
      <c r="I17" s="12" t="str">
        <f t="shared" si="5"/>
        <v>* group[=].element[+].code = #HDREncounter.admission</v>
      </c>
      <c r="J17" s="12" t="str">
        <f t="shared" si="6"/>
        <v>* group[=].element[=].display = ##34#A.2.3.3 - Admission [Mandatory]##34#</v>
      </c>
      <c r="K17" s="12" t="str">
        <f t="shared" si="7"/>
        <v>* group[=].element[=].target.code = #Encounter.conformsTo('http://hl7.eu/fhir/ig/xpandh/hdr/StructureDefinition/Encounter-eu-xpandh').ofType(Organization)</v>
      </c>
      <c r="L17" s="12" t="str">
        <f t="shared" si="8"/>
        <v>* group[=].element[=].target.display = ##34###34#</v>
      </c>
      <c r="M17" s="12" t="str">
        <f t="shared" si="9"/>
        <v>* group[=].element[=].target.equivalence = #equivalent</v>
      </c>
      <c r="N17" s="4" t="str">
        <f t="shared" si="10"/>
        <v/>
      </c>
      <c r="P17" s="11">
        <v>3</v>
      </c>
      <c r="Q17" s="11">
        <f t="shared" si="11"/>
        <v>0</v>
      </c>
      <c r="R17" s="11">
        <f t="shared" si="12"/>
        <v>3</v>
      </c>
      <c r="S17" s="12" t="str" cm="1">
        <f t="array" ref="S17">INDEX('Encounter-ConceptMap-1'!$I$15:$N$271,Q17+1,R17)</f>
        <v>* group[=].element[=].target.code = #Encounter.conformsTo('http://hl7.eu/fhir/ig/xpandh/hdr/StructureDefinition/Encounter-eu-xpandh').class</v>
      </c>
    </row>
    <row r="18" spans="1:24" ht="103.25" x14ac:dyDescent="0.75">
      <c r="A18" s="40"/>
      <c r="B18" s="11" t="str">
        <f>Encounter!B11</f>
        <v>admission.urgency</v>
      </c>
      <c r="C18" s="12" t="str">
        <f>Encounter!C11</f>
        <v>A.2.3.3.1 - Admission urgency [Required]</v>
      </c>
      <c r="D18" s="149" t="s">
        <v>1408</v>
      </c>
      <c r="E18" s="11"/>
      <c r="F18" s="45" t="s">
        <v>41</v>
      </c>
      <c r="G18" s="45" t="s">
        <v>1409</v>
      </c>
      <c r="H18" s="39"/>
      <c r="I18" s="12" t="str">
        <f t="shared" si="5"/>
        <v>* group[=].element[+].code = #HDREncounter.admission.urgency</v>
      </c>
      <c r="J18" s="12" t="str">
        <f t="shared" si="6"/>
        <v>* group[=].element[=].display = ##34#A.2.3.3.1 - Admission urgency [Required]##34#</v>
      </c>
      <c r="K18" s="12" t="str">
        <f t="shared" si="7"/>
        <v>* group[=].element[=].target.code = #Encounter.conformsTo('http://hl7.eu/fhir/ig/xpandh/hdr/StructureDefinition/Encounter-eu-xpandh').priority</v>
      </c>
      <c r="L18" s="12" t="str">
        <f t="shared" si="8"/>
        <v>* group[=].element[=].target.display = ##34###34#</v>
      </c>
      <c r="M18" s="12" t="str">
        <f t="shared" si="9"/>
        <v>* group[=].element[=].target.equivalence = #relatedto</v>
      </c>
      <c r="N18" s="4" t="str">
        <f t="shared" si="10"/>
        <v>* group[=].element[=].target.comment = ##34#to be checked##34#</v>
      </c>
      <c r="P18" s="11">
        <v>4</v>
      </c>
      <c r="Q18" s="11">
        <f t="shared" si="11"/>
        <v>0</v>
      </c>
      <c r="R18" s="11">
        <f t="shared" si="12"/>
        <v>4</v>
      </c>
      <c r="S18" s="12" t="str" cm="1">
        <f t="array" ref="S18">INDEX('Encounter-ConceptMap-1'!$I$15:$N$271,Q18+1,R18)</f>
        <v>* group[=].element[=].target.display = ##34###34#</v>
      </c>
    </row>
    <row r="19" spans="1:24" ht="103.25" x14ac:dyDescent="0.75">
      <c r="A19" s="40"/>
      <c r="B19" s="11" t="str">
        <f>Encounter!B12</f>
        <v>admission.date</v>
      </c>
      <c r="C19" s="12" t="str">
        <f>Encounter!C12</f>
        <v>A.2.3.3.2 - Admission date [Mandatory]</v>
      </c>
      <c r="D19" s="12" t="s">
        <v>1410</v>
      </c>
      <c r="E19" s="11"/>
      <c r="F19" s="45" t="s">
        <v>63</v>
      </c>
      <c r="G19" s="45" t="s">
        <v>1409</v>
      </c>
      <c r="H19" s="39"/>
      <c r="I19" s="12" t="str">
        <f>"* group[=].element[+].code = #"&amp;$B$14&amp;"."&amp;B19</f>
        <v>* group[=].element[+].code = #HDREncounter.admission.date</v>
      </c>
      <c r="J19" s="12" t="str">
        <f t="shared" si="6"/>
        <v>* group[=].element[=].display = ##34#A.2.3.3.2 - Admission date [Mandatory]##34#</v>
      </c>
      <c r="K19" s="12" t="str">
        <f t="shared" si="7"/>
        <v>* group[=].element[=].target.code = #Encounter.conformsTo('http://hl7.eu/fhir/ig/xpandh/hdr/StructureDefinition/Encounter-eu-xpandh').period.start</v>
      </c>
      <c r="L19" s="12" t="str">
        <f t="shared" si="8"/>
        <v>* group[=].element[=].target.display = ##34###34#</v>
      </c>
      <c r="M19" s="12" t="str">
        <f t="shared" si="9"/>
        <v>* group[=].element[=].target.equivalence = #equivalent</v>
      </c>
      <c r="N19" s="4" t="str">
        <f t="shared" si="10"/>
        <v>* group[=].element[=].target.comment = ##34#to be checked##34#</v>
      </c>
      <c r="P19" s="11">
        <v>5</v>
      </c>
      <c r="Q19" s="11">
        <f t="shared" si="11"/>
        <v>0</v>
      </c>
      <c r="R19" s="11">
        <f t="shared" si="12"/>
        <v>5</v>
      </c>
      <c r="S19" s="12" t="str" cm="1">
        <f t="array" ref="S19">INDEX('Encounter-ConceptMap-1'!$I$15:$N$271,Q19+1,R19)</f>
        <v>* group[=].element[=].target.equivalence = #equal</v>
      </c>
    </row>
    <row r="20" spans="1:24" ht="118" x14ac:dyDescent="0.75">
      <c r="A20" s="40"/>
      <c r="B20" s="11" t="str">
        <f>Encounter!B13</f>
        <v>admission.admitter</v>
      </c>
      <c r="C20" s="12" t="str">
        <f>Encounter!C13</f>
        <v>- Admitting professional Id []</v>
      </c>
      <c r="D20" s="154" t="s">
        <v>1417</v>
      </c>
      <c r="E20" s="11"/>
      <c r="F20" s="45" t="s">
        <v>63</v>
      </c>
      <c r="G20" s="45"/>
      <c r="H20" s="39"/>
      <c r="I20" s="12" t="str">
        <f t="shared" ref="I20:I27" si="13">"* group[=].element[+].code = #"&amp;$B$14&amp;"."&amp;B20</f>
        <v>* group[=].element[+].code = #HDREncounter.admission.admitter</v>
      </c>
      <c r="J20" s="12" t="str">
        <f t="shared" ref="J20:J27" si="14">"* group[=].element[=].display = ##34#"&amp;C20&amp;"##34#"</f>
        <v>* group[=].element[=].display = ##34#- Admitting professional Id []##34#</v>
      </c>
      <c r="K20" s="12" t="str">
        <f t="shared" ref="K20:K27" si="15">IF(F20="unmatched","//-- unmatched","* group[=].element[=].target.code = #"&amp;$D$14&amp;"."&amp;D20)</f>
        <v>* group[=].element[=].target.code = #Encounter.conformsTo('http://hl7.eu/fhir/ig/xpandh/hdr/StructureDefinition/Encounter-eu-xpandh').participant.where(type='ADM').individual.resolve()</v>
      </c>
      <c r="L20" s="12" t="str">
        <f t="shared" ref="L20:L27" si="16">IF(F20="unmatched","//-- unmatched","* group[=].element[=].target.display = ##34#"&amp;E20&amp;"##34#")</f>
        <v>* group[=].element[=].target.display = ##34###34#</v>
      </c>
      <c r="M20" s="12" t="str">
        <f t="shared" ref="M20:M27" si="17">"* group[=].element[=].target.equivalence = #"&amp;F20</f>
        <v>* group[=].element[=].target.equivalence = #equivalent</v>
      </c>
      <c r="N20" s="4" t="str">
        <f t="shared" ref="N20:N27" si="18">IF(G20&lt;&gt;"",CONCATENATE("* group[=].element[=].target.comment = ","##34#",G20,"##34#"),"")</f>
        <v/>
      </c>
      <c r="P20" s="11">
        <v>6</v>
      </c>
      <c r="Q20" s="11">
        <f t="shared" si="11"/>
        <v>0</v>
      </c>
      <c r="R20" s="11">
        <f t="shared" si="12"/>
        <v>6</v>
      </c>
      <c r="S20" s="12" t="str" cm="1">
        <f t="array" ref="S20">INDEX('Encounter-ConceptMap-1'!$I$15:$N$271,Q20+1,R20)</f>
        <v/>
      </c>
    </row>
    <row r="21" spans="1:24" ht="132.75" x14ac:dyDescent="0.75">
      <c r="A21" s="40"/>
      <c r="B21" s="11" t="str">
        <f>Encounter!B14</f>
        <v>admission.admitter.identifier</v>
      </c>
      <c r="C21" s="12" t="str">
        <f>Encounter!C14</f>
        <v>A.2.3.3.3 - Admitting professional Id [Required]</v>
      </c>
      <c r="D21" s="12" t="s">
        <v>1418</v>
      </c>
      <c r="E21" s="11"/>
      <c r="F21" s="45" t="s">
        <v>63</v>
      </c>
      <c r="G21" s="45"/>
      <c r="H21" s="39"/>
      <c r="I21" s="12" t="str">
        <f t="shared" si="13"/>
        <v>* group[=].element[+].code = #HDREncounter.admission.admitter.identifier</v>
      </c>
      <c r="J21" s="12" t="str">
        <f t="shared" si="14"/>
        <v>* group[=].element[=].display = ##34#A.2.3.3.3 - Admitting professional Id [Required]##34#</v>
      </c>
      <c r="K21" s="12" t="str">
        <f t="shared" si="15"/>
        <v>* group[=].element[=].target.code = #Encounter.conformsTo('http://hl7.eu/fhir/ig/xpandh/hdr/StructureDefinition/Encounter-eu-xpandh').participant.where(type='ADM').individual.resolve().identifier</v>
      </c>
      <c r="L21" s="12" t="str">
        <f t="shared" si="16"/>
        <v>* group[=].element[=].target.display = ##34###34#</v>
      </c>
      <c r="M21" s="12" t="str">
        <f t="shared" si="17"/>
        <v>* group[=].element[=].target.equivalence = #equivalent</v>
      </c>
      <c r="N21" s="4" t="str">
        <f t="shared" si="18"/>
        <v/>
      </c>
      <c r="P21" s="11">
        <v>7</v>
      </c>
      <c r="Q21" s="11">
        <f t="shared" si="11"/>
        <v>1</v>
      </c>
      <c r="R21" s="11">
        <f t="shared" si="12"/>
        <v>1</v>
      </c>
      <c r="S21" s="12" t="str" cm="1">
        <f t="array" ref="S21">INDEX('Encounter-ConceptMap-1'!$I$15:$N$271,Q21+1,R21)</f>
        <v>* group[=].element[+].code = #HDREncounter.note</v>
      </c>
    </row>
    <row r="22" spans="1:24" ht="132.75" x14ac:dyDescent="0.75">
      <c r="A22" s="40"/>
      <c r="B22" s="11" t="str">
        <f>Encounter!B15</f>
        <v>admission.admitter.name</v>
      </c>
      <c r="C22" s="12" t="str">
        <f>Encounter!C15</f>
        <v>A.2.3.3.4 - Admitting professional name [Required]</v>
      </c>
      <c r="D22" s="12" t="s">
        <v>1419</v>
      </c>
      <c r="E22" s="11"/>
      <c r="F22" s="45" t="s">
        <v>63</v>
      </c>
      <c r="G22" s="45" t="s">
        <v>1409</v>
      </c>
      <c r="H22" s="39"/>
      <c r="I22" s="12" t="str">
        <f t="shared" si="13"/>
        <v>* group[=].element[+].code = #HDREncounter.admission.admitter.name</v>
      </c>
      <c r="J22" s="12" t="str">
        <f t="shared" si="14"/>
        <v>* group[=].element[=].display = ##34#A.2.3.3.4 - Admitting professional name [Required]##34#</v>
      </c>
      <c r="K22" s="12" t="str">
        <f t="shared" si="15"/>
        <v>* group[=].element[=].target.code = #Encounter.conformsTo('http://hl7.eu/fhir/ig/xpandh/hdr/StructureDefinition/Encounter-eu-xpandh').participant.where(type='ADM').individual.resolve().ofType(Practictioner).name</v>
      </c>
      <c r="L22" s="12" t="str">
        <f t="shared" si="16"/>
        <v>* group[=].element[=].target.display = ##34###34#</v>
      </c>
      <c r="M22" s="12" t="str">
        <f t="shared" si="17"/>
        <v>* group[=].element[=].target.equivalence = #equivalent</v>
      </c>
      <c r="N22" s="4" t="str">
        <f t="shared" si="18"/>
        <v>* group[=].element[=].target.comment = ##34#to be checked##34#</v>
      </c>
      <c r="P22" s="11">
        <v>8</v>
      </c>
      <c r="Q22" s="11">
        <f t="shared" si="11"/>
        <v>1</v>
      </c>
      <c r="R22" s="11">
        <f t="shared" si="12"/>
        <v>2</v>
      </c>
      <c r="S22" s="12" t="str" cm="1">
        <f t="array" ref="S22">INDEX('Encounter-ConceptMap-1'!$I$15:$N$271,Q22+1,R22)</f>
        <v>* group[=].element[=].display = ##34#A.2.3.2 - Encounter note [Optional]##34#</v>
      </c>
    </row>
    <row r="23" spans="1:24" ht="147.5" x14ac:dyDescent="0.75">
      <c r="A23" s="40"/>
      <c r="B23" s="11" t="str">
        <f>Encounter!B15</f>
        <v>admission.admitter.name</v>
      </c>
      <c r="C23" s="12" t="str">
        <f>Encounter!C15</f>
        <v>A.2.3.3.4 - Admitting professional name [Required]</v>
      </c>
      <c r="D23" s="12" t="s">
        <v>1420</v>
      </c>
      <c r="E23" s="11"/>
      <c r="F23" s="45" t="s">
        <v>63</v>
      </c>
      <c r="G23" s="45" t="s">
        <v>1409</v>
      </c>
      <c r="H23" s="39"/>
      <c r="I23" s="12" t="str">
        <f t="shared" si="13"/>
        <v>* group[=].element[+].code = #HDREncounter.admission.admitter.name</v>
      </c>
      <c r="J23" s="12" t="str">
        <f t="shared" si="14"/>
        <v>* group[=].element[=].display = ##34#A.2.3.3.4 - Admitting professional name [Required]##34#</v>
      </c>
      <c r="K23" s="12" t="str">
        <f t="shared" si="15"/>
        <v>* group[=].element[=].target.code = #Encounter.conformsTo('http://hl7.eu/fhir/ig/xpandh/hdr/StructureDefinition/Encounter-eu-xpandh').participant.where(type='ADM').individual.resolve().ofType(PractictionerRole).practitioner.resolve().name</v>
      </c>
      <c r="L23" s="12" t="str">
        <f t="shared" si="16"/>
        <v>* group[=].element[=].target.display = ##34###34#</v>
      </c>
      <c r="M23" s="12" t="str">
        <f t="shared" si="17"/>
        <v>* group[=].element[=].target.equivalence = #equivalent</v>
      </c>
      <c r="N23" s="4" t="str">
        <f t="shared" si="18"/>
        <v>* group[=].element[=].target.comment = ##34#to be checked##34#</v>
      </c>
      <c r="P23" s="11"/>
      <c r="Q23" s="11"/>
      <c r="R23" s="11"/>
      <c r="S23" s="12" t="str" cm="1">
        <f t="array" ref="S23:X23">INDEX('Encounter-ConceptMap-1'!$I$15:$N$271,Q23+1,R23)</f>
        <v>* group[=].element[+].code = #HDREncounter.type</v>
      </c>
      <c r="T23" t="str">
        <v>* group[=].element[=].display = ##34#A.2.3.1 - Encounter type [Mandatory]##34#</v>
      </c>
      <c r="U23" t="str">
        <v>* group[=].element[=].target.code = #Encounter.conformsTo('http://hl7.eu/fhir/ig/xpandh/hdr/StructureDefinition/Encounter-eu-xpandh').class</v>
      </c>
      <c r="V23" t="str">
        <v>* group[=].element[=].target.display = ##34###34#</v>
      </c>
      <c r="W23" t="str">
        <v>* group[=].element[=].target.equivalence = #equal</v>
      </c>
      <c r="X23" t="str">
        <v/>
      </c>
    </row>
    <row r="24" spans="1:24" ht="118" x14ac:dyDescent="0.75">
      <c r="A24" s="40"/>
      <c r="B24" s="11" t="str">
        <f>Encounter!B16</f>
        <v>admission.source</v>
      </c>
      <c r="C24" s="12" t="str">
        <f>Encounter!C16</f>
        <v>A.2.3.3.5 - Admit Source [Required]</v>
      </c>
      <c r="D24" s="12" t="s">
        <v>1414</v>
      </c>
      <c r="E24" s="12"/>
      <c r="F24" s="45" t="s">
        <v>41</v>
      </c>
      <c r="G24" s="45"/>
      <c r="H24" s="39"/>
      <c r="I24" s="12" t="str">
        <f t="shared" si="13"/>
        <v>* group[=].element[+].code = #HDREncounter.admission.source</v>
      </c>
      <c r="J24" s="12" t="str">
        <f t="shared" si="14"/>
        <v>* group[=].element[=].display = ##34#A.2.3.3.5 - Admit Source [Required]##34#</v>
      </c>
      <c r="K24" s="12" t="str">
        <f t="shared" si="15"/>
        <v>* group[=].element[=].target.code = #Encounter.conformsTo('http://hl7.eu/fhir/ig/xpandh/hdr/StructureDefinition/Encounter-eu-xpandh').hospitalization.admitSource</v>
      </c>
      <c r="L24" s="12" t="str">
        <f t="shared" si="16"/>
        <v>* group[=].element[=].target.display = ##34###34#</v>
      </c>
      <c r="M24" s="12" t="str">
        <f t="shared" si="17"/>
        <v>* group[=].element[=].target.equivalence = #relatedto</v>
      </c>
      <c r="N24" s="4" t="str">
        <f t="shared" si="18"/>
        <v/>
      </c>
      <c r="P24" s="11">
        <v>9</v>
      </c>
      <c r="Q24" s="11">
        <f t="shared" si="11"/>
        <v>1</v>
      </c>
      <c r="R24" s="11">
        <f t="shared" si="12"/>
        <v>3</v>
      </c>
      <c r="S24" s="12" t="str" cm="1">
        <f t="array" ref="S24">INDEX('Encounter-ConceptMap-1'!$I$15:$N$271,Q24+1,R24)</f>
        <v>//-- unmatched</v>
      </c>
    </row>
    <row r="25" spans="1:24" ht="118" x14ac:dyDescent="0.75">
      <c r="A25" s="40"/>
      <c r="B25" s="11" t="str">
        <f>Encounter!B17</f>
        <v>admission.referringHP</v>
      </c>
      <c r="C25" s="12" t="str">
        <f>Encounter!C17</f>
        <v xml:space="preserve"> - Referring professional Id []</v>
      </c>
      <c r="D25" s="12" t="s">
        <v>1421</v>
      </c>
      <c r="E25" s="12"/>
      <c r="F25" s="45" t="s">
        <v>63</v>
      </c>
      <c r="G25" s="45"/>
      <c r="H25" s="39"/>
      <c r="I25" s="12" t="str">
        <f t="shared" si="13"/>
        <v>* group[=].element[+].code = #HDREncounter.admission.referringHP</v>
      </c>
      <c r="J25" s="12" t="str">
        <f t="shared" si="14"/>
        <v>* group[=].element[=].display = ##34# - Referring professional Id []##34#</v>
      </c>
      <c r="K25" s="12" t="str">
        <f t="shared" si="15"/>
        <v>* group[=].element[=].target.code = #Encounter.conformsTo('http://hl7.eu/fhir/ig/xpandh/hdr/StructureDefinition/Encounter-eu-xpandh').participant.where(type='REF').individual.resolve()</v>
      </c>
      <c r="L25" s="12" t="str">
        <f t="shared" si="16"/>
        <v>* group[=].element[=].target.display = ##34###34#</v>
      </c>
      <c r="M25" s="12" t="str">
        <f t="shared" si="17"/>
        <v>* group[=].element[=].target.equivalence = #equivalent</v>
      </c>
      <c r="N25" s="4" t="str">
        <f t="shared" si="18"/>
        <v/>
      </c>
      <c r="P25" s="11">
        <v>10</v>
      </c>
      <c r="Q25" s="11">
        <f t="shared" si="11"/>
        <v>1</v>
      </c>
      <c r="R25" s="11">
        <f t="shared" si="12"/>
        <v>4</v>
      </c>
      <c r="S25" s="12" t="str" cm="1">
        <f t="array" ref="S25">INDEX('Encounter-ConceptMap-1'!$I$15:$N$271,Q25+1,R25)</f>
        <v>//-- unmatched</v>
      </c>
    </row>
    <row r="26" spans="1:24" ht="132.75" x14ac:dyDescent="0.75">
      <c r="B26" s="11" t="str">
        <f>Encounter!B18</f>
        <v>admission.referringHP.identifier</v>
      </c>
      <c r="C26" s="12" t="str">
        <f>Encounter!C18</f>
        <v>A.2.3.3.6 - Referring professional Id [Required]</v>
      </c>
      <c r="D26" s="12" t="s">
        <v>1422</v>
      </c>
      <c r="E26" s="12"/>
      <c r="F26" s="45" t="s">
        <v>63</v>
      </c>
      <c r="G26" s="45"/>
      <c r="H26" s="39"/>
      <c r="I26" s="12" t="str">
        <f t="shared" si="13"/>
        <v>* group[=].element[+].code = #HDREncounter.admission.referringHP.identifier</v>
      </c>
      <c r="J26" s="12" t="str">
        <f t="shared" si="14"/>
        <v>* group[=].element[=].display = ##34#A.2.3.3.6 - Referring professional Id [Required]##34#</v>
      </c>
      <c r="K26" s="12" t="str">
        <f t="shared" si="15"/>
        <v>* group[=].element[=].target.code = #Encounter.conformsTo('http://hl7.eu/fhir/ig/xpandh/hdr/StructureDefinition/Encounter-eu-xpandh').participant.where(type='REF').individual.resolve().identifier</v>
      </c>
      <c r="L26" s="12" t="str">
        <f t="shared" si="16"/>
        <v>* group[=].element[=].target.display = ##34###34#</v>
      </c>
      <c r="M26" s="12" t="str">
        <f t="shared" si="17"/>
        <v>* group[=].element[=].target.equivalence = #equivalent</v>
      </c>
      <c r="N26" s="4" t="str">
        <f t="shared" si="18"/>
        <v/>
      </c>
      <c r="P26" s="11">
        <v>11</v>
      </c>
      <c r="Q26" s="11">
        <f t="shared" si="11"/>
        <v>1</v>
      </c>
      <c r="R26" s="11">
        <f t="shared" si="12"/>
        <v>5</v>
      </c>
      <c r="S26" s="12" t="str" cm="1">
        <f t="array" ref="S26">INDEX('Encounter-ConceptMap-1'!$I$15:$N$271,Q26+1,R26)</f>
        <v>* group[=].element[=].target.equivalence = #unmatched</v>
      </c>
    </row>
    <row r="27" spans="1:24" ht="132.75" x14ac:dyDescent="0.75">
      <c r="B27" s="11" t="str">
        <f>Encounter!B19</f>
        <v>admission.referringHP.name</v>
      </c>
      <c r="C27" s="12" t="str">
        <f>Encounter!C19</f>
        <v>A.2.3.3.7 - Referring professional name [Required]</v>
      </c>
      <c r="D27" s="12" t="s">
        <v>1423</v>
      </c>
      <c r="E27" s="12"/>
      <c r="F27" s="45" t="s">
        <v>63</v>
      </c>
      <c r="G27" s="45" t="s">
        <v>1409</v>
      </c>
      <c r="H27" s="39"/>
      <c r="I27" s="12" t="str">
        <f t="shared" si="13"/>
        <v>* group[=].element[+].code = #HDREncounter.admission.referringHP.name</v>
      </c>
      <c r="J27" s="12" t="str">
        <f t="shared" si="14"/>
        <v>* group[=].element[=].display = ##34#A.2.3.3.7 - Referring professional name [Required]##34#</v>
      </c>
      <c r="K27" s="12" t="str">
        <f t="shared" si="15"/>
        <v>* group[=].element[=].target.code = #Encounter.conformsTo('http://hl7.eu/fhir/ig/xpandh/hdr/StructureDefinition/Encounter-eu-xpandh').participant.where(type='REF').individual.resolve().ofType(Practictioner).name</v>
      </c>
      <c r="L27" s="12" t="str">
        <f t="shared" si="16"/>
        <v>* group[=].element[=].target.display = ##34###34#</v>
      </c>
      <c r="M27" s="12" t="str">
        <f t="shared" si="17"/>
        <v>* group[=].element[=].target.equivalence = #equivalent</v>
      </c>
      <c r="N27" s="4" t="str">
        <f t="shared" si="18"/>
        <v>* group[=].element[=].target.comment = ##34#to be checked##34#</v>
      </c>
      <c r="P27" s="11">
        <v>12</v>
      </c>
      <c r="Q27" s="11">
        <f t="shared" si="11"/>
        <v>1</v>
      </c>
      <c r="R27" s="11">
        <f t="shared" si="12"/>
        <v>6</v>
      </c>
      <c r="S27" s="12" t="str" cm="1">
        <f t="array" ref="S27">INDEX('Encounter-ConceptMap-1'!$I$15:$N$271,Q27+1,R27)</f>
        <v/>
      </c>
    </row>
    <row r="28" spans="1:24" ht="147.5" x14ac:dyDescent="0.75">
      <c r="B28" s="11" t="str">
        <f>Encounter!B20</f>
        <v>admission.referringHP.organization</v>
      </c>
      <c r="C28" s="12" t="str">
        <f>Encounter!C20</f>
        <v>A.2.3.3.8 - Referring organization [Required]</v>
      </c>
      <c r="D28" s="12" t="s">
        <v>1424</v>
      </c>
      <c r="E28" s="12"/>
      <c r="F28" s="45" t="s">
        <v>63</v>
      </c>
      <c r="G28" s="45" t="s">
        <v>1409</v>
      </c>
      <c r="H28" s="39"/>
      <c r="I28" s="12" t="str">
        <f t="shared" ref="I28:I42" si="19">"* group[=].element[+].code = #"&amp;$B$14&amp;"."&amp;B28</f>
        <v>* group[=].element[+].code = #HDREncounter.admission.referringHP.organization</v>
      </c>
      <c r="J28" s="12" t="str">
        <f t="shared" ref="J28:J42" si="20">"* group[=].element[=].display = ##34#"&amp;C28&amp;"##34#"</f>
        <v>* group[=].element[=].display = ##34#A.2.3.3.8 - Referring organization [Required]##34#</v>
      </c>
      <c r="K28" s="12" t="str">
        <f t="shared" ref="K28:K42" si="21">IF(F28="unmatched","//-- unmatched","* group[=].element[=].target.code = #"&amp;$D$14&amp;"."&amp;D28)</f>
        <v>* group[=].element[=].target.code = #Encounter.conformsTo('http://hl7.eu/fhir/ig/xpandh/hdr/StructureDefinition/Encounter-eu-xpandh').participant.where(type='REF').individual.resolve().ofType(PractictionerRole).practitioner.resolve().name</v>
      </c>
      <c r="L28" s="12" t="str">
        <f t="shared" ref="L28:L42" si="22">IF(F28="unmatched","//-- unmatched","* group[=].element[=].target.display = ##34#"&amp;E28&amp;"##34#")</f>
        <v>* group[=].element[=].target.display = ##34###34#</v>
      </c>
      <c r="M28" s="12" t="str">
        <f t="shared" ref="M28:M42" si="23">"* group[=].element[=].target.equivalence = #"&amp;F28</f>
        <v>* group[=].element[=].target.equivalence = #equivalent</v>
      </c>
      <c r="N28" s="4" t="str">
        <f t="shared" ref="N28:N42" si="24">IF(G28&lt;&gt;"",CONCATENATE("* group[=].element[=].target.comment = ","##34#",G28,"##34#"),"")</f>
        <v>* group[=].element[=].target.comment = ##34#to be checked##34#</v>
      </c>
      <c r="P28" s="11">
        <v>13</v>
      </c>
      <c r="Q28" s="11">
        <f t="shared" si="11"/>
        <v>2</v>
      </c>
      <c r="R28" s="11">
        <f t="shared" si="12"/>
        <v>1</v>
      </c>
      <c r="S28" s="12" t="str" cm="1">
        <f t="array" ref="S28">INDEX('Encounter-ConceptMap-1'!$I$15:$N$271,Q28+1,R28)</f>
        <v>* group[=].element[+].code = #HDREncounter.admission</v>
      </c>
    </row>
    <row r="29" spans="1:24" ht="103.25" x14ac:dyDescent="0.75">
      <c r="B29" s="11" t="str">
        <f>Encounter!B21</f>
        <v>reason</v>
      </c>
      <c r="C29" s="12" t="str">
        <f>Encounter!C21</f>
        <v>A.2.3.4 - Admission reason [Mandatory]</v>
      </c>
      <c r="D29" s="12" t="s">
        <v>1426</v>
      </c>
      <c r="E29" s="12"/>
      <c r="F29" s="45" t="s">
        <v>41</v>
      </c>
      <c r="G29" s="45" t="s">
        <v>1425</v>
      </c>
      <c r="H29" s="39"/>
      <c r="I29" s="12" t="str">
        <f t="shared" si="19"/>
        <v>* group[=].element[+].code = #HDREncounter.reason</v>
      </c>
      <c r="J29" s="12" t="str">
        <f t="shared" si="20"/>
        <v>* group[=].element[=].display = ##34#A.2.3.4 - Admission reason [Mandatory]##34#</v>
      </c>
      <c r="K29" s="12" t="str">
        <f t="shared" si="21"/>
        <v>* group[=].element[=].target.code = #Encounter.conformsTo('http://hl7.eu/fhir/ig/xpandh/hdr/StructureDefinition/Encounter-eu-xpandh').TBC</v>
      </c>
      <c r="L29" s="12" t="str">
        <f t="shared" si="22"/>
        <v>* group[=].element[=].target.display = ##34###34#</v>
      </c>
      <c r="M29" s="12" t="str">
        <f t="shared" si="23"/>
        <v>* group[=].element[=].target.equivalence = #relatedto</v>
      </c>
      <c r="N29" s="4" t="str">
        <f t="shared" si="24"/>
        <v>* group[=].element[=].target.comment = ##34#to be completed##34#</v>
      </c>
      <c r="P29" s="11">
        <v>14</v>
      </c>
      <c r="Q29" s="11">
        <f t="shared" si="11"/>
        <v>2</v>
      </c>
      <c r="R29" s="11">
        <f t="shared" si="12"/>
        <v>2</v>
      </c>
      <c r="S29" s="12" t="str" cm="1">
        <f t="array" ref="S29">INDEX('Encounter-ConceptMap-1'!$I$15:$N$271,Q29+1,R29)</f>
        <v>* group[=].element[=].display = ##34#A.2.3.3 - Admission [Mandatory]##34#</v>
      </c>
    </row>
    <row r="30" spans="1:24" ht="103.25" x14ac:dyDescent="0.75">
      <c r="B30" s="11" t="str">
        <f>Encounter!B22</f>
        <v>reason.code</v>
      </c>
      <c r="C30" s="12" t="str">
        <f>Encounter!C22</f>
        <v>A.2.3.4.1 - Admission reason [Required]</v>
      </c>
      <c r="D30" s="12" t="s">
        <v>1411</v>
      </c>
      <c r="E30" s="12"/>
      <c r="F30" s="45" t="s">
        <v>64</v>
      </c>
      <c r="G30" s="45"/>
      <c r="H30" s="39"/>
      <c r="I30" s="12" t="str">
        <f t="shared" si="19"/>
        <v>* group[=].element[+].code = #HDREncounter.reason.code</v>
      </c>
      <c r="J30" s="12" t="str">
        <f t="shared" si="20"/>
        <v>* group[=].element[=].display = ##34#A.2.3.4.1 - Admission reason [Required]##34#</v>
      </c>
      <c r="K30" s="12" t="str">
        <f t="shared" si="21"/>
        <v>* group[=].element[=].target.code = #Encounter.conformsTo('http://hl7.eu/fhir/ig/xpandh/hdr/StructureDefinition/Encounter-eu-xpandh').reasonCode</v>
      </c>
      <c r="L30" s="12" t="str">
        <f t="shared" si="22"/>
        <v>* group[=].element[=].target.display = ##34###34#</v>
      </c>
      <c r="M30" s="12" t="str">
        <f t="shared" si="23"/>
        <v>* group[=].element[=].target.equivalence = #equal</v>
      </c>
      <c r="N30" s="4" t="str">
        <f t="shared" si="24"/>
        <v/>
      </c>
      <c r="P30" s="11">
        <v>15</v>
      </c>
      <c r="Q30" s="11">
        <f t="shared" si="11"/>
        <v>2</v>
      </c>
      <c r="R30" s="11">
        <f t="shared" si="12"/>
        <v>3</v>
      </c>
      <c r="S30" s="12" t="str" cm="1">
        <f t="array" ref="S30">INDEX('Encounter-ConceptMap-1'!$I$15:$N$271,Q30+1,R30)</f>
        <v>* group[=].element[=].target.code = #Encounter.conformsTo('http://hl7.eu/fhir/ig/xpandh/hdr/StructureDefinition/Encounter-eu-xpandh').ofType(Organization)</v>
      </c>
    </row>
    <row r="31" spans="1:24" ht="103.25" x14ac:dyDescent="0.75">
      <c r="B31" s="11" t="str">
        <f>Encounter!B23</f>
        <v>reason.comment</v>
      </c>
      <c r="C31" s="12" t="str">
        <f>Encounter!C23</f>
        <v>A.2.3.4.2 - Admission reason comment [Optional]</v>
      </c>
      <c r="D31" s="12" t="s">
        <v>1412</v>
      </c>
      <c r="E31" s="12"/>
      <c r="F31" s="45" t="s">
        <v>63</v>
      </c>
      <c r="G31" s="45" t="s">
        <v>1409</v>
      </c>
      <c r="H31" s="39"/>
      <c r="I31" s="12" t="str">
        <f t="shared" si="19"/>
        <v>* group[=].element[+].code = #HDREncounter.reason.comment</v>
      </c>
      <c r="J31" s="12" t="str">
        <f t="shared" si="20"/>
        <v>* group[=].element[=].display = ##34#A.2.3.4.2 - Admission reason comment [Optional]##34#</v>
      </c>
      <c r="K31" s="12" t="str">
        <f t="shared" si="21"/>
        <v>* group[=].element[=].target.code = #Encounter.conformsTo('http://hl7.eu/fhir/ig/xpandh/hdr/StructureDefinition/Encounter-eu-xpandh').reasonCode.text</v>
      </c>
      <c r="L31" s="12" t="str">
        <f t="shared" si="22"/>
        <v>* group[=].element[=].target.display = ##34###34#</v>
      </c>
      <c r="M31" s="12" t="str">
        <f t="shared" si="23"/>
        <v>* group[=].element[=].target.equivalence = #equivalent</v>
      </c>
      <c r="N31" s="4" t="str">
        <f t="shared" si="24"/>
        <v>* group[=].element[=].target.comment = ##34#to be checked##34#</v>
      </c>
      <c r="P31" s="11">
        <v>16</v>
      </c>
      <c r="Q31" s="11">
        <f t="shared" si="11"/>
        <v>2</v>
      </c>
      <c r="R31" s="11">
        <f t="shared" si="12"/>
        <v>4</v>
      </c>
      <c r="S31" s="12" t="str" cm="1">
        <f t="array" ref="S31">INDEX('Encounter-ConceptMap-1'!$I$15:$N$271,Q31+1,R31)</f>
        <v>* group[=].element[=].target.display = ##34###34#</v>
      </c>
    </row>
    <row r="32" spans="1:24" ht="103.25" x14ac:dyDescent="0.75">
      <c r="B32" s="11" t="str">
        <f>Encounter!B24</f>
        <v>reason.legalStatus</v>
      </c>
      <c r="C32" s="12" t="str">
        <f>Encounter!C24</f>
        <v>A.2.3.4.3 - Admission legal status [Required]</v>
      </c>
      <c r="D32" s="12" t="s">
        <v>94</v>
      </c>
      <c r="E32" s="12"/>
      <c r="F32" s="45" t="s">
        <v>41</v>
      </c>
      <c r="G32" s="45"/>
      <c r="H32" s="39"/>
      <c r="I32" s="12" t="str">
        <f t="shared" si="19"/>
        <v>* group[=].element[+].code = #HDREncounter.reason.legalStatus</v>
      </c>
      <c r="J32" s="12" t="str">
        <f t="shared" si="20"/>
        <v>* group[=].element[=].display = ##34#A.2.3.4.3 - Admission legal status [Required]##34#</v>
      </c>
      <c r="K32" s="12" t="str">
        <f t="shared" si="21"/>
        <v>* group[=].element[=].target.code = #Encounter.conformsTo('http://hl7.eu/fhir/ig/xpandh/hdr/StructureDefinition/Encounter-eu-xpandh').TBD</v>
      </c>
      <c r="L32" s="12" t="str">
        <f t="shared" si="22"/>
        <v>* group[=].element[=].target.display = ##34###34#</v>
      </c>
      <c r="M32" s="12" t="str">
        <f t="shared" si="23"/>
        <v>* group[=].element[=].target.equivalence = #relatedto</v>
      </c>
      <c r="N32" s="4" t="str">
        <f t="shared" si="24"/>
        <v/>
      </c>
      <c r="P32" s="11">
        <v>17</v>
      </c>
      <c r="Q32" s="11">
        <f t="shared" si="11"/>
        <v>2</v>
      </c>
      <c r="R32" s="11">
        <f t="shared" si="12"/>
        <v>5</v>
      </c>
      <c r="S32" s="12" t="str" cm="1">
        <f t="array" ref="S32">INDEX('Encounter-ConceptMap-1'!$I$15:$N$271,Q32+1,R32)</f>
        <v>* group[=].element[=].target.equivalence = #equivalent</v>
      </c>
    </row>
    <row r="33" spans="1:20" ht="103.25" x14ac:dyDescent="0.75">
      <c r="B33" s="11" t="str">
        <f>Encounter!B25</f>
        <v>discharge</v>
      </c>
      <c r="C33" s="12" t="str">
        <f>Encounter!C25</f>
        <v>A.2.3.5 - Discharge [Mandatory]</v>
      </c>
      <c r="D33" s="12" t="s">
        <v>1426</v>
      </c>
      <c r="E33" s="12"/>
      <c r="F33" s="45" t="s">
        <v>41</v>
      </c>
      <c r="G33" s="45" t="s">
        <v>1425</v>
      </c>
      <c r="H33" s="39"/>
      <c r="I33" s="12" t="str">
        <f t="shared" si="19"/>
        <v>* group[=].element[+].code = #HDREncounter.discharge</v>
      </c>
      <c r="J33" s="12" t="str">
        <f t="shared" si="20"/>
        <v>* group[=].element[=].display = ##34#A.2.3.5 - Discharge [Mandatory]##34#</v>
      </c>
      <c r="K33" s="12" t="str">
        <f t="shared" si="21"/>
        <v>* group[=].element[=].target.code = #Encounter.conformsTo('http://hl7.eu/fhir/ig/xpandh/hdr/StructureDefinition/Encounter-eu-xpandh').TBC</v>
      </c>
      <c r="L33" s="12" t="str">
        <f t="shared" si="22"/>
        <v>* group[=].element[=].target.display = ##34###34#</v>
      </c>
      <c r="M33" s="12" t="str">
        <f t="shared" si="23"/>
        <v>* group[=].element[=].target.equivalence = #relatedto</v>
      </c>
      <c r="N33" s="4" t="str">
        <f t="shared" si="24"/>
        <v>* group[=].element[=].target.comment = ##34#to be completed##34#</v>
      </c>
      <c r="P33" s="11">
        <v>18</v>
      </c>
      <c r="Q33" s="11">
        <f t="shared" si="11"/>
        <v>2</v>
      </c>
      <c r="R33" s="11">
        <f t="shared" si="12"/>
        <v>6</v>
      </c>
      <c r="S33" s="12" t="str" cm="1">
        <f t="array" ref="S33">INDEX('Encounter-ConceptMap-1'!$I$15:$N$271,Q33+1,R33)</f>
        <v/>
      </c>
    </row>
    <row r="34" spans="1:20" ht="103.25" x14ac:dyDescent="0.75">
      <c r="B34" s="11" t="str">
        <f>Encounter!B26</f>
        <v>discharge.dateTime</v>
      </c>
      <c r="C34" s="12" t="str">
        <f>Encounter!C26</f>
        <v>A.2.3.5.1 - Discharge date [Mandatory]</v>
      </c>
      <c r="D34" s="12" t="s">
        <v>1413</v>
      </c>
      <c r="E34" s="11"/>
      <c r="F34" s="45" t="s">
        <v>63</v>
      </c>
      <c r="G34" s="45" t="s">
        <v>1409</v>
      </c>
      <c r="H34" s="39"/>
      <c r="I34" s="12" t="str">
        <f t="shared" si="19"/>
        <v>* group[=].element[+].code = #HDREncounter.discharge.dateTime</v>
      </c>
      <c r="J34" s="12" t="str">
        <f t="shared" si="20"/>
        <v>* group[=].element[=].display = ##34#A.2.3.5.1 - Discharge date [Mandatory]##34#</v>
      </c>
      <c r="K34" s="12" t="str">
        <f t="shared" si="21"/>
        <v>* group[=].element[=].target.code = #Encounter.conformsTo('http://hl7.eu/fhir/ig/xpandh/hdr/StructureDefinition/Encounter-eu-xpandh').period.end</v>
      </c>
      <c r="L34" s="12" t="str">
        <f t="shared" si="22"/>
        <v>* group[=].element[=].target.display = ##34###34#</v>
      </c>
      <c r="M34" s="12" t="str">
        <f t="shared" si="23"/>
        <v>* group[=].element[=].target.equivalence = #equivalent</v>
      </c>
      <c r="N34" s="4" t="str">
        <f t="shared" si="24"/>
        <v>* group[=].element[=].target.comment = ##34#to be checked##34#</v>
      </c>
      <c r="P34" s="11">
        <v>19</v>
      </c>
      <c r="Q34" s="11">
        <f t="shared" si="11"/>
        <v>3</v>
      </c>
      <c r="R34" s="11">
        <f t="shared" si="12"/>
        <v>1</v>
      </c>
      <c r="S34" s="12" t="str" cm="1">
        <f t="array" ref="S34">INDEX('Encounter-ConceptMap-1'!$I$15:$N$271,Q34+1,R34)</f>
        <v>* group[=].element[+].code = #HDREncounter.admission.urgency</v>
      </c>
    </row>
    <row r="35" spans="1:20" ht="118" x14ac:dyDescent="0.75">
      <c r="B35" s="11" t="str">
        <f>Encounter!B27</f>
        <v>discharge.destinationType</v>
      </c>
      <c r="C35" s="12" t="str">
        <f>Encounter!C27</f>
        <v>A.2.3.5.2 - Discharge destination type [Required]</v>
      </c>
      <c r="D35" s="12" t="s">
        <v>1415</v>
      </c>
      <c r="E35" s="12"/>
      <c r="F35" s="45" t="s">
        <v>41</v>
      </c>
      <c r="G35" s="45" t="s">
        <v>1409</v>
      </c>
      <c r="H35" s="39"/>
      <c r="I35" s="12" t="str">
        <f t="shared" si="19"/>
        <v>* group[=].element[+].code = #HDREncounter.discharge.destinationType</v>
      </c>
      <c r="J35" s="12" t="str">
        <f t="shared" si="20"/>
        <v>* group[=].element[=].display = ##34#A.2.3.5.2 - Discharge destination type [Required]##34#</v>
      </c>
      <c r="K35" s="12" t="str">
        <f t="shared" si="21"/>
        <v>* group[=].element[=].target.code = #Encounter.conformsTo('http://hl7.eu/fhir/ig/xpandh/hdr/StructureDefinition/Encounter-eu-xpandh').hospitalization.dischargeDisposition</v>
      </c>
      <c r="L35" s="12" t="str">
        <f t="shared" si="22"/>
        <v>* group[=].element[=].target.display = ##34###34#</v>
      </c>
      <c r="M35" s="12" t="str">
        <f t="shared" si="23"/>
        <v>* group[=].element[=].target.equivalence = #relatedto</v>
      </c>
      <c r="N35" s="4" t="str">
        <f t="shared" si="24"/>
        <v>* group[=].element[=].target.comment = ##34#to be checked##34#</v>
      </c>
      <c r="P35" s="11">
        <v>20</v>
      </c>
      <c r="Q35" s="11">
        <f t="shared" si="11"/>
        <v>3</v>
      </c>
      <c r="R35" s="11">
        <f t="shared" si="12"/>
        <v>2</v>
      </c>
      <c r="S35" s="12" t="str" cm="1">
        <f t="array" ref="S35">INDEX('Encounter-ConceptMap-1'!$I$15:$N$271,Q35+1,R35)</f>
        <v>* group[=].element[=].display = ##34#A.2.3.3.1 - Admission urgency [Required]##34#</v>
      </c>
    </row>
    <row r="36" spans="1:20" ht="103.25" x14ac:dyDescent="0.75">
      <c r="B36" s="11" t="str">
        <f>Encounter!B28</f>
        <v>discharge.destinationLocation</v>
      </c>
      <c r="C36" s="12" t="str">
        <f>Encounter!C28</f>
        <v>A.2.3.5.3 - Destination location [Required]</v>
      </c>
      <c r="D36" s="12" t="s">
        <v>94</v>
      </c>
      <c r="E36" s="12"/>
      <c r="F36" s="45" t="s">
        <v>41</v>
      </c>
      <c r="G36" s="45" t="s">
        <v>1409</v>
      </c>
      <c r="H36" s="39"/>
      <c r="I36" s="12" t="str">
        <f t="shared" si="19"/>
        <v>* group[=].element[+].code = #HDREncounter.discharge.destinationLocation</v>
      </c>
      <c r="J36" s="12" t="str">
        <f t="shared" si="20"/>
        <v>* group[=].element[=].display = ##34#A.2.3.5.3 - Destination location [Required]##34#</v>
      </c>
      <c r="K36" s="12" t="str">
        <f t="shared" si="21"/>
        <v>* group[=].element[=].target.code = #Encounter.conformsTo('http://hl7.eu/fhir/ig/xpandh/hdr/StructureDefinition/Encounter-eu-xpandh').TBD</v>
      </c>
      <c r="L36" s="12" t="str">
        <f t="shared" si="22"/>
        <v>* group[=].element[=].target.display = ##34###34#</v>
      </c>
      <c r="M36" s="12" t="str">
        <f t="shared" si="23"/>
        <v>* group[=].element[=].target.equivalence = #relatedto</v>
      </c>
      <c r="N36" s="4" t="str">
        <f t="shared" si="24"/>
        <v>* group[=].element[=].target.comment = ##34#to be checked##34#</v>
      </c>
      <c r="P36" s="11">
        <v>21</v>
      </c>
      <c r="Q36" s="11">
        <f t="shared" si="11"/>
        <v>3</v>
      </c>
      <c r="R36" s="11">
        <f t="shared" si="12"/>
        <v>3</v>
      </c>
      <c r="S36" s="12" t="str" cm="1">
        <f t="array" ref="S36">INDEX('Encounter-ConceptMap-1'!$I$15:$N$271,Q36+1,R36)</f>
        <v>* group[=].element[=].target.code = #Encounter.conformsTo('http://hl7.eu/fhir/ig/xpandh/hdr/StructureDefinition/Encounter-eu-xpandh').priority</v>
      </c>
    </row>
    <row r="37" spans="1:20" ht="103.25" x14ac:dyDescent="0.75">
      <c r="B37" s="11" t="str">
        <f>Encounter!B29</f>
        <v>location</v>
      </c>
      <c r="C37" s="12" t="str">
        <f>Encounter!C29</f>
        <v>A.2.3.6 - Location - All locations/departments where the patient stayed within the hospital. [Required]</v>
      </c>
      <c r="D37" s="12" t="s">
        <v>1361</v>
      </c>
      <c r="E37" s="12"/>
      <c r="F37" s="45" t="s">
        <v>63</v>
      </c>
      <c r="G37" s="45"/>
      <c r="H37" s="39"/>
      <c r="I37" s="12" t="str">
        <f t="shared" si="19"/>
        <v>* group[=].element[+].code = #HDREncounter.location</v>
      </c>
      <c r="J37" s="12" t="str">
        <f t="shared" si="20"/>
        <v>* group[=].element[=].display = ##34#A.2.3.6 - Location - All locations/departments where the patient stayed within the hospital. [Required]##34#</v>
      </c>
      <c r="K37" s="12" t="str">
        <f t="shared" si="21"/>
        <v>* group[=].element[=].target.code = #Encounter.conformsTo('http://hl7.eu/fhir/ig/xpandh/hdr/StructureDefinition/Encounter-eu-xpandh').location</v>
      </c>
      <c r="L37" s="12" t="str">
        <f t="shared" si="22"/>
        <v>* group[=].element[=].target.display = ##34###34#</v>
      </c>
      <c r="M37" s="12" t="str">
        <f t="shared" si="23"/>
        <v>* group[=].element[=].target.equivalence = #equivalent</v>
      </c>
      <c r="N37" s="4" t="str">
        <f t="shared" si="24"/>
        <v/>
      </c>
      <c r="P37" s="11">
        <v>22</v>
      </c>
      <c r="Q37" s="11">
        <f t="shared" si="11"/>
        <v>3</v>
      </c>
      <c r="R37" s="11">
        <f t="shared" si="12"/>
        <v>4</v>
      </c>
      <c r="S37" s="12" t="str" cm="1">
        <f t="array" ref="S37">INDEX('Encounter-ConceptMap-1'!$I$15:$N$271,Q37+1,R37)</f>
        <v>* group[=].element[=].target.display = ##34###34#</v>
      </c>
    </row>
    <row r="38" spans="1:20" s="2" customFormat="1" ht="103.25" x14ac:dyDescent="0.75">
      <c r="A38"/>
      <c r="B38" s="11" t="str">
        <f>Encounter!B30</f>
        <v>location.period</v>
      </c>
      <c r="C38" s="12" t="str">
        <f>Encounter!C30</f>
        <v>A.2.3.6.1 - Period [Mandatory]</v>
      </c>
      <c r="D38" s="12" t="s">
        <v>1384</v>
      </c>
      <c r="E38" s="12"/>
      <c r="F38" s="45" t="s">
        <v>41</v>
      </c>
      <c r="G38" s="45"/>
      <c r="H38" s="39"/>
      <c r="I38" s="12" t="str">
        <f t="shared" si="19"/>
        <v>* group[=].element[+].code = #HDREncounter.location.period</v>
      </c>
      <c r="J38" s="12" t="str">
        <f t="shared" si="20"/>
        <v>* group[=].element[=].display = ##34#A.2.3.6.1 - Period [Mandatory]##34#</v>
      </c>
      <c r="K38" s="12" t="str">
        <f t="shared" si="21"/>
        <v>* group[=].element[=].target.code = #Encounter.conformsTo('http://hl7.eu/fhir/ig/xpandh/hdr/StructureDefinition/Encounter-eu-xpandh').location.period</v>
      </c>
      <c r="L38" s="12" t="str">
        <f t="shared" si="22"/>
        <v>* group[=].element[=].target.display = ##34###34#</v>
      </c>
      <c r="M38" s="12" t="str">
        <f t="shared" si="23"/>
        <v>* group[=].element[=].target.equivalence = #relatedto</v>
      </c>
      <c r="N38" s="4" t="str">
        <f t="shared" si="24"/>
        <v/>
      </c>
      <c r="P38" s="11">
        <v>23</v>
      </c>
      <c r="Q38" s="11">
        <f t="shared" si="11"/>
        <v>3</v>
      </c>
      <c r="R38" s="11">
        <f t="shared" si="12"/>
        <v>5</v>
      </c>
      <c r="S38" s="12" t="str" cm="1">
        <f t="array" ref="S38">INDEX('Encounter-ConceptMap-1'!$I$15:$N$271,Q38+1,R38)</f>
        <v>* group[=].element[=].target.equivalence = #relatedto</v>
      </c>
      <c r="T38"/>
    </row>
    <row r="39" spans="1:20" s="2" customFormat="1" ht="103.25" x14ac:dyDescent="0.75">
      <c r="A39"/>
      <c r="B39" s="11" t="str">
        <f>Encounter!B31</f>
        <v>location.organization</v>
      </c>
      <c r="C39" s="12" t="str">
        <f>Encounter!C31</f>
        <v xml:space="preserve"> - Organization Id []</v>
      </c>
      <c r="D39" s="12" t="s">
        <v>94</v>
      </c>
      <c r="E39" s="12"/>
      <c r="F39" s="45" t="s">
        <v>41</v>
      </c>
      <c r="G39" s="153" t="s">
        <v>1409</v>
      </c>
      <c r="H39" s="39"/>
      <c r="I39" s="12" t="str">
        <f t="shared" si="19"/>
        <v>* group[=].element[+].code = #HDREncounter.location.organization</v>
      </c>
      <c r="J39" s="12" t="str">
        <f t="shared" si="20"/>
        <v>* group[=].element[=].display = ##34# - Organization Id []##34#</v>
      </c>
      <c r="K39" s="12" t="str">
        <f t="shared" si="21"/>
        <v>* group[=].element[=].target.code = #Encounter.conformsTo('http://hl7.eu/fhir/ig/xpandh/hdr/StructureDefinition/Encounter-eu-xpandh').TBD</v>
      </c>
      <c r="L39" s="12" t="str">
        <f t="shared" si="22"/>
        <v>* group[=].element[=].target.display = ##34###34#</v>
      </c>
      <c r="M39" s="12" t="str">
        <f t="shared" si="23"/>
        <v>* group[=].element[=].target.equivalence = #relatedto</v>
      </c>
      <c r="N39" s="4" t="str">
        <f t="shared" si="24"/>
        <v>* group[=].element[=].target.comment = ##34#to be checked##34#</v>
      </c>
      <c r="P39" s="11">
        <v>24</v>
      </c>
      <c r="Q39" s="11">
        <f t="shared" si="11"/>
        <v>3</v>
      </c>
      <c r="R39" s="11">
        <f t="shared" si="12"/>
        <v>6</v>
      </c>
      <c r="S39" s="12" t="str" cm="1">
        <f t="array" ref="S39">INDEX('Encounter-ConceptMap-1'!$I$15:$N$271,Q39+1,R39)</f>
        <v>* group[=].element[=].target.comment = ##34#to be checked##34#</v>
      </c>
      <c r="T39"/>
    </row>
    <row r="40" spans="1:20" s="2" customFormat="1" ht="103.25" x14ac:dyDescent="0.75">
      <c r="A40"/>
      <c r="B40" s="11" t="str">
        <f>Encounter!B32</f>
        <v>location.organization.id</v>
      </c>
      <c r="C40" s="12" t="str">
        <f>Encounter!C32</f>
        <v>A.2.3.6.2 - Organization Id [Required]</v>
      </c>
      <c r="D40" s="12" t="s">
        <v>94</v>
      </c>
      <c r="E40" s="12"/>
      <c r="F40" s="45" t="s">
        <v>41</v>
      </c>
      <c r="G40" s="153" t="s">
        <v>1409</v>
      </c>
      <c r="H40" s="39"/>
      <c r="I40" s="12" t="str">
        <f t="shared" si="19"/>
        <v>* group[=].element[+].code = #HDREncounter.location.organization.id</v>
      </c>
      <c r="J40" s="12" t="str">
        <f t="shared" si="20"/>
        <v>* group[=].element[=].display = ##34#A.2.3.6.2 - Organization Id [Required]##34#</v>
      </c>
      <c r="K40" s="12" t="str">
        <f t="shared" si="21"/>
        <v>* group[=].element[=].target.code = #Encounter.conformsTo('http://hl7.eu/fhir/ig/xpandh/hdr/StructureDefinition/Encounter-eu-xpandh').TBD</v>
      </c>
      <c r="L40" s="12" t="str">
        <f t="shared" si="22"/>
        <v>* group[=].element[=].target.display = ##34###34#</v>
      </c>
      <c r="M40" s="12" t="str">
        <f t="shared" si="23"/>
        <v>* group[=].element[=].target.equivalence = #relatedto</v>
      </c>
      <c r="N40" s="4" t="str">
        <f t="shared" si="24"/>
        <v>* group[=].element[=].target.comment = ##34#to be checked##34#</v>
      </c>
      <c r="P40" s="11">
        <v>25</v>
      </c>
      <c r="Q40" s="11">
        <f t="shared" si="11"/>
        <v>4</v>
      </c>
      <c r="R40" s="11">
        <f t="shared" si="12"/>
        <v>1</v>
      </c>
      <c r="S40" s="12" t="str" cm="1">
        <f t="array" ref="S40">INDEX('Encounter-ConceptMap-1'!$I$15:$N$271,Q40+1,R40)</f>
        <v>* group[=].element[+].code = #HDREncounter.admission.date</v>
      </c>
      <c r="T40"/>
    </row>
    <row r="41" spans="1:20" s="2" customFormat="1" ht="103.25" x14ac:dyDescent="0.75">
      <c r="A41"/>
      <c r="B41" s="11" t="str">
        <f>Encounter!B33</f>
        <v>location.organization.name</v>
      </c>
      <c r="C41" s="12" t="str">
        <f>Encounter!C33</f>
        <v>A.2.3.6.3 - Organization Part Name [Mandatory]</v>
      </c>
      <c r="D41" s="12" t="s">
        <v>94</v>
      </c>
      <c r="E41" s="12"/>
      <c r="F41" s="45" t="s">
        <v>41</v>
      </c>
      <c r="G41" s="153" t="s">
        <v>1409</v>
      </c>
      <c r="H41" s="39"/>
      <c r="I41" s="12" t="str">
        <f t="shared" si="19"/>
        <v>* group[=].element[+].code = #HDREncounter.location.organization.name</v>
      </c>
      <c r="J41" s="12" t="str">
        <f t="shared" si="20"/>
        <v>* group[=].element[=].display = ##34#A.2.3.6.3 - Organization Part Name [Mandatory]##34#</v>
      </c>
      <c r="K41" s="12" t="str">
        <f t="shared" si="21"/>
        <v>* group[=].element[=].target.code = #Encounter.conformsTo('http://hl7.eu/fhir/ig/xpandh/hdr/StructureDefinition/Encounter-eu-xpandh').TBD</v>
      </c>
      <c r="L41" s="12" t="str">
        <f t="shared" si="22"/>
        <v>* group[=].element[=].target.display = ##34###34#</v>
      </c>
      <c r="M41" s="12" t="str">
        <f t="shared" si="23"/>
        <v>* group[=].element[=].target.equivalence = #relatedto</v>
      </c>
      <c r="N41" s="4" t="str">
        <f t="shared" si="24"/>
        <v>* group[=].element[=].target.comment = ##34#to be checked##34#</v>
      </c>
      <c r="P41" s="11">
        <v>26</v>
      </c>
      <c r="Q41" s="11">
        <f t="shared" si="11"/>
        <v>4</v>
      </c>
      <c r="R41" s="11">
        <f t="shared" si="12"/>
        <v>2</v>
      </c>
      <c r="S41" s="12" t="str" cm="1">
        <f t="array" ref="S41">INDEX('Encounter-ConceptMap-1'!$I$15:$N$271,Q41+1,R41)</f>
        <v>* group[=].element[=].display = ##34#A.2.3.3.2 - Admission date [Mandatory]##34#</v>
      </c>
      <c r="T41"/>
    </row>
    <row r="42" spans="1:20" s="2" customFormat="1" ht="103.25" x14ac:dyDescent="0.75">
      <c r="A42"/>
      <c r="B42" s="11" t="str">
        <f>Encounter!B34</f>
        <v>location.organization.details</v>
      </c>
      <c r="C42" s="12" t="str">
        <f>Encounter!C34</f>
        <v>A.2.3.6.4 - Organization Part Details [Required]</v>
      </c>
      <c r="D42" s="12" t="s">
        <v>94</v>
      </c>
      <c r="E42" s="12"/>
      <c r="F42" s="45" t="s">
        <v>41</v>
      </c>
      <c r="G42" s="153" t="s">
        <v>1409</v>
      </c>
      <c r="H42" s="39"/>
      <c r="I42" s="12" t="str">
        <f t="shared" si="19"/>
        <v>* group[=].element[+].code = #HDREncounter.location.organization.details</v>
      </c>
      <c r="J42" s="12" t="str">
        <f t="shared" si="20"/>
        <v>* group[=].element[=].display = ##34#A.2.3.6.4 - Organization Part Details [Required]##34#</v>
      </c>
      <c r="K42" s="12" t="str">
        <f t="shared" si="21"/>
        <v>* group[=].element[=].target.code = #Encounter.conformsTo('http://hl7.eu/fhir/ig/xpandh/hdr/StructureDefinition/Encounter-eu-xpandh').TBD</v>
      </c>
      <c r="L42" s="12" t="str">
        <f t="shared" si="22"/>
        <v>* group[=].element[=].target.display = ##34###34#</v>
      </c>
      <c r="M42" s="12" t="str">
        <f t="shared" si="23"/>
        <v>* group[=].element[=].target.equivalence = #relatedto</v>
      </c>
      <c r="N42" s="4" t="str">
        <f t="shared" si="24"/>
        <v>* group[=].element[=].target.comment = ##34#to be checked##34#</v>
      </c>
      <c r="P42" s="11">
        <v>27</v>
      </c>
      <c r="Q42" s="11">
        <f t="shared" si="11"/>
        <v>4</v>
      </c>
      <c r="R42" s="11">
        <f t="shared" si="12"/>
        <v>3</v>
      </c>
      <c r="S42" s="12" t="str" cm="1">
        <f t="array" ref="S42">INDEX('Encounter-ConceptMap-1'!$I$15:$N$271,Q42+1,R42)</f>
        <v>* group[=].element[=].target.code = #Encounter.conformsTo('http://hl7.eu/fhir/ig/xpandh/hdr/StructureDefinition/Encounter-eu-xpandh').period.start</v>
      </c>
      <c r="T42"/>
    </row>
    <row r="43" spans="1:20" s="2" customFormat="1" x14ac:dyDescent="0.75">
      <c r="A43"/>
      <c r="B43" s="11"/>
      <c r="C43" s="12"/>
      <c r="D43" s="12"/>
      <c r="E43" s="12"/>
      <c r="F43" s="45"/>
      <c r="G43" s="45"/>
      <c r="H43" s="39"/>
      <c r="I43" s="12"/>
      <c r="J43" s="12"/>
      <c r="K43" s="12"/>
      <c r="L43" s="12"/>
      <c r="M43" s="12"/>
      <c r="N43" s="4"/>
      <c r="P43" s="11">
        <v>28</v>
      </c>
      <c r="Q43" s="11">
        <f t="shared" si="11"/>
        <v>4</v>
      </c>
      <c r="R43" s="11">
        <f t="shared" si="12"/>
        <v>4</v>
      </c>
      <c r="S43" s="12" t="str" cm="1">
        <f t="array" ref="S43">INDEX('Encounter-ConceptMap-1'!$I$15:$N$271,Q43+1,R43)</f>
        <v>* group[=].element[=].target.display = ##34###34#</v>
      </c>
      <c r="T43"/>
    </row>
    <row r="44" spans="1:20" s="2" customFormat="1" x14ac:dyDescent="0.75">
      <c r="A44"/>
      <c r="B44" s="11"/>
      <c r="C44" s="12"/>
      <c r="D44" s="12"/>
      <c r="E44" s="12"/>
      <c r="F44" s="45"/>
      <c r="G44" s="45"/>
      <c r="H44" s="39"/>
      <c r="I44" s="12"/>
      <c r="J44" s="12"/>
      <c r="K44" s="12"/>
      <c r="L44" s="12"/>
      <c r="M44" s="12"/>
      <c r="N44" s="4"/>
      <c r="P44" s="11">
        <v>29</v>
      </c>
      <c r="Q44" s="11">
        <f t="shared" si="11"/>
        <v>4</v>
      </c>
      <c r="R44" s="11">
        <f t="shared" si="12"/>
        <v>5</v>
      </c>
      <c r="S44" s="12" t="str" cm="1">
        <f t="array" ref="S44">INDEX('Encounter-ConceptMap-1'!$I$15:$N$271,Q44+1,R44)</f>
        <v>* group[=].element[=].target.equivalence = #equivalent</v>
      </c>
      <c r="T44"/>
    </row>
    <row r="45" spans="1:20" s="2" customFormat="1" x14ac:dyDescent="0.75">
      <c r="A45"/>
      <c r="B45" s="11"/>
      <c r="F45" s="39"/>
      <c r="G45" s="39"/>
      <c r="H45" s="39"/>
      <c r="I45" s="12"/>
      <c r="J45" s="12"/>
      <c r="K45" s="12"/>
      <c r="L45" s="12"/>
      <c r="M45" s="12"/>
      <c r="N45" s="4"/>
      <c r="P45" s="11">
        <v>30</v>
      </c>
      <c r="Q45" s="11">
        <f t="shared" si="11"/>
        <v>4</v>
      </c>
      <c r="R45" s="11">
        <f t="shared" si="12"/>
        <v>6</v>
      </c>
      <c r="S45" s="12" t="str" cm="1">
        <f t="array" ref="S45">INDEX('Encounter-ConceptMap-1'!$I$15:$N$271,Q45+1,R45)</f>
        <v>* group[=].element[=].target.comment = ##34#to be checked##34#</v>
      </c>
      <c r="T45"/>
    </row>
    <row r="46" spans="1:20" s="2" customFormat="1" x14ac:dyDescent="0.75">
      <c r="A46"/>
      <c r="B46" s="11"/>
      <c r="F46" s="39"/>
      <c r="G46" s="39"/>
      <c r="H46" s="39"/>
      <c r="I46" s="12"/>
      <c r="J46" s="12"/>
      <c r="K46" s="12"/>
      <c r="L46" s="12"/>
      <c r="M46" s="12"/>
      <c r="N46" s="4"/>
      <c r="P46" s="11">
        <v>31</v>
      </c>
      <c r="Q46" s="11">
        <f t="shared" si="11"/>
        <v>5</v>
      </c>
      <c r="R46" s="11">
        <f t="shared" si="12"/>
        <v>1</v>
      </c>
      <c r="S46" s="12" t="str" cm="1">
        <f t="array" ref="S46">INDEX('Encounter-ConceptMap-1'!$I$15:$N$271,Q46+1,R46)</f>
        <v>* group[=].element[+].code = #HDREncounter.admission.admitter</v>
      </c>
      <c r="T46"/>
    </row>
    <row r="47" spans="1:20" s="2" customFormat="1" x14ac:dyDescent="0.75">
      <c r="A47"/>
      <c r="B47" s="11"/>
      <c r="F47" s="39"/>
      <c r="G47" s="39"/>
      <c r="H47" s="39"/>
      <c r="I47" s="12"/>
      <c r="J47" s="12"/>
      <c r="K47" s="12"/>
      <c r="L47" s="12"/>
      <c r="M47" s="12"/>
      <c r="N47" s="4"/>
      <c r="P47" s="11">
        <v>32</v>
      </c>
      <c r="Q47" s="11">
        <f t="shared" si="11"/>
        <v>5</v>
      </c>
      <c r="R47" s="11">
        <f t="shared" si="12"/>
        <v>2</v>
      </c>
      <c r="S47" s="12" t="str" cm="1">
        <f t="array" ref="S47">INDEX('Encounter-ConceptMap-1'!$I$15:$N$271,Q47+1,R47)</f>
        <v>* group[=].element[=].display = ##34#- Admitting professional Id []##34#</v>
      </c>
      <c r="T47"/>
    </row>
    <row r="48" spans="1:20" s="2" customFormat="1" ht="44.25" x14ac:dyDescent="0.75">
      <c r="A48"/>
      <c r="B48" s="11"/>
      <c r="F48" s="39"/>
      <c r="G48" s="39"/>
      <c r="H48" s="39"/>
      <c r="I48" s="12"/>
      <c r="J48" s="12"/>
      <c r="K48" s="12"/>
      <c r="L48" s="12"/>
      <c r="M48" s="12"/>
      <c r="N48" s="4"/>
      <c r="P48" s="11">
        <v>33</v>
      </c>
      <c r="Q48" s="11">
        <f t="shared" si="11"/>
        <v>5</v>
      </c>
      <c r="R48" s="11">
        <f t="shared" si="12"/>
        <v>3</v>
      </c>
      <c r="S48" s="12" t="str" cm="1">
        <f t="array" ref="S48">INDEX('Encounter-ConceptMap-1'!$I$15:$N$271,Q48+1,R48)</f>
        <v>* group[=].element[=].target.code = #Encounter.conformsTo('http://hl7.eu/fhir/ig/xpandh/hdr/StructureDefinition/Encounter-eu-xpandh').participant.where(type='ADM').individual.resolve()</v>
      </c>
      <c r="T48"/>
    </row>
    <row r="49" spans="1:20" s="2" customFormat="1" x14ac:dyDescent="0.75">
      <c r="A49"/>
      <c r="B49" s="11"/>
      <c r="F49" s="39"/>
      <c r="G49" s="39"/>
      <c r="H49" s="39"/>
      <c r="I49" s="12"/>
      <c r="J49" s="12"/>
      <c r="K49" s="12"/>
      <c r="L49" s="12"/>
      <c r="M49" s="12"/>
      <c r="N49" s="4"/>
      <c r="P49" s="11">
        <v>34</v>
      </c>
      <c r="Q49" s="11">
        <f t="shared" si="11"/>
        <v>5</v>
      </c>
      <c r="R49" s="11">
        <f t="shared" si="12"/>
        <v>4</v>
      </c>
      <c r="S49" s="12" t="str" cm="1">
        <f t="array" ref="S49">INDEX('Encounter-ConceptMap-1'!$I$15:$N$271,Q49+1,R49)</f>
        <v>* group[=].element[=].target.display = ##34###34#</v>
      </c>
      <c r="T49"/>
    </row>
    <row r="50" spans="1:20" x14ac:dyDescent="0.75">
      <c r="F50" s="39"/>
      <c r="G50" s="39"/>
      <c r="H50" s="39"/>
      <c r="I50" s="12"/>
      <c r="J50" s="12"/>
      <c r="K50" s="12"/>
      <c r="L50" s="12"/>
      <c r="M50" s="12"/>
      <c r="N50" s="4"/>
      <c r="P50" s="11">
        <v>35</v>
      </c>
      <c r="Q50" s="11">
        <f t="shared" si="11"/>
        <v>5</v>
      </c>
      <c r="R50" s="11">
        <f t="shared" si="12"/>
        <v>5</v>
      </c>
      <c r="S50" s="12" t="str" cm="1">
        <f t="array" ref="S50">INDEX('Encounter-ConceptMap-1'!$I$15:$N$271,Q50+1,R50)</f>
        <v>* group[=].element[=].target.equivalence = #equivalent</v>
      </c>
    </row>
    <row r="51" spans="1:20" x14ac:dyDescent="0.75">
      <c r="F51" s="39"/>
      <c r="G51" s="39"/>
      <c r="H51" s="39"/>
      <c r="I51" s="12"/>
      <c r="J51" s="12"/>
      <c r="K51" s="12"/>
      <c r="L51" s="12"/>
      <c r="M51" s="12"/>
      <c r="N51" s="4"/>
      <c r="P51" s="11">
        <v>36</v>
      </c>
      <c r="Q51" s="11">
        <f t="shared" si="11"/>
        <v>5</v>
      </c>
      <c r="R51" s="11">
        <f t="shared" si="12"/>
        <v>6</v>
      </c>
      <c r="S51" s="12" t="str" cm="1">
        <f t="array" ref="S51">INDEX('Encounter-ConceptMap-1'!$I$15:$N$271,Q51+1,R51)</f>
        <v/>
      </c>
    </row>
    <row r="52" spans="1:20" x14ac:dyDescent="0.75">
      <c r="F52" s="39"/>
      <c r="G52" s="39"/>
      <c r="H52" s="39"/>
      <c r="I52" s="12"/>
      <c r="J52" s="12"/>
      <c r="K52" s="12"/>
      <c r="L52" s="12"/>
      <c r="M52" s="12"/>
      <c r="N52" s="4"/>
      <c r="P52" s="11">
        <v>37</v>
      </c>
      <c r="Q52" s="11">
        <f t="shared" si="11"/>
        <v>6</v>
      </c>
      <c r="R52" s="11">
        <f t="shared" si="12"/>
        <v>1</v>
      </c>
      <c r="S52" s="12" t="str" cm="1">
        <f t="array" ref="S52">INDEX('Encounter-ConceptMap-1'!$I$15:$N$271,Q52+1,R52)</f>
        <v>* group[=].element[+].code = #HDREncounter.admission.admitter.identifier</v>
      </c>
    </row>
    <row r="53" spans="1:20" ht="29.5" x14ac:dyDescent="0.75">
      <c r="F53" s="39"/>
      <c r="G53" s="39"/>
      <c r="H53" s="39"/>
      <c r="I53" s="12"/>
      <c r="J53" s="12"/>
      <c r="K53" s="12"/>
      <c r="L53" s="12"/>
      <c r="M53" s="12"/>
      <c r="N53" s="4"/>
      <c r="P53" s="11">
        <v>38</v>
      </c>
      <c r="Q53" s="11">
        <f t="shared" si="11"/>
        <v>6</v>
      </c>
      <c r="R53" s="11">
        <f t="shared" si="12"/>
        <v>2</v>
      </c>
      <c r="S53" s="12" t="str" cm="1">
        <f t="array" ref="S53">INDEX('Encounter-ConceptMap-1'!$I$15:$N$271,Q53+1,R53)</f>
        <v>* group[=].element[=].display = ##34#A.2.3.3.3 - Admitting professional Id [Required]##34#</v>
      </c>
    </row>
    <row r="54" spans="1:20" ht="44.25" x14ac:dyDescent="0.75">
      <c r="E54"/>
      <c r="I54" s="12"/>
      <c r="J54" s="12"/>
      <c r="K54" s="12"/>
      <c r="L54" s="12"/>
      <c r="M54" s="12"/>
      <c r="N54" s="4"/>
      <c r="P54" s="11">
        <v>39</v>
      </c>
      <c r="Q54" s="11">
        <f t="shared" si="11"/>
        <v>6</v>
      </c>
      <c r="R54" s="11">
        <f t="shared" si="12"/>
        <v>3</v>
      </c>
      <c r="S54" s="12" t="str" cm="1">
        <f t="array" ref="S54">INDEX('Encounter-ConceptMap-1'!$I$15:$N$271,Q54+1,R54)</f>
        <v>* group[=].element[=].target.code = #Encounter.conformsTo('http://hl7.eu/fhir/ig/xpandh/hdr/StructureDefinition/Encounter-eu-xpandh').participant.where(type='ADM').individual.resolve().identifier</v>
      </c>
    </row>
    <row r="55" spans="1:20" x14ac:dyDescent="0.75">
      <c r="P55" s="11">
        <v>40</v>
      </c>
      <c r="Q55" s="11">
        <f t="shared" si="11"/>
        <v>6</v>
      </c>
      <c r="R55" s="11">
        <f t="shared" si="12"/>
        <v>4</v>
      </c>
      <c r="S55" s="12" t="str" cm="1">
        <f t="array" ref="S55">INDEX('Encounter-ConceptMap-1'!$I$15:$N$271,Q55+1,R55)</f>
        <v>* group[=].element[=].target.display = ##34###34#</v>
      </c>
    </row>
    <row r="56" spans="1:20" x14ac:dyDescent="0.75">
      <c r="P56" s="11">
        <v>41</v>
      </c>
      <c r="Q56" s="11">
        <f t="shared" si="11"/>
        <v>6</v>
      </c>
      <c r="R56" s="11">
        <f t="shared" si="12"/>
        <v>5</v>
      </c>
      <c r="S56" s="12" t="str" cm="1">
        <f t="array" ref="S56">INDEX('Encounter-ConceptMap-1'!$I$15:$N$271,Q56+1,R56)</f>
        <v>* group[=].element[=].target.equivalence = #equivalent</v>
      </c>
    </row>
    <row r="57" spans="1:20" x14ac:dyDescent="0.75">
      <c r="P57" s="11">
        <v>42</v>
      </c>
      <c r="Q57" s="11">
        <f t="shared" si="11"/>
        <v>6</v>
      </c>
      <c r="R57" s="11">
        <f t="shared" si="12"/>
        <v>6</v>
      </c>
      <c r="S57" s="12" t="str" cm="1">
        <f t="array" ref="S57">INDEX('Encounter-ConceptMap-1'!$I$15:$N$271,Q57+1,R57)</f>
        <v/>
      </c>
    </row>
    <row r="58" spans="1:20" x14ac:dyDescent="0.75">
      <c r="P58" s="11">
        <v>43</v>
      </c>
      <c r="Q58" s="11">
        <f t="shared" si="11"/>
        <v>7</v>
      </c>
      <c r="R58" s="11">
        <f t="shared" si="12"/>
        <v>1</v>
      </c>
      <c r="S58" s="12" t="str" cm="1">
        <f t="array" ref="S58">INDEX('Encounter-ConceptMap-1'!$I$15:$N$271,Q58+1,R58)</f>
        <v>* group[=].element[+].code = #HDREncounter.admission.admitter.name</v>
      </c>
    </row>
    <row r="59" spans="1:20" ht="29.5" x14ac:dyDescent="0.75">
      <c r="P59" s="11">
        <v>44</v>
      </c>
      <c r="Q59" s="11">
        <f t="shared" si="11"/>
        <v>7</v>
      </c>
      <c r="R59" s="11">
        <f t="shared" si="12"/>
        <v>2</v>
      </c>
      <c r="S59" s="12" t="str" cm="1">
        <f t="array" ref="S59">INDEX('Encounter-ConceptMap-1'!$I$15:$N$271,Q59+1,R59)</f>
        <v>* group[=].element[=].display = ##34#A.2.3.3.4 - Admitting professional name [Required]##34#</v>
      </c>
    </row>
    <row r="60" spans="1:20" ht="73.75" x14ac:dyDescent="0.75">
      <c r="P60" s="11">
        <v>45</v>
      </c>
      <c r="Q60" s="11">
        <f t="shared" si="11"/>
        <v>7</v>
      </c>
      <c r="R60" s="11">
        <f t="shared" si="12"/>
        <v>3</v>
      </c>
      <c r="S60" s="12" t="str" cm="1">
        <f t="array" ref="S60">INDEX('Encounter-ConceptMap-1'!$I$15:$N$271,Q60+1,R60)</f>
        <v>* group[=].element[=].target.code = #Encounter.conformsTo('http://hl7.eu/fhir/ig/xpandh/hdr/StructureDefinition/Encounter-eu-xpandh').participant.where(type='ADM').individual.resolve().ofType(Practictioner).name</v>
      </c>
    </row>
    <row r="61" spans="1:20" x14ac:dyDescent="0.75">
      <c r="P61" s="11">
        <v>46</v>
      </c>
      <c r="Q61" s="11">
        <f t="shared" si="11"/>
        <v>7</v>
      </c>
      <c r="R61" s="11">
        <f t="shared" si="12"/>
        <v>4</v>
      </c>
      <c r="S61" s="12" t="str" cm="1">
        <f t="array" ref="S61">INDEX('Encounter-ConceptMap-1'!$I$15:$N$271,Q61+1,R61)</f>
        <v>* group[=].element[=].target.display = ##34###34#</v>
      </c>
    </row>
    <row r="62" spans="1:20" x14ac:dyDescent="0.75">
      <c r="P62" s="11">
        <v>47</v>
      </c>
      <c r="Q62" s="11">
        <f t="shared" si="11"/>
        <v>7</v>
      </c>
      <c r="R62" s="11">
        <f t="shared" si="12"/>
        <v>5</v>
      </c>
      <c r="S62" s="12" t="str" cm="1">
        <f t="array" ref="S62">INDEX('Encounter-ConceptMap-1'!$I$15:$N$271,Q62+1,R62)</f>
        <v>* group[=].element[=].target.equivalence = #equivalent</v>
      </c>
    </row>
    <row r="63" spans="1:20" x14ac:dyDescent="0.75">
      <c r="P63" s="11">
        <v>48</v>
      </c>
      <c r="Q63" s="11">
        <f t="shared" si="11"/>
        <v>7</v>
      </c>
      <c r="R63" s="11">
        <f t="shared" si="12"/>
        <v>6</v>
      </c>
      <c r="S63" s="12" t="str" cm="1">
        <f t="array" ref="S63">INDEX('Encounter-ConceptMap-1'!$I$15:$N$271,Q63+1,R63)</f>
        <v>* group[=].element[=].target.comment = ##34#to be checked##34#</v>
      </c>
    </row>
    <row r="64" spans="1:20" x14ac:dyDescent="0.75">
      <c r="P64" s="11">
        <v>49</v>
      </c>
      <c r="Q64" s="11">
        <f t="shared" si="11"/>
        <v>8</v>
      </c>
      <c r="R64" s="11">
        <f t="shared" si="12"/>
        <v>1</v>
      </c>
      <c r="S64" s="12" t="str" cm="1">
        <f t="array" ref="S64">INDEX('Encounter-ConceptMap-1'!$I$15:$N$271,Q64+1,R64)</f>
        <v>* group[=].element[+].code = #HDREncounter.admission.admitter.name</v>
      </c>
    </row>
    <row r="65" spans="16:19" ht="29.5" x14ac:dyDescent="0.75">
      <c r="P65" s="11">
        <v>50</v>
      </c>
      <c r="Q65" s="11">
        <f t="shared" si="11"/>
        <v>8</v>
      </c>
      <c r="R65" s="11">
        <f t="shared" si="12"/>
        <v>2</v>
      </c>
      <c r="S65" s="12" t="str" cm="1">
        <f t="array" ref="S65">INDEX('Encounter-ConceptMap-1'!$I$15:$N$271,Q65+1,R65)</f>
        <v>* group[=].element[=].display = ##34#A.2.3.3.4 - Admitting professional name [Required]##34#</v>
      </c>
    </row>
    <row r="66" spans="16:19" ht="73.75" x14ac:dyDescent="0.75">
      <c r="P66" s="11">
        <v>51</v>
      </c>
      <c r="Q66" s="11">
        <f t="shared" si="11"/>
        <v>8</v>
      </c>
      <c r="R66" s="11">
        <f t="shared" si="12"/>
        <v>3</v>
      </c>
      <c r="S66" s="12" t="str" cm="1">
        <f t="array" ref="S66">INDEX('Encounter-ConceptMap-1'!$I$15:$N$271,Q66+1,R66)</f>
        <v>* group[=].element[=].target.code = #Encounter.conformsTo('http://hl7.eu/fhir/ig/xpandh/hdr/StructureDefinition/Encounter-eu-xpandh').participant.where(type='ADM').individual.resolve().ofType(PractictionerRole).practitioner.resolve().name</v>
      </c>
    </row>
    <row r="67" spans="16:19" x14ac:dyDescent="0.75">
      <c r="P67" s="11">
        <v>52</v>
      </c>
      <c r="Q67" s="11">
        <f t="shared" si="11"/>
        <v>8</v>
      </c>
      <c r="R67" s="11">
        <f t="shared" si="12"/>
        <v>4</v>
      </c>
      <c r="S67" s="12" t="str" cm="1">
        <f t="array" ref="S67">INDEX('Encounter-ConceptMap-1'!$I$15:$N$271,Q67+1,R67)</f>
        <v>* group[=].element[=].target.display = ##34###34#</v>
      </c>
    </row>
    <row r="68" spans="16:19" x14ac:dyDescent="0.75">
      <c r="P68" s="11">
        <v>53</v>
      </c>
      <c r="Q68" s="11">
        <f t="shared" si="11"/>
        <v>8</v>
      </c>
      <c r="R68" s="11">
        <f t="shared" si="12"/>
        <v>5</v>
      </c>
      <c r="S68" s="12" t="str" cm="1">
        <f t="array" ref="S68">INDEX('Encounter-ConceptMap-1'!$I$15:$N$271,Q68+1,R68)</f>
        <v>* group[=].element[=].target.equivalence = #equivalent</v>
      </c>
    </row>
    <row r="69" spans="16:19" x14ac:dyDescent="0.75">
      <c r="P69" s="11">
        <v>54</v>
      </c>
      <c r="Q69" s="11">
        <f t="shared" si="11"/>
        <v>8</v>
      </c>
      <c r="R69" s="11">
        <f t="shared" si="12"/>
        <v>6</v>
      </c>
      <c r="S69" s="12" t="str" cm="1">
        <f t="array" ref="S69">INDEX('Encounter-ConceptMap-1'!$I$15:$N$271,Q69+1,R69)</f>
        <v>* group[=].element[=].target.comment = ##34#to be checked##34#</v>
      </c>
    </row>
    <row r="70" spans="16:19" x14ac:dyDescent="0.75">
      <c r="P70" s="11">
        <v>55</v>
      </c>
      <c r="Q70" s="11">
        <f t="shared" si="11"/>
        <v>9</v>
      </c>
      <c r="R70" s="11">
        <f t="shared" si="12"/>
        <v>1</v>
      </c>
      <c r="S70" s="12" t="str" cm="1">
        <f t="array" ref="S70">INDEX('Encounter-ConceptMap-1'!$I$15:$N$271,Q70+1,R70)</f>
        <v>* group[=].element[+].code = #HDREncounter.admission.source</v>
      </c>
    </row>
    <row r="71" spans="16:19" x14ac:dyDescent="0.75">
      <c r="P71" s="11">
        <v>56</v>
      </c>
      <c r="Q71" s="11">
        <f t="shared" si="11"/>
        <v>9</v>
      </c>
      <c r="R71" s="11">
        <f t="shared" si="12"/>
        <v>2</v>
      </c>
      <c r="S71" s="12" t="str" cm="1">
        <f t="array" ref="S71">INDEX('Encounter-ConceptMap-1'!$I$15:$N$271,Q71+1,R71)</f>
        <v>* group[=].element[=].display = ##34#A.2.3.3.5 - Admit Source [Required]##34#</v>
      </c>
    </row>
    <row r="72" spans="16:19" ht="44.25" x14ac:dyDescent="0.75">
      <c r="P72" s="11">
        <v>57</v>
      </c>
      <c r="Q72" s="11">
        <f t="shared" si="11"/>
        <v>9</v>
      </c>
      <c r="R72" s="11">
        <f t="shared" si="12"/>
        <v>3</v>
      </c>
      <c r="S72" s="12" t="str" cm="1">
        <f t="array" ref="S72">INDEX('Encounter-ConceptMap-1'!$I$15:$N$271,Q72+1,R72)</f>
        <v>* group[=].element[=].target.code = #Encounter.conformsTo('http://hl7.eu/fhir/ig/xpandh/hdr/StructureDefinition/Encounter-eu-xpandh').hospitalization.admitSource</v>
      </c>
    </row>
    <row r="73" spans="16:19" x14ac:dyDescent="0.75">
      <c r="P73" s="11">
        <v>58</v>
      </c>
      <c r="Q73" s="11">
        <f t="shared" si="11"/>
        <v>9</v>
      </c>
      <c r="R73" s="11">
        <f t="shared" si="12"/>
        <v>4</v>
      </c>
      <c r="S73" s="12" t="str" cm="1">
        <f t="array" ref="S73">INDEX('Encounter-ConceptMap-1'!$I$15:$N$271,Q73+1,R73)</f>
        <v>* group[=].element[=].target.display = ##34###34#</v>
      </c>
    </row>
    <row r="74" spans="16:19" x14ac:dyDescent="0.75">
      <c r="P74" s="11">
        <v>59</v>
      </c>
      <c r="Q74" s="11">
        <f t="shared" si="11"/>
        <v>9</v>
      </c>
      <c r="R74" s="11">
        <f t="shared" si="12"/>
        <v>5</v>
      </c>
      <c r="S74" s="12" t="str" cm="1">
        <f t="array" ref="S74">INDEX('Encounter-ConceptMap-1'!$I$15:$N$271,Q74+1,R74)</f>
        <v>* group[=].element[=].target.equivalence = #relatedto</v>
      </c>
    </row>
    <row r="75" spans="16:19" x14ac:dyDescent="0.75">
      <c r="P75" s="11">
        <v>60</v>
      </c>
      <c r="Q75" s="11">
        <f t="shared" si="11"/>
        <v>9</v>
      </c>
      <c r="R75" s="11">
        <f t="shared" si="12"/>
        <v>6</v>
      </c>
      <c r="S75" s="12" t="str" cm="1">
        <f t="array" ref="S75">INDEX('Encounter-ConceptMap-1'!$I$15:$N$271,Q75+1,R75)</f>
        <v/>
      </c>
    </row>
    <row r="76" spans="16:19" x14ac:dyDescent="0.75">
      <c r="P76" s="11">
        <v>61</v>
      </c>
      <c r="Q76" s="11">
        <f t="shared" si="11"/>
        <v>10</v>
      </c>
      <c r="R76" s="11">
        <f t="shared" si="12"/>
        <v>1</v>
      </c>
      <c r="S76" s="12" t="str" cm="1">
        <f t="array" ref="S76">INDEX('Encounter-ConceptMap-1'!$I$15:$N$271,Q76+1,R76)</f>
        <v>* group[=].element[+].code = #HDREncounter.admission.referringHP</v>
      </c>
    </row>
    <row r="77" spans="16:19" x14ac:dyDescent="0.75">
      <c r="P77" s="11">
        <v>62</v>
      </c>
      <c r="Q77" s="11">
        <f t="shared" si="11"/>
        <v>10</v>
      </c>
      <c r="R77" s="11">
        <f t="shared" si="12"/>
        <v>2</v>
      </c>
      <c r="S77" s="12" t="str" cm="1">
        <f t="array" ref="S77">INDEX('Encounter-ConceptMap-1'!$I$15:$N$271,Q77+1,R77)</f>
        <v>* group[=].element[=].display = ##34# - Referring professional Id []##34#</v>
      </c>
    </row>
    <row r="78" spans="16:19" ht="44.25" x14ac:dyDescent="0.75">
      <c r="P78" s="11">
        <v>63</v>
      </c>
      <c r="Q78" s="11">
        <f t="shared" si="11"/>
        <v>10</v>
      </c>
      <c r="R78" s="11">
        <f t="shared" si="12"/>
        <v>3</v>
      </c>
      <c r="S78" s="12" t="str" cm="1">
        <f t="array" ref="S78">INDEX('Encounter-ConceptMap-1'!$I$15:$N$271,Q78+1,R78)</f>
        <v>* group[=].element[=].target.code = #Encounter.conformsTo('http://hl7.eu/fhir/ig/xpandh/hdr/StructureDefinition/Encounter-eu-xpandh').participant.where(type='REF').individual.resolve()</v>
      </c>
    </row>
    <row r="79" spans="16:19" x14ac:dyDescent="0.75">
      <c r="P79" s="11">
        <v>64</v>
      </c>
      <c r="Q79" s="11">
        <f t="shared" si="11"/>
        <v>10</v>
      </c>
      <c r="R79" s="11">
        <f t="shared" si="12"/>
        <v>4</v>
      </c>
      <c r="S79" s="12" t="str" cm="1">
        <f t="array" ref="S79">INDEX('Encounter-ConceptMap-1'!$I$15:$N$271,Q79+1,R79)</f>
        <v>* group[=].element[=].target.display = ##34###34#</v>
      </c>
    </row>
    <row r="80" spans="16:19" x14ac:dyDescent="0.75">
      <c r="P80" s="11">
        <v>65</v>
      </c>
      <c r="Q80" s="11">
        <f t="shared" si="11"/>
        <v>10</v>
      </c>
      <c r="R80" s="11">
        <f t="shared" si="12"/>
        <v>5</v>
      </c>
      <c r="S80" s="12" t="str" cm="1">
        <f t="array" ref="S80">INDEX('Encounter-ConceptMap-1'!$I$15:$N$271,Q80+1,R80)</f>
        <v>* group[=].element[=].target.equivalence = #equivalent</v>
      </c>
    </row>
    <row r="81" spans="16:19" x14ac:dyDescent="0.75">
      <c r="P81" s="11">
        <v>66</v>
      </c>
      <c r="Q81" s="11">
        <f t="shared" ref="Q81" si="25">IF(MOD(P81,$Q$8)=0,P81/$Q$8-1,INT(P81/$Q$8))</f>
        <v>10</v>
      </c>
      <c r="R81" s="11">
        <f t="shared" ref="R81" si="26">IF(MOD(P81,$Q$8)=0,$Q$8,MOD(P81,$Q$8))</f>
        <v>6</v>
      </c>
      <c r="S81" s="12" t="str" cm="1">
        <f t="array" ref="S81">INDEX('Encounter-ConceptMap-1'!$I$15:$N$271,Q81+1,R81)</f>
        <v/>
      </c>
    </row>
    <row r="82" spans="16:19" x14ac:dyDescent="0.75">
      <c r="P82" s="11">
        <v>67</v>
      </c>
      <c r="Q82" s="11">
        <f t="shared" ref="Q82:Q88" si="27">IF(MOD(P82,$Q$8)=0,P82/$Q$8-1,INT(P82/$Q$8))</f>
        <v>11</v>
      </c>
      <c r="R82" s="11">
        <f t="shared" ref="R82:R88" si="28">IF(MOD(P82,$Q$8)=0,$Q$8,MOD(P82,$Q$8))</f>
        <v>1</v>
      </c>
      <c r="S82" s="12" t="str" cm="1">
        <f t="array" ref="S82">INDEX('Encounter-ConceptMap-1'!$I$15:$N$271,Q82+1,R82)</f>
        <v>* group[=].element[+].code = #HDREncounter.admission.referringHP.identifier</v>
      </c>
    </row>
    <row r="83" spans="16:19" ht="29.5" x14ac:dyDescent="0.75">
      <c r="P83" s="11">
        <v>68</v>
      </c>
      <c r="Q83" s="11">
        <f t="shared" si="27"/>
        <v>11</v>
      </c>
      <c r="R83" s="11">
        <f t="shared" si="28"/>
        <v>2</v>
      </c>
      <c r="S83" s="12" t="str" cm="1">
        <f t="array" ref="S83">INDEX('Encounter-ConceptMap-1'!$I$15:$N$271,Q83+1,R83)</f>
        <v>* group[=].element[=].display = ##34#A.2.3.3.6 - Referring professional Id [Required]##34#</v>
      </c>
    </row>
    <row r="84" spans="16:19" ht="44.25" x14ac:dyDescent="0.75">
      <c r="P84" s="11">
        <v>69</v>
      </c>
      <c r="Q84" s="11">
        <f t="shared" si="27"/>
        <v>11</v>
      </c>
      <c r="R84" s="11">
        <f t="shared" si="28"/>
        <v>3</v>
      </c>
      <c r="S84" s="12" t="str" cm="1">
        <f t="array" ref="S84">INDEX('Encounter-ConceptMap-1'!$I$15:$N$271,Q84+1,R84)</f>
        <v>* group[=].element[=].target.code = #Encounter.conformsTo('http://hl7.eu/fhir/ig/xpandh/hdr/StructureDefinition/Encounter-eu-xpandh').participant.where(type='REF').individual.resolve().identifier</v>
      </c>
    </row>
    <row r="85" spans="16:19" x14ac:dyDescent="0.75">
      <c r="P85" s="11">
        <v>70</v>
      </c>
      <c r="Q85" s="11">
        <f t="shared" si="27"/>
        <v>11</v>
      </c>
      <c r="R85" s="11">
        <f t="shared" si="28"/>
        <v>4</v>
      </c>
      <c r="S85" s="12" t="str" cm="1">
        <f t="array" ref="S85">INDEX('Encounter-ConceptMap-1'!$I$15:$N$271,Q85+1,R85)</f>
        <v>* group[=].element[=].target.display = ##34###34#</v>
      </c>
    </row>
    <row r="86" spans="16:19" x14ac:dyDescent="0.75">
      <c r="P86" s="11">
        <v>71</v>
      </c>
      <c r="Q86" s="11">
        <f t="shared" si="27"/>
        <v>11</v>
      </c>
      <c r="R86" s="11">
        <f t="shared" si="28"/>
        <v>5</v>
      </c>
      <c r="S86" s="12" t="str" cm="1">
        <f t="array" ref="S86">INDEX('Encounter-ConceptMap-1'!$I$15:$N$271,Q86+1,R86)</f>
        <v>* group[=].element[=].target.equivalence = #equivalent</v>
      </c>
    </row>
    <row r="87" spans="16:19" x14ac:dyDescent="0.75">
      <c r="P87" s="11">
        <v>72</v>
      </c>
      <c r="Q87" s="11">
        <f t="shared" si="27"/>
        <v>11</v>
      </c>
      <c r="R87" s="11">
        <f t="shared" si="28"/>
        <v>6</v>
      </c>
      <c r="S87" s="12" t="str" cm="1">
        <f t="array" ref="S87">INDEX('Encounter-ConceptMap-1'!$I$15:$N$271,Q87+1,R87)</f>
        <v/>
      </c>
    </row>
    <row r="88" spans="16:19" x14ac:dyDescent="0.75">
      <c r="P88" s="11">
        <v>73</v>
      </c>
      <c r="Q88" s="11">
        <f t="shared" si="27"/>
        <v>12</v>
      </c>
      <c r="R88" s="11">
        <f t="shared" si="28"/>
        <v>1</v>
      </c>
      <c r="S88" s="12" t="str" cm="1">
        <f t="array" ref="S88">INDEX('Encounter-ConceptMap-1'!$I$15:$N$271,Q88+1,R88)</f>
        <v>* group[=].element[+].code = #HDREncounter.admission.referringHP.name</v>
      </c>
    </row>
    <row r="89" spans="16:19" ht="29.5" x14ac:dyDescent="0.75">
      <c r="P89" s="11">
        <v>74</v>
      </c>
      <c r="Q89" s="11">
        <f t="shared" ref="Q89:Q131" si="29">IF(MOD(P89,$Q$8)=0,P89/$Q$8-1,INT(P89/$Q$8))</f>
        <v>12</v>
      </c>
      <c r="R89" s="11">
        <f t="shared" ref="R89:R131" si="30">IF(MOD(P89,$Q$8)=0,$Q$8,MOD(P89,$Q$8))</f>
        <v>2</v>
      </c>
      <c r="S89" s="12" t="str" cm="1">
        <f t="array" ref="S89">INDEX('Encounter-ConceptMap-1'!$I$15:$N$271,Q89+1,R89)</f>
        <v>* group[=].element[=].display = ##34#A.2.3.3.7 - Referring professional name [Required]##34#</v>
      </c>
    </row>
    <row r="90" spans="16:19" ht="73.75" x14ac:dyDescent="0.75">
      <c r="P90" s="11">
        <v>75</v>
      </c>
      <c r="Q90" s="11">
        <f t="shared" si="29"/>
        <v>12</v>
      </c>
      <c r="R90" s="11">
        <f t="shared" si="30"/>
        <v>3</v>
      </c>
      <c r="S90" s="12" t="str" cm="1">
        <f t="array" ref="S90">INDEX('Encounter-ConceptMap-1'!$I$15:$N$271,Q90+1,R90)</f>
        <v>* group[=].element[=].target.code = #Encounter.conformsTo('http://hl7.eu/fhir/ig/xpandh/hdr/StructureDefinition/Encounter-eu-xpandh').participant.where(type='REF').individual.resolve().ofType(Practictioner).name</v>
      </c>
    </row>
    <row r="91" spans="16:19" x14ac:dyDescent="0.75">
      <c r="P91" s="11">
        <v>76</v>
      </c>
      <c r="Q91" s="11">
        <f t="shared" si="29"/>
        <v>12</v>
      </c>
      <c r="R91" s="11">
        <f t="shared" si="30"/>
        <v>4</v>
      </c>
      <c r="S91" s="12" t="str" cm="1">
        <f t="array" ref="S91">INDEX('Encounter-ConceptMap-1'!$I$15:$N$271,Q91+1,R91)</f>
        <v>* group[=].element[=].target.display = ##34###34#</v>
      </c>
    </row>
    <row r="92" spans="16:19" x14ac:dyDescent="0.75">
      <c r="P92" s="11">
        <v>77</v>
      </c>
      <c r="Q92" s="11">
        <f t="shared" si="29"/>
        <v>12</v>
      </c>
      <c r="R92" s="11">
        <f t="shared" si="30"/>
        <v>5</v>
      </c>
      <c r="S92" s="12" t="str" cm="1">
        <f t="array" ref="S92">INDEX('Encounter-ConceptMap-1'!$I$15:$N$271,Q92+1,R92)</f>
        <v>* group[=].element[=].target.equivalence = #equivalent</v>
      </c>
    </row>
    <row r="93" spans="16:19" x14ac:dyDescent="0.75">
      <c r="P93" s="11">
        <v>78</v>
      </c>
      <c r="Q93" s="11">
        <f t="shared" si="29"/>
        <v>12</v>
      </c>
      <c r="R93" s="11">
        <f t="shared" si="30"/>
        <v>6</v>
      </c>
      <c r="S93" s="12" t="str" cm="1">
        <f t="array" ref="S93">INDEX('Encounter-ConceptMap-1'!$I$15:$N$271,Q93+1,R93)</f>
        <v>* group[=].element[=].target.comment = ##34#to be checked##34#</v>
      </c>
    </row>
    <row r="94" spans="16:19" x14ac:dyDescent="0.75">
      <c r="P94" s="11">
        <v>79</v>
      </c>
      <c r="Q94" s="11">
        <f t="shared" si="29"/>
        <v>13</v>
      </c>
      <c r="R94" s="11">
        <f t="shared" si="30"/>
        <v>1</v>
      </c>
      <c r="S94" s="12" t="str" cm="1">
        <f t="array" ref="S94">INDEX('Encounter-ConceptMap-1'!$I$15:$N$271,Q94+1,R94)</f>
        <v>* group[=].element[+].code = #HDREncounter.admission.referringHP.organization</v>
      </c>
    </row>
    <row r="95" spans="16:19" ht="29.5" x14ac:dyDescent="0.75">
      <c r="P95" s="11">
        <v>80</v>
      </c>
      <c r="Q95" s="11">
        <f t="shared" si="29"/>
        <v>13</v>
      </c>
      <c r="R95" s="11">
        <f t="shared" si="30"/>
        <v>2</v>
      </c>
      <c r="S95" s="12" t="str" cm="1">
        <f t="array" ref="S95">INDEX('Encounter-ConceptMap-1'!$I$15:$N$271,Q95+1,R95)</f>
        <v>* group[=].element[=].display = ##34#A.2.3.3.8 - Referring organization [Required]##34#</v>
      </c>
    </row>
    <row r="96" spans="16:19" ht="73.75" x14ac:dyDescent="0.75">
      <c r="P96" s="11">
        <v>81</v>
      </c>
      <c r="Q96" s="11">
        <f t="shared" si="29"/>
        <v>13</v>
      </c>
      <c r="R96" s="11">
        <f t="shared" si="30"/>
        <v>3</v>
      </c>
      <c r="S96" s="12" t="str" cm="1">
        <f t="array" ref="S96">INDEX('Encounter-ConceptMap-1'!$I$15:$N$271,Q96+1,R96)</f>
        <v>* group[=].element[=].target.code = #Encounter.conformsTo('http://hl7.eu/fhir/ig/xpandh/hdr/StructureDefinition/Encounter-eu-xpandh').participant.where(type='REF').individual.resolve().ofType(PractictionerRole).practitioner.resolve().name</v>
      </c>
    </row>
    <row r="97" spans="16:19" x14ac:dyDescent="0.75">
      <c r="P97" s="11">
        <v>82</v>
      </c>
      <c r="Q97" s="11">
        <f t="shared" si="29"/>
        <v>13</v>
      </c>
      <c r="R97" s="11">
        <f t="shared" si="30"/>
        <v>4</v>
      </c>
      <c r="S97" s="12" t="str" cm="1">
        <f t="array" ref="S97">INDEX('Encounter-ConceptMap-1'!$I$15:$N$271,Q97+1,R97)</f>
        <v>* group[=].element[=].target.display = ##34###34#</v>
      </c>
    </row>
    <row r="98" spans="16:19" x14ac:dyDescent="0.75">
      <c r="P98" s="11">
        <v>83</v>
      </c>
      <c r="Q98" s="11">
        <f t="shared" si="29"/>
        <v>13</v>
      </c>
      <c r="R98" s="11">
        <f t="shared" si="30"/>
        <v>5</v>
      </c>
      <c r="S98" s="12" t="str" cm="1">
        <f t="array" ref="S98">INDEX('Encounter-ConceptMap-1'!$I$15:$N$271,Q98+1,R98)</f>
        <v>* group[=].element[=].target.equivalence = #equivalent</v>
      </c>
    </row>
    <row r="99" spans="16:19" x14ac:dyDescent="0.75">
      <c r="P99" s="11">
        <v>84</v>
      </c>
      <c r="Q99" s="11">
        <f t="shared" si="29"/>
        <v>13</v>
      </c>
      <c r="R99" s="11">
        <f t="shared" si="30"/>
        <v>6</v>
      </c>
      <c r="S99" s="12" t="str" cm="1">
        <f t="array" ref="S99">INDEX('Encounter-ConceptMap-1'!$I$15:$N$271,Q99+1,R99)</f>
        <v>* group[=].element[=].target.comment = ##34#to be checked##34#</v>
      </c>
    </row>
    <row r="100" spans="16:19" x14ac:dyDescent="0.75">
      <c r="P100" s="11">
        <v>85</v>
      </c>
      <c r="Q100" s="11">
        <f t="shared" si="29"/>
        <v>14</v>
      </c>
      <c r="R100" s="11">
        <f t="shared" si="30"/>
        <v>1</v>
      </c>
      <c r="S100" s="12" t="str" cm="1">
        <f t="array" ref="S100">INDEX('Encounter-ConceptMap-1'!$I$15:$N$271,Q100+1,R100)</f>
        <v>* group[=].element[+].code = #HDREncounter.reason</v>
      </c>
    </row>
    <row r="101" spans="16:19" x14ac:dyDescent="0.75">
      <c r="P101" s="11">
        <v>86</v>
      </c>
      <c r="Q101" s="11">
        <f t="shared" si="29"/>
        <v>14</v>
      </c>
      <c r="R101" s="11">
        <f t="shared" si="30"/>
        <v>2</v>
      </c>
      <c r="S101" s="12" t="str" cm="1">
        <f t="array" ref="S101">INDEX('Encounter-ConceptMap-1'!$I$15:$N$271,Q101+1,R101)</f>
        <v>* group[=].element[=].display = ##34#A.2.3.4 - Admission reason [Mandatory]##34#</v>
      </c>
    </row>
    <row r="102" spans="16:19" ht="44.25" x14ac:dyDescent="0.75">
      <c r="P102" s="11">
        <v>87</v>
      </c>
      <c r="Q102" s="11">
        <f t="shared" si="29"/>
        <v>14</v>
      </c>
      <c r="R102" s="11">
        <f t="shared" si="30"/>
        <v>3</v>
      </c>
      <c r="S102" s="12" t="str" cm="1">
        <f t="array" ref="S102">INDEX('Encounter-ConceptMap-1'!$I$15:$N$271,Q102+1,R102)</f>
        <v>* group[=].element[=].target.code = #Encounter.conformsTo('http://hl7.eu/fhir/ig/xpandh/hdr/StructureDefinition/Encounter-eu-xpandh').TBC</v>
      </c>
    </row>
    <row r="103" spans="16:19" x14ac:dyDescent="0.75">
      <c r="P103" s="11">
        <v>88</v>
      </c>
      <c r="Q103" s="11">
        <f t="shared" si="29"/>
        <v>14</v>
      </c>
      <c r="R103" s="11">
        <f t="shared" si="30"/>
        <v>4</v>
      </c>
      <c r="S103" s="12" t="str" cm="1">
        <f t="array" ref="S103">INDEX('Encounter-ConceptMap-1'!$I$15:$N$271,Q103+1,R103)</f>
        <v>* group[=].element[=].target.display = ##34###34#</v>
      </c>
    </row>
    <row r="104" spans="16:19" x14ac:dyDescent="0.75">
      <c r="P104" s="11">
        <v>89</v>
      </c>
      <c r="Q104" s="11">
        <f t="shared" si="29"/>
        <v>14</v>
      </c>
      <c r="R104" s="11">
        <f t="shared" si="30"/>
        <v>5</v>
      </c>
      <c r="S104" s="12" t="str" cm="1">
        <f t="array" ref="S104">INDEX('Encounter-ConceptMap-1'!$I$15:$N$271,Q104+1,R104)</f>
        <v>* group[=].element[=].target.equivalence = #relatedto</v>
      </c>
    </row>
    <row r="105" spans="16:19" x14ac:dyDescent="0.75">
      <c r="P105" s="11">
        <v>90</v>
      </c>
      <c r="Q105" s="11">
        <f t="shared" si="29"/>
        <v>14</v>
      </c>
      <c r="R105" s="11">
        <f t="shared" si="30"/>
        <v>6</v>
      </c>
      <c r="S105" s="12" t="str" cm="1">
        <f t="array" ref="S105">INDEX('Encounter-ConceptMap-1'!$I$15:$N$271,Q105+1,R105)</f>
        <v>* group[=].element[=].target.comment = ##34#to be completed##34#</v>
      </c>
    </row>
    <row r="106" spans="16:19" x14ac:dyDescent="0.75">
      <c r="P106" s="11">
        <v>91</v>
      </c>
      <c r="Q106" s="11">
        <f t="shared" si="29"/>
        <v>15</v>
      </c>
      <c r="R106" s="11">
        <f t="shared" si="30"/>
        <v>1</v>
      </c>
      <c r="S106" s="12" t="str" cm="1">
        <f t="array" ref="S106">INDEX('Encounter-ConceptMap-1'!$I$15:$N$271,Q106+1,R106)</f>
        <v>* group[=].element[+].code = #HDREncounter.reason.code</v>
      </c>
    </row>
    <row r="107" spans="16:19" x14ac:dyDescent="0.75">
      <c r="P107" s="11">
        <v>92</v>
      </c>
      <c r="Q107" s="11">
        <f t="shared" si="29"/>
        <v>15</v>
      </c>
      <c r="R107" s="11">
        <f t="shared" si="30"/>
        <v>2</v>
      </c>
      <c r="S107" s="12" t="str" cm="1">
        <f t="array" ref="S107">INDEX('Encounter-ConceptMap-1'!$I$15:$N$271,Q107+1,R107)</f>
        <v>* group[=].element[=].display = ##34#A.2.3.4.1 - Admission reason [Required]##34#</v>
      </c>
    </row>
    <row r="108" spans="16:19" ht="44.25" x14ac:dyDescent="0.75">
      <c r="P108" s="11">
        <v>93</v>
      </c>
      <c r="Q108" s="11">
        <f t="shared" si="29"/>
        <v>15</v>
      </c>
      <c r="R108" s="11">
        <f t="shared" si="30"/>
        <v>3</v>
      </c>
      <c r="S108" s="12" t="str" cm="1">
        <f t="array" ref="S108">INDEX('Encounter-ConceptMap-1'!$I$15:$N$271,Q108+1,R108)</f>
        <v>* group[=].element[=].target.code = #Encounter.conformsTo('http://hl7.eu/fhir/ig/xpandh/hdr/StructureDefinition/Encounter-eu-xpandh').reasonCode</v>
      </c>
    </row>
    <row r="109" spans="16:19" x14ac:dyDescent="0.75">
      <c r="P109" s="11">
        <v>94</v>
      </c>
      <c r="Q109" s="11">
        <f t="shared" si="29"/>
        <v>15</v>
      </c>
      <c r="R109" s="11">
        <f t="shared" si="30"/>
        <v>4</v>
      </c>
      <c r="S109" s="12" t="str" cm="1">
        <f t="array" ref="S109">INDEX('Encounter-ConceptMap-1'!$I$15:$N$271,Q109+1,R109)</f>
        <v>* group[=].element[=].target.display = ##34###34#</v>
      </c>
    </row>
    <row r="110" spans="16:19" x14ac:dyDescent="0.75">
      <c r="P110" s="11">
        <v>95</v>
      </c>
      <c r="Q110" s="11">
        <f t="shared" si="29"/>
        <v>15</v>
      </c>
      <c r="R110" s="11">
        <f t="shared" si="30"/>
        <v>5</v>
      </c>
      <c r="S110" s="12" t="str" cm="1">
        <f t="array" ref="S110">INDEX('Encounter-ConceptMap-1'!$I$15:$N$271,Q110+1,R110)</f>
        <v>* group[=].element[=].target.equivalence = #equal</v>
      </c>
    </row>
    <row r="111" spans="16:19" x14ac:dyDescent="0.75">
      <c r="P111" s="11">
        <v>96</v>
      </c>
      <c r="Q111" s="11">
        <f t="shared" si="29"/>
        <v>15</v>
      </c>
      <c r="R111" s="11">
        <f t="shared" si="30"/>
        <v>6</v>
      </c>
      <c r="S111" s="12" t="str" cm="1">
        <f t="array" ref="S111">INDEX('Encounter-ConceptMap-1'!$I$15:$N$271,Q111+1,R111)</f>
        <v/>
      </c>
    </row>
    <row r="112" spans="16:19" x14ac:dyDescent="0.75">
      <c r="P112" s="11">
        <v>97</v>
      </c>
      <c r="Q112" s="11">
        <f t="shared" si="29"/>
        <v>16</v>
      </c>
      <c r="R112" s="11">
        <f t="shared" si="30"/>
        <v>1</v>
      </c>
      <c r="S112" s="12" t="str" cm="1">
        <f t="array" ref="S112">INDEX('Encounter-ConceptMap-1'!$I$15:$N$271,Q112+1,R112)</f>
        <v>* group[=].element[+].code = #HDREncounter.reason.comment</v>
      </c>
    </row>
    <row r="113" spans="16:19" ht="29.5" x14ac:dyDescent="0.75">
      <c r="P113" s="11">
        <v>98</v>
      </c>
      <c r="Q113" s="11">
        <f t="shared" si="29"/>
        <v>16</v>
      </c>
      <c r="R113" s="11">
        <f t="shared" si="30"/>
        <v>2</v>
      </c>
      <c r="S113" s="12" t="str" cm="1">
        <f t="array" ref="S113">INDEX('Encounter-ConceptMap-1'!$I$15:$N$271,Q113+1,R113)</f>
        <v>* group[=].element[=].display = ##34#A.2.3.4.2 - Admission reason comment [Optional]##34#</v>
      </c>
    </row>
    <row r="114" spans="16:19" ht="44.25" x14ac:dyDescent="0.75">
      <c r="P114" s="11">
        <v>99</v>
      </c>
      <c r="Q114" s="11">
        <f t="shared" si="29"/>
        <v>16</v>
      </c>
      <c r="R114" s="11">
        <f t="shared" si="30"/>
        <v>3</v>
      </c>
      <c r="S114" s="12" t="str" cm="1">
        <f t="array" ref="S114">INDEX('Encounter-ConceptMap-1'!$I$15:$N$271,Q114+1,R114)</f>
        <v>* group[=].element[=].target.code = #Encounter.conformsTo('http://hl7.eu/fhir/ig/xpandh/hdr/StructureDefinition/Encounter-eu-xpandh').reasonCode.text</v>
      </c>
    </row>
    <row r="115" spans="16:19" x14ac:dyDescent="0.75">
      <c r="P115" s="11">
        <v>100</v>
      </c>
      <c r="Q115" s="11">
        <f t="shared" si="29"/>
        <v>16</v>
      </c>
      <c r="R115" s="11">
        <f t="shared" si="30"/>
        <v>4</v>
      </c>
      <c r="S115" s="12" t="str" cm="1">
        <f t="array" ref="S115">INDEX('Encounter-ConceptMap-1'!$I$15:$N$271,Q115+1,R115)</f>
        <v>* group[=].element[=].target.display = ##34###34#</v>
      </c>
    </row>
    <row r="116" spans="16:19" x14ac:dyDescent="0.75">
      <c r="P116" s="11">
        <v>101</v>
      </c>
      <c r="Q116" s="11">
        <f t="shared" si="29"/>
        <v>16</v>
      </c>
      <c r="R116" s="11">
        <f t="shared" si="30"/>
        <v>5</v>
      </c>
      <c r="S116" s="12" t="str" cm="1">
        <f t="array" ref="S116">INDEX('Encounter-ConceptMap-1'!$I$15:$N$271,Q116+1,R116)</f>
        <v>* group[=].element[=].target.equivalence = #equivalent</v>
      </c>
    </row>
    <row r="117" spans="16:19" x14ac:dyDescent="0.75">
      <c r="P117" s="11">
        <v>102</v>
      </c>
      <c r="Q117" s="11">
        <f t="shared" si="29"/>
        <v>16</v>
      </c>
      <c r="R117" s="11">
        <f t="shared" si="30"/>
        <v>6</v>
      </c>
      <c r="S117" s="12" t="str" cm="1">
        <f t="array" ref="S117">INDEX('Encounter-ConceptMap-1'!$I$15:$N$271,Q117+1,R117)</f>
        <v>* group[=].element[=].target.comment = ##34#to be checked##34#</v>
      </c>
    </row>
    <row r="118" spans="16:19" x14ac:dyDescent="0.75">
      <c r="P118" s="11">
        <v>103</v>
      </c>
      <c r="Q118" s="11">
        <f t="shared" si="29"/>
        <v>17</v>
      </c>
      <c r="R118" s="11">
        <f t="shared" si="30"/>
        <v>1</v>
      </c>
      <c r="S118" s="12" t="str" cm="1">
        <f t="array" ref="S118">INDEX('Encounter-ConceptMap-1'!$I$15:$N$271,Q118+1,R118)</f>
        <v>* group[=].element[+].code = #HDREncounter.reason.legalStatus</v>
      </c>
    </row>
    <row r="119" spans="16:19" ht="29.5" x14ac:dyDescent="0.75">
      <c r="P119" s="11">
        <v>104</v>
      </c>
      <c r="Q119" s="11">
        <f t="shared" si="29"/>
        <v>17</v>
      </c>
      <c r="R119" s="11">
        <f t="shared" si="30"/>
        <v>2</v>
      </c>
      <c r="S119" s="12" t="str" cm="1">
        <f t="array" ref="S119">INDEX('Encounter-ConceptMap-1'!$I$15:$N$271,Q119+1,R119)</f>
        <v>* group[=].element[=].display = ##34#A.2.3.4.3 - Admission legal status [Required]##34#</v>
      </c>
    </row>
    <row r="120" spans="16:19" ht="44.25" x14ac:dyDescent="0.75">
      <c r="P120" s="11">
        <v>105</v>
      </c>
      <c r="Q120" s="11">
        <f t="shared" si="29"/>
        <v>17</v>
      </c>
      <c r="R120" s="11">
        <f t="shared" si="30"/>
        <v>3</v>
      </c>
      <c r="S120" s="12" t="str" cm="1">
        <f t="array" ref="S120">INDEX('Encounter-ConceptMap-1'!$I$15:$N$271,Q120+1,R120)</f>
        <v>* group[=].element[=].target.code = #Encounter.conformsTo('http://hl7.eu/fhir/ig/xpandh/hdr/StructureDefinition/Encounter-eu-xpandh').TBD</v>
      </c>
    </row>
    <row r="121" spans="16:19" x14ac:dyDescent="0.75">
      <c r="P121" s="11">
        <v>106</v>
      </c>
      <c r="Q121" s="11">
        <f t="shared" si="29"/>
        <v>17</v>
      </c>
      <c r="R121" s="11">
        <f t="shared" si="30"/>
        <v>4</v>
      </c>
      <c r="S121" s="12" t="str" cm="1">
        <f t="array" ref="S121">INDEX('Encounter-ConceptMap-1'!$I$15:$N$271,Q121+1,R121)</f>
        <v>* group[=].element[=].target.display = ##34###34#</v>
      </c>
    </row>
    <row r="122" spans="16:19" x14ac:dyDescent="0.75">
      <c r="P122" s="11">
        <v>107</v>
      </c>
      <c r="Q122" s="11">
        <f t="shared" si="29"/>
        <v>17</v>
      </c>
      <c r="R122" s="11">
        <f t="shared" si="30"/>
        <v>5</v>
      </c>
      <c r="S122" s="12" t="str" cm="1">
        <f t="array" ref="S122">INDEX('Encounter-ConceptMap-1'!$I$15:$N$271,Q122+1,R122)</f>
        <v>* group[=].element[=].target.equivalence = #relatedto</v>
      </c>
    </row>
    <row r="123" spans="16:19" x14ac:dyDescent="0.75">
      <c r="P123" s="11">
        <v>108</v>
      </c>
      <c r="Q123" s="11">
        <f t="shared" si="29"/>
        <v>17</v>
      </c>
      <c r="R123" s="11">
        <f t="shared" si="30"/>
        <v>6</v>
      </c>
      <c r="S123" s="12" t="str" cm="1">
        <f t="array" ref="S123">INDEX('Encounter-ConceptMap-1'!$I$15:$N$271,Q123+1,R123)</f>
        <v/>
      </c>
    </row>
    <row r="124" spans="16:19" x14ac:dyDescent="0.75">
      <c r="P124" s="11">
        <v>109</v>
      </c>
      <c r="Q124" s="11">
        <f t="shared" si="29"/>
        <v>18</v>
      </c>
      <c r="R124" s="11">
        <f t="shared" si="30"/>
        <v>1</v>
      </c>
      <c r="S124" s="12" t="str" cm="1">
        <f t="array" ref="S124">INDEX('Encounter-ConceptMap-1'!$I$15:$N$271,Q124+1,R124)</f>
        <v>* group[=].element[+].code = #HDREncounter.discharge</v>
      </c>
    </row>
    <row r="125" spans="16:19" x14ac:dyDescent="0.75">
      <c r="P125" s="11">
        <v>110</v>
      </c>
      <c r="Q125" s="11">
        <f t="shared" si="29"/>
        <v>18</v>
      </c>
      <c r="R125" s="11">
        <f t="shared" si="30"/>
        <v>2</v>
      </c>
      <c r="S125" s="12" t="str" cm="1">
        <f t="array" ref="S125">INDEX('Encounter-ConceptMap-1'!$I$15:$N$271,Q125+1,R125)</f>
        <v>* group[=].element[=].display = ##34#A.2.3.5 - Discharge [Mandatory]##34#</v>
      </c>
    </row>
    <row r="126" spans="16:19" ht="44.25" x14ac:dyDescent="0.75">
      <c r="P126" s="11">
        <v>111</v>
      </c>
      <c r="Q126" s="11">
        <f t="shared" si="29"/>
        <v>18</v>
      </c>
      <c r="R126" s="11">
        <f t="shared" si="30"/>
        <v>3</v>
      </c>
      <c r="S126" s="12" t="str" cm="1">
        <f t="array" ref="S126">INDEX('Encounter-ConceptMap-1'!$I$15:$N$271,Q126+1,R126)</f>
        <v>* group[=].element[=].target.code = #Encounter.conformsTo('http://hl7.eu/fhir/ig/xpandh/hdr/StructureDefinition/Encounter-eu-xpandh').TBC</v>
      </c>
    </row>
    <row r="127" spans="16:19" x14ac:dyDescent="0.75">
      <c r="P127" s="11">
        <v>112</v>
      </c>
      <c r="Q127" s="11">
        <f t="shared" si="29"/>
        <v>18</v>
      </c>
      <c r="R127" s="11">
        <f t="shared" si="30"/>
        <v>4</v>
      </c>
      <c r="S127" s="12" t="str" cm="1">
        <f t="array" ref="S127">INDEX('Encounter-ConceptMap-1'!$I$15:$N$271,Q127+1,R127)</f>
        <v>* group[=].element[=].target.display = ##34###34#</v>
      </c>
    </row>
    <row r="128" spans="16:19" x14ac:dyDescent="0.75">
      <c r="P128" s="11">
        <v>113</v>
      </c>
      <c r="Q128" s="11">
        <f t="shared" si="29"/>
        <v>18</v>
      </c>
      <c r="R128" s="11">
        <f t="shared" si="30"/>
        <v>5</v>
      </c>
      <c r="S128" s="12" t="str" cm="1">
        <f t="array" ref="S128">INDEX('Encounter-ConceptMap-1'!$I$15:$N$271,Q128+1,R128)</f>
        <v>* group[=].element[=].target.equivalence = #relatedto</v>
      </c>
    </row>
    <row r="129" spans="16:19" x14ac:dyDescent="0.75">
      <c r="P129" s="11">
        <v>114</v>
      </c>
      <c r="Q129" s="11">
        <f t="shared" si="29"/>
        <v>18</v>
      </c>
      <c r="R129" s="11">
        <f t="shared" si="30"/>
        <v>6</v>
      </c>
      <c r="S129" s="12" t="str" cm="1">
        <f t="array" ref="S129">INDEX('Encounter-ConceptMap-1'!$I$15:$N$271,Q129+1,R129)</f>
        <v>* group[=].element[=].target.comment = ##34#to be completed##34#</v>
      </c>
    </row>
    <row r="130" spans="16:19" x14ac:dyDescent="0.75">
      <c r="P130" s="11">
        <v>115</v>
      </c>
      <c r="Q130" s="11">
        <f t="shared" si="29"/>
        <v>19</v>
      </c>
      <c r="R130" s="11">
        <f t="shared" si="30"/>
        <v>1</v>
      </c>
      <c r="S130" s="12" t="str" cm="1">
        <f t="array" ref="S130">INDEX('Encounter-ConceptMap-1'!$I$15:$N$271,Q130+1,R130)</f>
        <v>* group[=].element[+].code = #HDREncounter.discharge.dateTime</v>
      </c>
    </row>
    <row r="131" spans="16:19" x14ac:dyDescent="0.75">
      <c r="P131" s="11">
        <v>116</v>
      </c>
      <c r="Q131" s="11">
        <f t="shared" si="29"/>
        <v>19</v>
      </c>
      <c r="R131" s="11">
        <f t="shared" si="30"/>
        <v>2</v>
      </c>
      <c r="S131" s="12" t="str" cm="1">
        <f t="array" ref="S131">INDEX('Encounter-ConceptMap-1'!$I$15:$N$271,Q131+1,R131)</f>
        <v>* group[=].element[=].display = ##34#A.2.3.5.1 - Discharge date [Mandatory]##34#</v>
      </c>
    </row>
    <row r="132" spans="16:19" ht="44.25" x14ac:dyDescent="0.75">
      <c r="P132" s="11">
        <v>117</v>
      </c>
      <c r="Q132" s="11">
        <f t="shared" ref="Q132:Q195" si="31">IF(MOD(P132,$Q$8)=0,P132/$Q$8-1,INT(P132/$Q$8))</f>
        <v>19</v>
      </c>
      <c r="R132" s="11">
        <f t="shared" ref="R132:R195" si="32">IF(MOD(P132,$Q$8)=0,$Q$8,MOD(P132,$Q$8))</f>
        <v>3</v>
      </c>
      <c r="S132" s="12" t="str" cm="1">
        <f t="array" ref="S132">INDEX('Encounter-ConceptMap-1'!$I$15:$N$271,Q132+1,R132)</f>
        <v>* group[=].element[=].target.code = #Encounter.conformsTo('http://hl7.eu/fhir/ig/xpandh/hdr/StructureDefinition/Encounter-eu-xpandh').period.end</v>
      </c>
    </row>
    <row r="133" spans="16:19" x14ac:dyDescent="0.75">
      <c r="P133" s="11">
        <v>118</v>
      </c>
      <c r="Q133" s="11">
        <f t="shared" si="31"/>
        <v>19</v>
      </c>
      <c r="R133" s="11">
        <f t="shared" si="32"/>
        <v>4</v>
      </c>
      <c r="S133" s="12" t="str" cm="1">
        <f t="array" ref="S133">INDEX('Encounter-ConceptMap-1'!$I$15:$N$271,Q133+1,R133)</f>
        <v>* group[=].element[=].target.display = ##34###34#</v>
      </c>
    </row>
    <row r="134" spans="16:19" x14ac:dyDescent="0.75">
      <c r="P134" s="11">
        <v>119</v>
      </c>
      <c r="Q134" s="11">
        <f t="shared" si="31"/>
        <v>19</v>
      </c>
      <c r="R134" s="11">
        <f t="shared" si="32"/>
        <v>5</v>
      </c>
      <c r="S134" s="12" t="str" cm="1">
        <f t="array" ref="S134">INDEX('Encounter-ConceptMap-1'!$I$15:$N$271,Q134+1,R134)</f>
        <v>* group[=].element[=].target.equivalence = #equivalent</v>
      </c>
    </row>
    <row r="135" spans="16:19" x14ac:dyDescent="0.75">
      <c r="P135" s="11">
        <v>120</v>
      </c>
      <c r="Q135" s="11">
        <f t="shared" si="31"/>
        <v>19</v>
      </c>
      <c r="R135" s="11">
        <f t="shared" si="32"/>
        <v>6</v>
      </c>
      <c r="S135" s="12" t="str" cm="1">
        <f t="array" ref="S135">INDEX('Encounter-ConceptMap-1'!$I$15:$N$271,Q135+1,R135)</f>
        <v>* group[=].element[=].target.comment = ##34#to be checked##34#</v>
      </c>
    </row>
    <row r="136" spans="16:19" x14ac:dyDescent="0.75">
      <c r="P136" s="11">
        <v>121</v>
      </c>
      <c r="Q136" s="11">
        <f t="shared" si="31"/>
        <v>20</v>
      </c>
      <c r="R136" s="11">
        <f t="shared" si="32"/>
        <v>1</v>
      </c>
      <c r="S136" s="12" t="str" cm="1">
        <f t="array" ref="S136">INDEX('Encounter-ConceptMap-1'!$I$15:$N$271,Q136+1,R136)</f>
        <v>* group[=].element[+].code = #HDREncounter.discharge.destinationType</v>
      </c>
    </row>
    <row r="137" spans="16:19" ht="29.5" x14ac:dyDescent="0.75">
      <c r="P137" s="11">
        <v>122</v>
      </c>
      <c r="Q137" s="11">
        <f t="shared" si="31"/>
        <v>20</v>
      </c>
      <c r="R137" s="11">
        <f t="shared" si="32"/>
        <v>2</v>
      </c>
      <c r="S137" s="12" t="str" cm="1">
        <f t="array" ref="S137">INDEX('Encounter-ConceptMap-1'!$I$15:$N$271,Q137+1,R137)</f>
        <v>* group[=].element[=].display = ##34#A.2.3.5.2 - Discharge destination type [Required]##34#</v>
      </c>
    </row>
    <row r="138" spans="16:19" ht="44.25" x14ac:dyDescent="0.75">
      <c r="P138" s="11">
        <v>123</v>
      </c>
      <c r="Q138" s="11">
        <f t="shared" si="31"/>
        <v>20</v>
      </c>
      <c r="R138" s="11">
        <f t="shared" si="32"/>
        <v>3</v>
      </c>
      <c r="S138" s="12" t="str" cm="1">
        <f t="array" ref="S138">INDEX('Encounter-ConceptMap-1'!$I$15:$N$271,Q138+1,R138)</f>
        <v>* group[=].element[=].target.code = #Encounter.conformsTo('http://hl7.eu/fhir/ig/xpandh/hdr/StructureDefinition/Encounter-eu-xpandh').hospitalization.dischargeDisposition</v>
      </c>
    </row>
    <row r="139" spans="16:19" x14ac:dyDescent="0.75">
      <c r="P139" s="11">
        <v>124</v>
      </c>
      <c r="Q139" s="11">
        <f t="shared" si="31"/>
        <v>20</v>
      </c>
      <c r="R139" s="11">
        <f t="shared" si="32"/>
        <v>4</v>
      </c>
      <c r="S139" s="12" t="str" cm="1">
        <f t="array" ref="S139">INDEX('Encounter-ConceptMap-1'!$I$15:$N$271,Q139+1,R139)</f>
        <v>* group[=].element[=].target.display = ##34###34#</v>
      </c>
    </row>
    <row r="140" spans="16:19" x14ac:dyDescent="0.75">
      <c r="P140" s="11">
        <v>125</v>
      </c>
      <c r="Q140" s="11">
        <f t="shared" si="31"/>
        <v>20</v>
      </c>
      <c r="R140" s="11">
        <f t="shared" si="32"/>
        <v>5</v>
      </c>
      <c r="S140" s="12" t="str" cm="1">
        <f t="array" ref="S140">INDEX('Encounter-ConceptMap-1'!$I$15:$N$271,Q140+1,R140)</f>
        <v>* group[=].element[=].target.equivalence = #relatedto</v>
      </c>
    </row>
    <row r="141" spans="16:19" x14ac:dyDescent="0.75">
      <c r="P141" s="11">
        <v>126</v>
      </c>
      <c r="Q141" s="11">
        <f t="shared" si="31"/>
        <v>20</v>
      </c>
      <c r="R141" s="11">
        <f t="shared" si="32"/>
        <v>6</v>
      </c>
      <c r="S141" s="12" t="str" cm="1">
        <f t="array" ref="S141">INDEX('Encounter-ConceptMap-1'!$I$15:$N$271,Q141+1,R141)</f>
        <v>* group[=].element[=].target.comment = ##34#to be checked##34#</v>
      </c>
    </row>
    <row r="142" spans="16:19" x14ac:dyDescent="0.75">
      <c r="P142" s="11">
        <v>127</v>
      </c>
      <c r="Q142" s="11">
        <f t="shared" si="31"/>
        <v>21</v>
      </c>
      <c r="R142" s="11">
        <f t="shared" si="32"/>
        <v>1</v>
      </c>
      <c r="S142" s="12" t="str" cm="1">
        <f t="array" ref="S142">INDEX('Encounter-ConceptMap-1'!$I$15:$N$271,Q142+1,R142)</f>
        <v>* group[=].element[+].code = #HDREncounter.discharge.destinationLocation</v>
      </c>
    </row>
    <row r="143" spans="16:19" ht="29.5" x14ac:dyDescent="0.75">
      <c r="P143" s="11">
        <v>128</v>
      </c>
      <c r="Q143" s="11">
        <f t="shared" si="31"/>
        <v>21</v>
      </c>
      <c r="R143" s="11">
        <f t="shared" si="32"/>
        <v>2</v>
      </c>
      <c r="S143" s="12" t="str" cm="1">
        <f t="array" ref="S143">INDEX('Encounter-ConceptMap-1'!$I$15:$N$271,Q143+1,R143)</f>
        <v>* group[=].element[=].display = ##34#A.2.3.5.3 - Destination location [Required]##34#</v>
      </c>
    </row>
    <row r="144" spans="16:19" ht="44.25" x14ac:dyDescent="0.75">
      <c r="P144" s="11">
        <v>129</v>
      </c>
      <c r="Q144" s="11">
        <f t="shared" si="31"/>
        <v>21</v>
      </c>
      <c r="R144" s="11">
        <f t="shared" si="32"/>
        <v>3</v>
      </c>
      <c r="S144" s="12" t="str" cm="1">
        <f t="array" ref="S144">INDEX('Encounter-ConceptMap-1'!$I$15:$N$271,Q144+1,R144)</f>
        <v>* group[=].element[=].target.code = #Encounter.conformsTo('http://hl7.eu/fhir/ig/xpandh/hdr/StructureDefinition/Encounter-eu-xpandh').TBD</v>
      </c>
    </row>
    <row r="145" spans="16:19" x14ac:dyDescent="0.75">
      <c r="P145" s="11">
        <v>130</v>
      </c>
      <c r="Q145" s="11">
        <f t="shared" si="31"/>
        <v>21</v>
      </c>
      <c r="R145" s="11">
        <f t="shared" si="32"/>
        <v>4</v>
      </c>
      <c r="S145" s="12" t="str" cm="1">
        <f t="array" ref="S145">INDEX('Encounter-ConceptMap-1'!$I$15:$N$271,Q145+1,R145)</f>
        <v>* group[=].element[=].target.display = ##34###34#</v>
      </c>
    </row>
    <row r="146" spans="16:19" x14ac:dyDescent="0.75">
      <c r="P146" s="11">
        <v>131</v>
      </c>
      <c r="Q146" s="11">
        <f t="shared" si="31"/>
        <v>21</v>
      </c>
      <c r="R146" s="11">
        <f t="shared" si="32"/>
        <v>5</v>
      </c>
      <c r="S146" s="12" t="str" cm="1">
        <f t="array" ref="S146">INDEX('Encounter-ConceptMap-1'!$I$15:$N$271,Q146+1,R146)</f>
        <v>* group[=].element[=].target.equivalence = #relatedto</v>
      </c>
    </row>
    <row r="147" spans="16:19" x14ac:dyDescent="0.75">
      <c r="P147" s="11">
        <v>132</v>
      </c>
      <c r="Q147" s="11">
        <f t="shared" si="31"/>
        <v>21</v>
      </c>
      <c r="R147" s="11">
        <f t="shared" si="32"/>
        <v>6</v>
      </c>
      <c r="S147" s="12" t="str" cm="1">
        <f t="array" ref="S147">INDEX('Encounter-ConceptMap-1'!$I$15:$N$271,Q147+1,R147)</f>
        <v>* group[=].element[=].target.comment = ##34#to be checked##34#</v>
      </c>
    </row>
    <row r="148" spans="16:19" x14ac:dyDescent="0.75">
      <c r="P148" s="11">
        <v>133</v>
      </c>
      <c r="Q148" s="11">
        <f t="shared" si="31"/>
        <v>22</v>
      </c>
      <c r="R148" s="11">
        <f t="shared" si="32"/>
        <v>1</v>
      </c>
      <c r="S148" s="12" t="str" cm="1">
        <f t="array" ref="S148">INDEX('Encounter-ConceptMap-1'!$I$15:$N$271,Q148+1,R148)</f>
        <v>* group[=].element[+].code = #HDREncounter.location</v>
      </c>
    </row>
    <row r="149" spans="16:19" ht="29.5" x14ac:dyDescent="0.75">
      <c r="P149" s="11">
        <v>134</v>
      </c>
      <c r="Q149" s="11">
        <f t="shared" si="31"/>
        <v>22</v>
      </c>
      <c r="R149" s="11">
        <f t="shared" si="32"/>
        <v>2</v>
      </c>
      <c r="S149" s="12" t="str" cm="1">
        <f t="array" ref="S149">INDEX('Encounter-ConceptMap-1'!$I$15:$N$271,Q149+1,R149)</f>
        <v>* group[=].element[=].display = ##34#A.2.3.6 - Location - All locations/departments where the patient stayed within the hospital. [Required]##34#</v>
      </c>
    </row>
    <row r="150" spans="16:19" ht="44.25" x14ac:dyDescent="0.75">
      <c r="P150" s="11">
        <v>135</v>
      </c>
      <c r="Q150" s="11">
        <f t="shared" si="31"/>
        <v>22</v>
      </c>
      <c r="R150" s="11">
        <f t="shared" si="32"/>
        <v>3</v>
      </c>
      <c r="S150" s="12" t="str" cm="1">
        <f t="array" ref="S150">INDEX('Encounter-ConceptMap-1'!$I$15:$N$271,Q150+1,R150)</f>
        <v>* group[=].element[=].target.code = #Encounter.conformsTo('http://hl7.eu/fhir/ig/xpandh/hdr/StructureDefinition/Encounter-eu-xpandh').location</v>
      </c>
    </row>
    <row r="151" spans="16:19" x14ac:dyDescent="0.75">
      <c r="P151" s="11">
        <v>136</v>
      </c>
      <c r="Q151" s="11">
        <f t="shared" si="31"/>
        <v>22</v>
      </c>
      <c r="R151" s="11">
        <f t="shared" si="32"/>
        <v>4</v>
      </c>
      <c r="S151" s="12" t="str" cm="1">
        <f t="array" ref="S151">INDEX('Encounter-ConceptMap-1'!$I$15:$N$271,Q151+1,R151)</f>
        <v>* group[=].element[=].target.display = ##34###34#</v>
      </c>
    </row>
    <row r="152" spans="16:19" x14ac:dyDescent="0.75">
      <c r="P152" s="11">
        <v>137</v>
      </c>
      <c r="Q152" s="11">
        <f t="shared" si="31"/>
        <v>22</v>
      </c>
      <c r="R152" s="11">
        <f t="shared" si="32"/>
        <v>5</v>
      </c>
      <c r="S152" s="12" t="str" cm="1">
        <f t="array" ref="S152">INDEX('Encounter-ConceptMap-1'!$I$15:$N$271,Q152+1,R152)</f>
        <v>* group[=].element[=].target.equivalence = #equivalent</v>
      </c>
    </row>
    <row r="153" spans="16:19" x14ac:dyDescent="0.75">
      <c r="P153" s="11">
        <v>138</v>
      </c>
      <c r="Q153" s="11">
        <f t="shared" si="31"/>
        <v>22</v>
      </c>
      <c r="R153" s="11">
        <f t="shared" si="32"/>
        <v>6</v>
      </c>
      <c r="S153" s="12" t="str" cm="1">
        <f t="array" ref="S153">INDEX('Encounter-ConceptMap-1'!$I$15:$N$271,Q153+1,R153)</f>
        <v/>
      </c>
    </row>
    <row r="154" spans="16:19" x14ac:dyDescent="0.75">
      <c r="P154" s="11">
        <v>139</v>
      </c>
      <c r="Q154" s="11">
        <f t="shared" si="31"/>
        <v>23</v>
      </c>
      <c r="R154" s="11">
        <f t="shared" si="32"/>
        <v>1</v>
      </c>
      <c r="S154" s="12" t="str" cm="1">
        <f t="array" ref="S154">INDEX('Encounter-ConceptMap-1'!$I$15:$N$271,Q154+1,R154)</f>
        <v>* group[=].element[+].code = #HDREncounter.location.period</v>
      </c>
    </row>
    <row r="155" spans="16:19" x14ac:dyDescent="0.75">
      <c r="P155" s="11">
        <v>140</v>
      </c>
      <c r="Q155" s="11">
        <f t="shared" si="31"/>
        <v>23</v>
      </c>
      <c r="R155" s="11">
        <f t="shared" si="32"/>
        <v>2</v>
      </c>
      <c r="S155" s="12" t="str" cm="1">
        <f t="array" ref="S155">INDEX('Encounter-ConceptMap-1'!$I$15:$N$271,Q155+1,R155)</f>
        <v>* group[=].element[=].display = ##34#A.2.3.6.1 - Period [Mandatory]##34#</v>
      </c>
    </row>
    <row r="156" spans="16:19" ht="44.25" x14ac:dyDescent="0.75">
      <c r="P156" s="11">
        <v>141</v>
      </c>
      <c r="Q156" s="11">
        <f t="shared" si="31"/>
        <v>23</v>
      </c>
      <c r="R156" s="11">
        <f t="shared" si="32"/>
        <v>3</v>
      </c>
      <c r="S156" s="12" t="str" cm="1">
        <f t="array" ref="S156">INDEX('Encounter-ConceptMap-1'!$I$15:$N$271,Q156+1,R156)</f>
        <v>* group[=].element[=].target.code = #Encounter.conformsTo('http://hl7.eu/fhir/ig/xpandh/hdr/StructureDefinition/Encounter-eu-xpandh').location.period</v>
      </c>
    </row>
    <row r="157" spans="16:19" x14ac:dyDescent="0.75">
      <c r="P157" s="11">
        <v>142</v>
      </c>
      <c r="Q157" s="11">
        <f t="shared" si="31"/>
        <v>23</v>
      </c>
      <c r="R157" s="11">
        <f t="shared" si="32"/>
        <v>4</v>
      </c>
      <c r="S157" s="12" t="str" cm="1">
        <f t="array" ref="S157">INDEX('Encounter-ConceptMap-1'!$I$15:$N$271,Q157+1,R157)</f>
        <v>* group[=].element[=].target.display = ##34###34#</v>
      </c>
    </row>
    <row r="158" spans="16:19" x14ac:dyDescent="0.75">
      <c r="P158" s="11">
        <v>143</v>
      </c>
      <c r="Q158" s="11">
        <f t="shared" si="31"/>
        <v>23</v>
      </c>
      <c r="R158" s="11">
        <f t="shared" si="32"/>
        <v>5</v>
      </c>
      <c r="S158" s="12" t="str" cm="1">
        <f t="array" ref="S158">INDEX('Encounter-ConceptMap-1'!$I$15:$N$271,Q158+1,R158)</f>
        <v>* group[=].element[=].target.equivalence = #relatedto</v>
      </c>
    </row>
    <row r="159" spans="16:19" x14ac:dyDescent="0.75">
      <c r="P159" s="11">
        <v>144</v>
      </c>
      <c r="Q159" s="11">
        <f t="shared" si="31"/>
        <v>23</v>
      </c>
      <c r="R159" s="11">
        <f t="shared" si="32"/>
        <v>6</v>
      </c>
      <c r="S159" s="12" t="str" cm="1">
        <f t="array" ref="S159">INDEX('Encounter-ConceptMap-1'!$I$15:$N$271,Q159+1,R159)</f>
        <v/>
      </c>
    </row>
    <row r="160" spans="16:19" x14ac:dyDescent="0.75">
      <c r="P160" s="11">
        <v>145</v>
      </c>
      <c r="Q160" s="11">
        <f t="shared" si="31"/>
        <v>24</v>
      </c>
      <c r="R160" s="11">
        <f t="shared" si="32"/>
        <v>1</v>
      </c>
      <c r="S160" s="12" t="str" cm="1">
        <f t="array" ref="S160">INDEX('Encounter-ConceptMap-1'!$I$15:$N$271,Q160+1,R160)</f>
        <v>* group[=].element[+].code = #HDREncounter.location.organization</v>
      </c>
    </row>
    <row r="161" spans="16:19" x14ac:dyDescent="0.75">
      <c r="P161" s="11">
        <v>146</v>
      </c>
      <c r="Q161" s="11">
        <f t="shared" si="31"/>
        <v>24</v>
      </c>
      <c r="R161" s="11">
        <f t="shared" si="32"/>
        <v>2</v>
      </c>
      <c r="S161" s="12" t="str" cm="1">
        <f t="array" ref="S161">INDEX('Encounter-ConceptMap-1'!$I$15:$N$271,Q161+1,R161)</f>
        <v>* group[=].element[=].display = ##34# - Organization Id []##34#</v>
      </c>
    </row>
    <row r="162" spans="16:19" ht="44.25" x14ac:dyDescent="0.75">
      <c r="P162" s="11">
        <v>147</v>
      </c>
      <c r="Q162" s="11">
        <f t="shared" si="31"/>
        <v>24</v>
      </c>
      <c r="R162" s="11">
        <f t="shared" si="32"/>
        <v>3</v>
      </c>
      <c r="S162" s="12" t="str" cm="1">
        <f t="array" ref="S162">INDEX('Encounter-ConceptMap-1'!$I$15:$N$271,Q162+1,R162)</f>
        <v>* group[=].element[=].target.code = #Encounter.conformsTo('http://hl7.eu/fhir/ig/xpandh/hdr/StructureDefinition/Encounter-eu-xpandh').TBD</v>
      </c>
    </row>
    <row r="163" spans="16:19" x14ac:dyDescent="0.75">
      <c r="P163" s="11">
        <v>148</v>
      </c>
      <c r="Q163" s="11">
        <f t="shared" si="31"/>
        <v>24</v>
      </c>
      <c r="R163" s="11">
        <f t="shared" si="32"/>
        <v>4</v>
      </c>
      <c r="S163" s="12" t="str" cm="1">
        <f t="array" ref="S163">INDEX('Encounter-ConceptMap-1'!$I$15:$N$271,Q163+1,R163)</f>
        <v>* group[=].element[=].target.display = ##34###34#</v>
      </c>
    </row>
    <row r="164" spans="16:19" x14ac:dyDescent="0.75">
      <c r="P164" s="11">
        <v>149</v>
      </c>
      <c r="Q164" s="11">
        <f t="shared" si="31"/>
        <v>24</v>
      </c>
      <c r="R164" s="11">
        <f t="shared" si="32"/>
        <v>5</v>
      </c>
      <c r="S164" s="12" t="str" cm="1">
        <f t="array" ref="S164">INDEX('Encounter-ConceptMap-1'!$I$15:$N$271,Q164+1,R164)</f>
        <v>* group[=].element[=].target.equivalence = #relatedto</v>
      </c>
    </row>
    <row r="165" spans="16:19" x14ac:dyDescent="0.75">
      <c r="P165" s="11">
        <v>150</v>
      </c>
      <c r="Q165" s="11">
        <f t="shared" si="31"/>
        <v>24</v>
      </c>
      <c r="R165" s="11">
        <f t="shared" si="32"/>
        <v>6</v>
      </c>
      <c r="S165" s="12" t="str" cm="1">
        <f t="array" ref="S165">INDEX('Encounter-ConceptMap-1'!$I$15:$N$271,Q165+1,R165)</f>
        <v>* group[=].element[=].target.comment = ##34#to be checked##34#</v>
      </c>
    </row>
    <row r="166" spans="16:19" x14ac:dyDescent="0.75">
      <c r="P166" s="11">
        <v>151</v>
      </c>
      <c r="Q166" s="11">
        <f t="shared" si="31"/>
        <v>25</v>
      </c>
      <c r="R166" s="11">
        <f t="shared" si="32"/>
        <v>1</v>
      </c>
      <c r="S166" s="12" t="str" cm="1">
        <f t="array" ref="S166">INDEX('Encounter-ConceptMap-1'!$I$15:$N$271,Q166+1,R166)</f>
        <v>* group[=].element[+].code = #HDREncounter.location.organization.id</v>
      </c>
    </row>
    <row r="167" spans="16:19" x14ac:dyDescent="0.75">
      <c r="P167" s="11">
        <v>152</v>
      </c>
      <c r="Q167" s="11">
        <f t="shared" si="31"/>
        <v>25</v>
      </c>
      <c r="R167" s="11">
        <f t="shared" si="32"/>
        <v>2</v>
      </c>
      <c r="S167" s="12" t="str" cm="1">
        <f t="array" ref="S167">INDEX('Encounter-ConceptMap-1'!$I$15:$N$271,Q167+1,R167)</f>
        <v>* group[=].element[=].display = ##34#A.2.3.6.2 - Organization Id [Required]##34#</v>
      </c>
    </row>
    <row r="168" spans="16:19" ht="44.25" x14ac:dyDescent="0.75">
      <c r="P168" s="11">
        <v>153</v>
      </c>
      <c r="Q168" s="11">
        <f t="shared" si="31"/>
        <v>25</v>
      </c>
      <c r="R168" s="11">
        <f t="shared" si="32"/>
        <v>3</v>
      </c>
      <c r="S168" s="12" t="str" cm="1">
        <f t="array" ref="S168">INDEX('Encounter-ConceptMap-1'!$I$15:$N$271,Q168+1,R168)</f>
        <v>* group[=].element[=].target.code = #Encounter.conformsTo('http://hl7.eu/fhir/ig/xpandh/hdr/StructureDefinition/Encounter-eu-xpandh').TBD</v>
      </c>
    </row>
    <row r="169" spans="16:19" x14ac:dyDescent="0.75">
      <c r="P169" s="11">
        <v>154</v>
      </c>
      <c r="Q169" s="11">
        <f t="shared" si="31"/>
        <v>25</v>
      </c>
      <c r="R169" s="11">
        <f t="shared" si="32"/>
        <v>4</v>
      </c>
      <c r="S169" s="12" t="str" cm="1">
        <f t="array" ref="S169">INDEX('Encounter-ConceptMap-1'!$I$15:$N$271,Q169+1,R169)</f>
        <v>* group[=].element[=].target.display = ##34###34#</v>
      </c>
    </row>
    <row r="170" spans="16:19" x14ac:dyDescent="0.75">
      <c r="P170" s="11">
        <v>155</v>
      </c>
      <c r="Q170" s="11">
        <f t="shared" si="31"/>
        <v>25</v>
      </c>
      <c r="R170" s="11">
        <f t="shared" si="32"/>
        <v>5</v>
      </c>
      <c r="S170" s="12" t="str" cm="1">
        <f t="array" ref="S170">INDEX('Encounter-ConceptMap-1'!$I$15:$N$271,Q170+1,R170)</f>
        <v>* group[=].element[=].target.equivalence = #relatedto</v>
      </c>
    </row>
    <row r="171" spans="16:19" x14ac:dyDescent="0.75">
      <c r="P171" s="11">
        <v>156</v>
      </c>
      <c r="Q171" s="11">
        <f t="shared" si="31"/>
        <v>25</v>
      </c>
      <c r="R171" s="11">
        <f t="shared" si="32"/>
        <v>6</v>
      </c>
      <c r="S171" s="12" t="str" cm="1">
        <f t="array" ref="S171">INDEX('Encounter-ConceptMap-1'!$I$15:$N$271,Q171+1,R171)</f>
        <v>* group[=].element[=].target.comment = ##34#to be checked##34#</v>
      </c>
    </row>
    <row r="172" spans="16:19" x14ac:dyDescent="0.75">
      <c r="P172" s="11">
        <v>157</v>
      </c>
      <c r="Q172" s="11">
        <f t="shared" si="31"/>
        <v>26</v>
      </c>
      <c r="R172" s="11">
        <f t="shared" si="32"/>
        <v>1</v>
      </c>
      <c r="S172" s="12" t="str" cm="1">
        <f t="array" ref="S172">INDEX('Encounter-ConceptMap-1'!$I$15:$N$271,Q172+1,R172)</f>
        <v>* group[=].element[+].code = #HDREncounter.location.organization.name</v>
      </c>
    </row>
    <row r="173" spans="16:19" ht="29.5" x14ac:dyDescent="0.75">
      <c r="P173" s="11">
        <v>158</v>
      </c>
      <c r="Q173" s="11">
        <f t="shared" si="31"/>
        <v>26</v>
      </c>
      <c r="R173" s="11">
        <f t="shared" si="32"/>
        <v>2</v>
      </c>
      <c r="S173" s="12" t="str" cm="1">
        <f t="array" ref="S173">INDEX('Encounter-ConceptMap-1'!$I$15:$N$271,Q173+1,R173)</f>
        <v>* group[=].element[=].display = ##34#A.2.3.6.3 - Organization Part Name [Mandatory]##34#</v>
      </c>
    </row>
    <row r="174" spans="16:19" ht="44.25" x14ac:dyDescent="0.75">
      <c r="P174" s="11">
        <v>159</v>
      </c>
      <c r="Q174" s="11">
        <f t="shared" si="31"/>
        <v>26</v>
      </c>
      <c r="R174" s="11">
        <f t="shared" si="32"/>
        <v>3</v>
      </c>
      <c r="S174" s="12" t="str" cm="1">
        <f t="array" ref="S174">INDEX('Encounter-ConceptMap-1'!$I$15:$N$271,Q174+1,R174)</f>
        <v>* group[=].element[=].target.code = #Encounter.conformsTo('http://hl7.eu/fhir/ig/xpandh/hdr/StructureDefinition/Encounter-eu-xpandh').TBD</v>
      </c>
    </row>
    <row r="175" spans="16:19" x14ac:dyDescent="0.75">
      <c r="P175" s="11">
        <v>160</v>
      </c>
      <c r="Q175" s="11">
        <f t="shared" si="31"/>
        <v>26</v>
      </c>
      <c r="R175" s="11">
        <f t="shared" si="32"/>
        <v>4</v>
      </c>
      <c r="S175" s="12" t="str" cm="1">
        <f t="array" ref="S175">INDEX('Encounter-ConceptMap-1'!$I$15:$N$271,Q175+1,R175)</f>
        <v>* group[=].element[=].target.display = ##34###34#</v>
      </c>
    </row>
    <row r="176" spans="16:19" x14ac:dyDescent="0.75">
      <c r="P176" s="11">
        <v>161</v>
      </c>
      <c r="Q176" s="11">
        <f t="shared" si="31"/>
        <v>26</v>
      </c>
      <c r="R176" s="11">
        <f t="shared" si="32"/>
        <v>5</v>
      </c>
      <c r="S176" s="12" t="str" cm="1">
        <f t="array" ref="S176">INDEX('Encounter-ConceptMap-1'!$I$15:$N$271,Q176+1,R176)</f>
        <v>* group[=].element[=].target.equivalence = #relatedto</v>
      </c>
    </row>
    <row r="177" spans="16:19" x14ac:dyDescent="0.75">
      <c r="P177" s="11">
        <v>162</v>
      </c>
      <c r="Q177" s="11">
        <f t="shared" si="31"/>
        <v>26</v>
      </c>
      <c r="R177" s="11">
        <f t="shared" si="32"/>
        <v>6</v>
      </c>
      <c r="S177" s="12" t="str" cm="1">
        <f t="array" ref="S177">INDEX('Encounter-ConceptMap-1'!$I$15:$N$271,Q177+1,R177)</f>
        <v>* group[=].element[=].target.comment = ##34#to be checked##34#</v>
      </c>
    </row>
    <row r="178" spans="16:19" x14ac:dyDescent="0.75">
      <c r="P178" s="11">
        <v>163</v>
      </c>
      <c r="Q178" s="11">
        <f t="shared" si="31"/>
        <v>27</v>
      </c>
      <c r="R178" s="11">
        <f t="shared" si="32"/>
        <v>1</v>
      </c>
      <c r="S178" s="12" t="str" cm="1">
        <f t="array" ref="S178">INDEX('Encounter-ConceptMap-1'!$I$15:$N$271,Q178+1,R178)</f>
        <v>* group[=].element[+].code = #HDREncounter.location.organization.details</v>
      </c>
    </row>
    <row r="179" spans="16:19" ht="29.5" x14ac:dyDescent="0.75">
      <c r="P179" s="11">
        <v>164</v>
      </c>
      <c r="Q179" s="11">
        <f t="shared" si="31"/>
        <v>27</v>
      </c>
      <c r="R179" s="11">
        <f t="shared" si="32"/>
        <v>2</v>
      </c>
      <c r="S179" s="12" t="str" cm="1">
        <f t="array" ref="S179">INDEX('Encounter-ConceptMap-1'!$I$15:$N$271,Q179+1,R179)</f>
        <v>* group[=].element[=].display = ##34#A.2.3.6.4 - Organization Part Details [Required]##34#</v>
      </c>
    </row>
    <row r="180" spans="16:19" ht="44.25" x14ac:dyDescent="0.75">
      <c r="P180" s="11">
        <v>165</v>
      </c>
      <c r="Q180" s="11">
        <f t="shared" si="31"/>
        <v>27</v>
      </c>
      <c r="R180" s="11">
        <f t="shared" si="32"/>
        <v>3</v>
      </c>
      <c r="S180" s="12" t="str" cm="1">
        <f t="array" ref="S180">INDEX('Encounter-ConceptMap-1'!$I$15:$N$271,Q180+1,R180)</f>
        <v>* group[=].element[=].target.code = #Encounter.conformsTo('http://hl7.eu/fhir/ig/xpandh/hdr/StructureDefinition/Encounter-eu-xpandh').TBD</v>
      </c>
    </row>
    <row r="181" spans="16:19" x14ac:dyDescent="0.75">
      <c r="P181" s="11">
        <v>166</v>
      </c>
      <c r="Q181" s="11">
        <f t="shared" si="31"/>
        <v>27</v>
      </c>
      <c r="R181" s="11">
        <f t="shared" si="32"/>
        <v>4</v>
      </c>
      <c r="S181" s="12" t="str" cm="1">
        <f t="array" ref="S181">INDEX('Encounter-ConceptMap-1'!$I$15:$N$271,Q181+1,R181)</f>
        <v>* group[=].element[=].target.display = ##34###34#</v>
      </c>
    </row>
    <row r="182" spans="16:19" x14ac:dyDescent="0.75">
      <c r="P182" s="11">
        <v>167</v>
      </c>
      <c r="Q182" s="11">
        <f t="shared" si="31"/>
        <v>27</v>
      </c>
      <c r="R182" s="11">
        <f t="shared" si="32"/>
        <v>5</v>
      </c>
      <c r="S182" s="12" t="str" cm="1">
        <f t="array" ref="S182">INDEX('Encounter-ConceptMap-1'!$I$15:$N$271,Q182+1,R182)</f>
        <v>* group[=].element[=].target.equivalence = #relatedto</v>
      </c>
    </row>
    <row r="183" spans="16:19" x14ac:dyDescent="0.75">
      <c r="P183" s="11">
        <v>168</v>
      </c>
      <c r="Q183" s="11">
        <f t="shared" si="31"/>
        <v>27</v>
      </c>
      <c r="R183" s="11">
        <f t="shared" si="32"/>
        <v>6</v>
      </c>
      <c r="S183" s="12" t="str" cm="1">
        <f t="array" ref="S183">INDEX('Encounter-ConceptMap-1'!$I$15:$N$271,Q183+1,R183)</f>
        <v>* group[=].element[=].target.comment = ##34#to be checked##34#</v>
      </c>
    </row>
    <row r="184" spans="16:19" x14ac:dyDescent="0.75">
      <c r="P184" s="11">
        <v>169</v>
      </c>
      <c r="Q184" s="11">
        <f t="shared" si="31"/>
        <v>28</v>
      </c>
      <c r="R184" s="11">
        <f t="shared" si="32"/>
        <v>1</v>
      </c>
      <c r="S184" s="12" cm="1">
        <f t="array" ref="S184">INDEX('Encounter-ConceptMap-1'!$I$15:$N$271,Q184+1,R184)</f>
        <v>0</v>
      </c>
    </row>
    <row r="185" spans="16:19" x14ac:dyDescent="0.75">
      <c r="P185" s="11">
        <v>170</v>
      </c>
      <c r="Q185" s="11">
        <f t="shared" si="31"/>
        <v>28</v>
      </c>
      <c r="R185" s="11">
        <f t="shared" si="32"/>
        <v>2</v>
      </c>
      <c r="S185" s="12" cm="1">
        <f t="array" ref="S185">INDEX('Encounter-ConceptMap-1'!$I$15:$N$271,Q185+1,R185)</f>
        <v>0</v>
      </c>
    </row>
    <row r="186" spans="16:19" x14ac:dyDescent="0.75">
      <c r="P186" s="11">
        <v>171</v>
      </c>
      <c r="Q186" s="11">
        <f t="shared" si="31"/>
        <v>28</v>
      </c>
      <c r="R186" s="11">
        <f t="shared" si="32"/>
        <v>3</v>
      </c>
      <c r="S186" s="12" cm="1">
        <f t="array" ref="S186">INDEX('Encounter-ConceptMap-1'!$I$15:$N$271,Q186+1,R186)</f>
        <v>0</v>
      </c>
    </row>
    <row r="187" spans="16:19" x14ac:dyDescent="0.75">
      <c r="P187" s="11">
        <v>172</v>
      </c>
      <c r="Q187" s="11">
        <f t="shared" si="31"/>
        <v>28</v>
      </c>
      <c r="R187" s="11">
        <f t="shared" si="32"/>
        <v>4</v>
      </c>
      <c r="S187" s="12" cm="1">
        <f t="array" ref="S187">INDEX('Encounter-ConceptMap-1'!$I$15:$N$271,Q187+1,R187)</f>
        <v>0</v>
      </c>
    </row>
    <row r="188" spans="16:19" x14ac:dyDescent="0.75">
      <c r="P188" s="11">
        <v>173</v>
      </c>
      <c r="Q188" s="11">
        <f t="shared" si="31"/>
        <v>28</v>
      </c>
      <c r="R188" s="11">
        <f t="shared" si="32"/>
        <v>5</v>
      </c>
      <c r="S188" s="12" cm="1">
        <f t="array" ref="S188">INDEX('Encounter-ConceptMap-1'!$I$15:$N$271,Q188+1,R188)</f>
        <v>0</v>
      </c>
    </row>
    <row r="189" spans="16:19" x14ac:dyDescent="0.75">
      <c r="P189" s="11">
        <v>174</v>
      </c>
      <c r="Q189" s="11">
        <f t="shared" si="31"/>
        <v>28</v>
      </c>
      <c r="R189" s="11">
        <f t="shared" si="32"/>
        <v>6</v>
      </c>
      <c r="S189" s="12" cm="1">
        <f t="array" ref="S189">INDEX('Encounter-ConceptMap-1'!$I$15:$N$271,Q189+1,R189)</f>
        <v>0</v>
      </c>
    </row>
    <row r="190" spans="16:19" x14ac:dyDescent="0.75">
      <c r="P190" s="11">
        <v>175</v>
      </c>
      <c r="Q190" s="11">
        <f t="shared" si="31"/>
        <v>29</v>
      </c>
      <c r="R190" s="11">
        <f t="shared" si="32"/>
        <v>1</v>
      </c>
      <c r="S190" s="12" cm="1">
        <f t="array" ref="S190">INDEX('Encounter-ConceptMap-1'!$I$15:$N$271,Q190+1,R190)</f>
        <v>0</v>
      </c>
    </row>
    <row r="191" spans="16:19" x14ac:dyDescent="0.75">
      <c r="P191" s="11">
        <v>176</v>
      </c>
      <c r="Q191" s="11">
        <f t="shared" si="31"/>
        <v>29</v>
      </c>
      <c r="R191" s="11">
        <f t="shared" si="32"/>
        <v>2</v>
      </c>
      <c r="S191" s="12" cm="1">
        <f t="array" ref="S191">INDEX('Encounter-ConceptMap-1'!$I$15:$N$271,Q191+1,R191)</f>
        <v>0</v>
      </c>
    </row>
    <row r="192" spans="16:19" x14ac:dyDescent="0.75">
      <c r="P192" s="11">
        <v>177</v>
      </c>
      <c r="Q192" s="11">
        <f t="shared" si="31"/>
        <v>29</v>
      </c>
      <c r="R192" s="11">
        <f t="shared" si="32"/>
        <v>3</v>
      </c>
      <c r="S192" s="12" cm="1">
        <f t="array" ref="S192">INDEX('Encounter-ConceptMap-1'!$I$15:$N$271,Q192+1,R192)</f>
        <v>0</v>
      </c>
    </row>
    <row r="193" spans="16:19" x14ac:dyDescent="0.75">
      <c r="P193" s="11">
        <v>178</v>
      </c>
      <c r="Q193" s="11">
        <f t="shared" si="31"/>
        <v>29</v>
      </c>
      <c r="R193" s="11">
        <f t="shared" si="32"/>
        <v>4</v>
      </c>
      <c r="S193" s="12" cm="1">
        <f t="array" ref="S193">INDEX('Encounter-ConceptMap-1'!$I$15:$N$271,Q193+1,R193)</f>
        <v>0</v>
      </c>
    </row>
    <row r="194" spans="16:19" x14ac:dyDescent="0.75">
      <c r="P194" s="11">
        <v>179</v>
      </c>
      <c r="Q194" s="11">
        <f t="shared" si="31"/>
        <v>29</v>
      </c>
      <c r="R194" s="11">
        <f t="shared" si="32"/>
        <v>5</v>
      </c>
      <c r="S194" s="12" cm="1">
        <f t="array" ref="S194">INDEX('Encounter-ConceptMap-1'!$I$15:$N$271,Q194+1,R194)</f>
        <v>0</v>
      </c>
    </row>
    <row r="195" spans="16:19" x14ac:dyDescent="0.75">
      <c r="P195" s="11">
        <v>180</v>
      </c>
      <c r="Q195" s="11">
        <f t="shared" si="31"/>
        <v>29</v>
      </c>
      <c r="R195" s="11">
        <f t="shared" si="32"/>
        <v>6</v>
      </c>
      <c r="S195" s="12" cm="1">
        <f t="array" ref="S195">INDEX('Encounter-ConceptMap-1'!$I$15:$N$271,Q195+1,R195)</f>
        <v>0</v>
      </c>
    </row>
    <row r="196" spans="16:19" x14ac:dyDescent="0.75">
      <c r="P196" s="11">
        <v>181</v>
      </c>
      <c r="Q196" s="11">
        <f t="shared" ref="Q196:Q207" si="33">IF(MOD(P196,$Q$8)=0,P196/$Q$8-1,INT(P196/$Q$8))</f>
        <v>30</v>
      </c>
      <c r="R196" s="11">
        <f t="shared" ref="R196:R207" si="34">IF(MOD(P196,$Q$8)=0,$Q$8,MOD(P196,$Q$8))</f>
        <v>1</v>
      </c>
      <c r="S196" s="12" cm="1">
        <f t="array" ref="S196">INDEX('Encounter-ConceptMap-1'!$I$15:$N$271,Q196+1,R196)</f>
        <v>0</v>
      </c>
    </row>
    <row r="197" spans="16:19" x14ac:dyDescent="0.75">
      <c r="P197" s="11">
        <v>182</v>
      </c>
      <c r="Q197" s="11">
        <f t="shared" si="33"/>
        <v>30</v>
      </c>
      <c r="R197" s="11">
        <f t="shared" si="34"/>
        <v>2</v>
      </c>
      <c r="S197" s="12" cm="1">
        <f t="array" ref="S197">INDEX('Encounter-ConceptMap-1'!$I$15:$N$271,Q197+1,R197)</f>
        <v>0</v>
      </c>
    </row>
    <row r="198" spans="16:19" x14ac:dyDescent="0.75">
      <c r="P198" s="11">
        <v>183</v>
      </c>
      <c r="Q198" s="11">
        <f t="shared" si="33"/>
        <v>30</v>
      </c>
      <c r="R198" s="11">
        <f t="shared" si="34"/>
        <v>3</v>
      </c>
      <c r="S198" s="12" cm="1">
        <f t="array" ref="S198">INDEX('Encounter-ConceptMap-1'!$I$15:$N$271,Q198+1,R198)</f>
        <v>0</v>
      </c>
    </row>
    <row r="199" spans="16:19" x14ac:dyDescent="0.75">
      <c r="P199" s="11">
        <v>184</v>
      </c>
      <c r="Q199" s="11">
        <f t="shared" si="33"/>
        <v>30</v>
      </c>
      <c r="R199" s="11">
        <f t="shared" si="34"/>
        <v>4</v>
      </c>
      <c r="S199" s="12" cm="1">
        <f t="array" ref="S199">INDEX('Encounter-ConceptMap-1'!$I$15:$N$271,Q199+1,R199)</f>
        <v>0</v>
      </c>
    </row>
    <row r="200" spans="16:19" x14ac:dyDescent="0.75">
      <c r="P200" s="11">
        <v>185</v>
      </c>
      <c r="Q200" s="11">
        <f t="shared" si="33"/>
        <v>30</v>
      </c>
      <c r="R200" s="11">
        <f t="shared" si="34"/>
        <v>5</v>
      </c>
      <c r="S200" s="12" cm="1">
        <f t="array" ref="S200">INDEX('Encounter-ConceptMap-1'!$I$15:$N$271,Q200+1,R200)</f>
        <v>0</v>
      </c>
    </row>
    <row r="201" spans="16:19" x14ac:dyDescent="0.75">
      <c r="P201" s="11">
        <v>186</v>
      </c>
      <c r="Q201" s="11">
        <f t="shared" si="33"/>
        <v>30</v>
      </c>
      <c r="R201" s="11">
        <f t="shared" si="34"/>
        <v>6</v>
      </c>
      <c r="S201" s="12" cm="1">
        <f t="array" ref="S201">INDEX('Encounter-ConceptMap-1'!$I$15:$N$271,Q201+1,R201)</f>
        <v>0</v>
      </c>
    </row>
    <row r="202" spans="16:19" x14ac:dyDescent="0.75">
      <c r="P202" s="11">
        <v>187</v>
      </c>
      <c r="Q202" s="11">
        <f t="shared" si="33"/>
        <v>31</v>
      </c>
      <c r="R202" s="11">
        <f t="shared" si="34"/>
        <v>1</v>
      </c>
      <c r="S202" s="12" cm="1">
        <f t="array" ref="S202">INDEX('Encounter-ConceptMap-1'!$I$15:$N$271,Q202+1,R202)</f>
        <v>0</v>
      </c>
    </row>
    <row r="203" spans="16:19" x14ac:dyDescent="0.75">
      <c r="P203" s="11">
        <v>188</v>
      </c>
      <c r="Q203" s="11">
        <f t="shared" si="33"/>
        <v>31</v>
      </c>
      <c r="R203" s="11">
        <f t="shared" si="34"/>
        <v>2</v>
      </c>
      <c r="S203" s="12" cm="1">
        <f t="array" ref="S203">INDEX('Encounter-ConceptMap-1'!$I$15:$N$271,Q203+1,R203)</f>
        <v>0</v>
      </c>
    </row>
    <row r="204" spans="16:19" x14ac:dyDescent="0.75">
      <c r="P204" s="11">
        <v>189</v>
      </c>
      <c r="Q204" s="11">
        <f t="shared" si="33"/>
        <v>31</v>
      </c>
      <c r="R204" s="11">
        <f t="shared" si="34"/>
        <v>3</v>
      </c>
      <c r="S204" s="12" cm="1">
        <f t="array" ref="S204">INDEX('Encounter-ConceptMap-1'!$I$15:$N$271,Q204+1,R204)</f>
        <v>0</v>
      </c>
    </row>
    <row r="205" spans="16:19" x14ac:dyDescent="0.75">
      <c r="P205" s="11">
        <v>190</v>
      </c>
      <c r="Q205" s="11">
        <f t="shared" si="33"/>
        <v>31</v>
      </c>
      <c r="R205" s="11">
        <f t="shared" si="34"/>
        <v>4</v>
      </c>
      <c r="S205" s="12" cm="1">
        <f t="array" ref="S205">INDEX('Encounter-ConceptMap-1'!$I$15:$N$271,Q205+1,R205)</f>
        <v>0</v>
      </c>
    </row>
    <row r="206" spans="16:19" x14ac:dyDescent="0.75">
      <c r="P206" s="11">
        <v>191</v>
      </c>
      <c r="Q206" s="11">
        <f t="shared" si="33"/>
        <v>31</v>
      </c>
      <c r="R206" s="11">
        <f t="shared" si="34"/>
        <v>5</v>
      </c>
      <c r="S206" s="12" cm="1">
        <f t="array" ref="S206">INDEX('Encounter-ConceptMap-1'!$I$15:$N$271,Q206+1,R206)</f>
        <v>0</v>
      </c>
    </row>
    <row r="207" spans="16:19" x14ac:dyDescent="0.75">
      <c r="P207" s="11">
        <v>192</v>
      </c>
      <c r="Q207" s="11">
        <f t="shared" si="33"/>
        <v>31</v>
      </c>
      <c r="R207" s="11">
        <f t="shared" si="34"/>
        <v>6</v>
      </c>
      <c r="S207" s="12" cm="1">
        <f t="array" ref="S207">INDEX('Encounter-ConceptMap-1'!$I$15:$N$271,Q207+1,R207)</f>
        <v>0</v>
      </c>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sheetData>
  <autoFilter ref="A14:X42" xr:uid="{2510FECE-3346-4650-98EC-1A238584883B}"/>
  <mergeCells count="3">
    <mergeCell ref="E3:G3"/>
    <mergeCell ref="E6:G6"/>
    <mergeCell ref="E7:G7"/>
  </mergeCells>
  <hyperlinks>
    <hyperlink ref="C6" r:id="rId1" xr:uid="{82352E19-8C88-4660-82D9-A4886539429F}"/>
    <hyperlink ref="E3" r:id="rId2" xr:uid="{A7B141B8-EF04-4AB4-8207-FE328A828F7C}"/>
    <hyperlink ref="E6" r:id="rId3" display="http://hl7.eu/fhir/laboratory/StructureDefinition/Recipient" xr:uid="{98127878-B54D-4C66-9B93-E163868D160A}"/>
    <hyperlink ref="E7" r:id="rId4" display="http://hl7.eu/fhir/laboratory/StructureDefinition/Recipient" xr:uid="{080899DE-1AA6-48D2-B412-AC50AA84AC56}"/>
    <hyperlink ref="E4" r:id="rId5" xr:uid="{8831A894-3297-4C07-9C2D-F37655C6732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59136-0257-482A-AC6F-890032586815}">
  <sheetPr codeName="Foglio21">
    <tabColor theme="0" tint="-0.34998626667073579"/>
  </sheetPr>
  <dimension ref="B1:G251"/>
  <sheetViews>
    <sheetView workbookViewId="0">
      <selection activeCell="A195" sqref="A195:XFD20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81</v>
      </c>
      <c r="G2" s="29" t="s">
        <v>1416</v>
      </c>
    </row>
    <row r="3" spans="2:7" x14ac:dyDescent="0.75">
      <c r="B3" s="24" t="s">
        <v>19</v>
      </c>
    </row>
    <row r="4" spans="2:7" x14ac:dyDescent="0.75">
      <c r="B4" s="46" t="str">
        <f>"Instance: "&amp;'Encounter-ConceptMap-1'!C4</f>
        <v>Instance: ConceptMap-hdrEncounter2FHIR-eu-xpandh</v>
      </c>
    </row>
    <row r="5" spans="2:7" x14ac:dyDescent="0.75">
      <c r="B5" s="46" t="s">
        <v>80</v>
      </c>
    </row>
    <row r="6" spans="2:7" x14ac:dyDescent="0.75">
      <c r="B6" s="46" t="s">
        <v>72</v>
      </c>
    </row>
    <row r="7" spans="2:7" x14ac:dyDescent="0.75">
      <c r="B7" s="46" t="s">
        <v>1401</v>
      </c>
    </row>
    <row r="8" spans="2:7" x14ac:dyDescent="0.75">
      <c r="B8" s="46" t="str">
        <f>"* name = ##34#"&amp;'Encounter-ConceptMap-1'!C3&amp;"##34#"</f>
        <v>* name = ##34#HdrEncounter2FHIR##34#</v>
      </c>
    </row>
    <row r="9" spans="2:7" x14ac:dyDescent="0.75">
      <c r="B9" s="46" t="str">
        <f>"* title = ##34#"&amp;'Encounter-ConceptMap-1'!C5&amp;"##34#"</f>
        <v>* title = ##34#eHN Recipient to this guide Map##34#</v>
      </c>
    </row>
    <row r="10" spans="2:7" x14ac:dyDescent="0.75">
      <c r="B10" s="46" t="s">
        <v>73</v>
      </c>
    </row>
    <row r="11" spans="2:7" x14ac:dyDescent="0.75">
      <c r="B11" s="46" t="s">
        <v>74</v>
      </c>
    </row>
    <row r="12" spans="2:7" x14ac:dyDescent="0.75">
      <c r="B12" s="46" t="str">
        <f>"* description = ##34#"&amp;'Encounter-ConceptMap-1'!C8&amp;"##34#"</f>
        <v>* description = ##34#eHN HDR Encounter Model to this guide mapping##34#</v>
      </c>
    </row>
    <row r="13" spans="2:7" x14ac:dyDescent="0.75">
      <c r="B13" s="46" t="str">
        <f>"* purpose = ##34#"&amp;'Encounter-ConceptMap-1'!C9&amp;"##34#"</f>
        <v>* purpose = ##34#Proposed relationship between the HDR Encounter data set defined by the EU eHN guidelines and this guide##34#</v>
      </c>
    </row>
    <row r="14" spans="2:7" x14ac:dyDescent="0.75">
      <c r="B14" s="50" t="str">
        <f>"* sourceUri = ##34#"&amp;'Encounter-ConceptMap-1'!E3&amp;"##34#"</f>
        <v>* sourceUri = ##34#http://hl7.eu/fhir/ig/xpandh/hdr/StructureDefinition/HDREncounter##34#</v>
      </c>
    </row>
    <row r="15" spans="2:7" x14ac:dyDescent="0.75">
      <c r="B15" s="50" t="str">
        <f>"* targetUri = ##34#"&amp;'Encounter-ConceptMap-1'!E4&amp;"##34#"</f>
        <v>* targetUri = ##34#http://hl7.eu/fhir/ig/xpandh/hdr/StructureDefinition/Encounter-eu-xpandh##34#</v>
      </c>
    </row>
    <row r="16" spans="2:7" x14ac:dyDescent="0.75">
      <c r="B16" s="46"/>
    </row>
    <row r="17" spans="2:7" x14ac:dyDescent="0.75">
      <c r="B17" s="49" t="str">
        <f>"* group[+].source = ##34#"&amp;'Encounter-ConceptMap-1'!E6&amp;"##34#"</f>
        <v>* group[+].source = ##34#http://hl7.eu/fhir/ig/xpandh/hdr/StructureDefinition/HDREncounter##34#</v>
      </c>
    </row>
    <row r="18" spans="2:7" x14ac:dyDescent="0.75">
      <c r="B18" s="49" t="str">
        <f>"* group[=].target = ##34#"&amp;'Encounter-ConceptMap-1'!E7&amp;"##34#"</f>
        <v>* group[=].target = ##34#http://hl7.eu/fhir/ig/xpandh/hdr/StructureDefinition/Encounter-eu-xpandh##34#</v>
      </c>
    </row>
    <row r="19" spans="2:7" x14ac:dyDescent="0.75">
      <c r="B19" s="146"/>
    </row>
    <row r="20" spans="2:7" x14ac:dyDescent="0.75">
      <c r="B20" s="12" t="str">
        <f>IF('Encounter-ConceptMap-1'!S15=0,"//---END",'Encounter-ConceptMap-1'!S15)</f>
        <v>* group[=].element[+].code = #HDREncounter.type</v>
      </c>
    </row>
    <row r="21" spans="2:7" x14ac:dyDescent="0.75">
      <c r="B21" s="12" t="str">
        <f>IF('Encounter-ConceptMap-1'!S16=0,"//---END",'Encounter-ConceptMap-1'!S16)</f>
        <v>* group[=].element[=].display = ##34#A.2.3.1 - Encounter type [Mandatory]##34#</v>
      </c>
    </row>
    <row r="22" spans="2:7" x14ac:dyDescent="0.75">
      <c r="B22" s="12" t="str">
        <f>IF('Encounter-ConceptMap-1'!S17=0,"//---END",'Encounter-ConceptMap-1'!S17)</f>
        <v>* group[=].element[=].target.code = #Encounter.conformsTo('http://hl7.eu/fhir/ig/xpandh/hdr/StructureDefinition/Encounter-eu-xpandh').class</v>
      </c>
    </row>
    <row r="23" spans="2:7" x14ac:dyDescent="0.75">
      <c r="B23" s="12" t="str">
        <f>IF('Encounter-ConceptMap-1'!S18=0,"//---END",'Encounter-ConceptMap-1'!S18)</f>
        <v>* group[=].element[=].target.display = ##34###34#</v>
      </c>
    </row>
    <row r="24" spans="2:7" x14ac:dyDescent="0.75">
      <c r="B24" s="12" t="str">
        <f>IF('Encounter-ConceptMap-1'!S19=0,"//---END",'Encounter-ConceptMap-1'!S19)</f>
        <v>* group[=].element[=].target.equivalence = #equal</v>
      </c>
    </row>
    <row r="25" spans="2:7" x14ac:dyDescent="0.75">
      <c r="B25" s="12" t="str">
        <f>IF('Encounter-ConceptMap-1'!S20=0,"//---END",'Encounter-ConceptMap-1'!S20)</f>
        <v/>
      </c>
      <c r="G25" s="7"/>
    </row>
    <row r="26" spans="2:7" x14ac:dyDescent="0.75">
      <c r="B26" s="12" t="str">
        <f>IF('Encounter-ConceptMap-1'!S21=0,"//---END",'Encounter-ConceptMap-1'!S21)</f>
        <v>* group[=].element[+].code = #HDREncounter.note</v>
      </c>
    </row>
    <row r="27" spans="2:7" x14ac:dyDescent="0.75">
      <c r="B27" s="12" t="str">
        <f>IF('Encounter-ConceptMap-1'!S22=0,"//---END",'Encounter-ConceptMap-1'!S22)</f>
        <v>* group[=].element[=].display = ##34#A.2.3.2 - Encounter note [Optional]##34#</v>
      </c>
    </row>
    <row r="28" spans="2:7" x14ac:dyDescent="0.75">
      <c r="B28" s="12" t="str">
        <f>IF('Encounter-ConceptMap-1'!S23=0,"//---END",'Encounter-ConceptMap-1'!S23)</f>
        <v>* group[=].element[+].code = #HDREncounter.type</v>
      </c>
    </row>
    <row r="29" spans="2:7" x14ac:dyDescent="0.75">
      <c r="B29" s="12" t="str">
        <f>IF('Encounter-ConceptMap-1'!S24=0,"//---END",'Encounter-ConceptMap-1'!S24)</f>
        <v>//-- unmatched</v>
      </c>
    </row>
    <row r="30" spans="2:7" x14ac:dyDescent="0.75">
      <c r="B30" s="12" t="str">
        <f>IF('Encounter-ConceptMap-1'!S25=0,"//---END",'Encounter-ConceptMap-1'!S25)</f>
        <v>//-- unmatched</v>
      </c>
    </row>
    <row r="31" spans="2:7" x14ac:dyDescent="0.75">
      <c r="B31" s="12" t="str">
        <f>IF('Encounter-ConceptMap-1'!S26=0,"//---END",'Encounter-ConceptMap-1'!S26)</f>
        <v>* group[=].element[=].target.equivalence = #unmatched</v>
      </c>
    </row>
    <row r="32" spans="2:7" x14ac:dyDescent="0.75">
      <c r="B32" s="12" t="str">
        <f>IF('Encounter-ConceptMap-1'!S27=0,"//---END",'Encounter-ConceptMap-1'!S27)</f>
        <v/>
      </c>
    </row>
    <row r="33" spans="2:2" x14ac:dyDescent="0.75">
      <c r="B33" s="12" t="str">
        <f>IF('Encounter-ConceptMap-1'!S28=0,"//---END",'Encounter-ConceptMap-1'!S28)</f>
        <v>* group[=].element[+].code = #HDREncounter.admission</v>
      </c>
    </row>
    <row r="34" spans="2:2" x14ac:dyDescent="0.75">
      <c r="B34" s="12" t="str">
        <f>IF('Encounter-ConceptMap-1'!S29=0,"//---END",'Encounter-ConceptMap-1'!S29)</f>
        <v>* group[=].element[=].display = ##34#A.2.3.3 - Admission [Mandatory]##34#</v>
      </c>
    </row>
    <row r="35" spans="2:2" x14ac:dyDescent="0.75">
      <c r="B35" s="12" t="str">
        <f>IF('Encounter-ConceptMap-1'!S30=0,"//---END",'Encounter-ConceptMap-1'!S30)</f>
        <v>* group[=].element[=].target.code = #Encounter.conformsTo('http://hl7.eu/fhir/ig/xpandh/hdr/StructureDefinition/Encounter-eu-xpandh').ofType(Organization)</v>
      </c>
    </row>
    <row r="36" spans="2:2" x14ac:dyDescent="0.75">
      <c r="B36" s="12" t="str">
        <f>IF('Encounter-ConceptMap-1'!S31=0,"//---END",'Encounter-ConceptMap-1'!S31)</f>
        <v>* group[=].element[=].target.display = ##34###34#</v>
      </c>
    </row>
    <row r="37" spans="2:2" x14ac:dyDescent="0.75">
      <c r="B37" s="12" t="str">
        <f>IF('Encounter-ConceptMap-1'!S32=0,"//---END",'Encounter-ConceptMap-1'!S32)</f>
        <v>* group[=].element[=].target.equivalence = #equivalent</v>
      </c>
    </row>
    <row r="38" spans="2:2" x14ac:dyDescent="0.75">
      <c r="B38" s="12" t="str">
        <f>IF('Encounter-ConceptMap-1'!S33=0,"//---END",'Encounter-ConceptMap-1'!S33)</f>
        <v/>
      </c>
    </row>
    <row r="39" spans="2:2" x14ac:dyDescent="0.75">
      <c r="B39" s="12" t="str">
        <f>IF('Encounter-ConceptMap-1'!S34=0,"//---END",'Encounter-ConceptMap-1'!S34)</f>
        <v>* group[=].element[+].code = #HDREncounter.admission.urgency</v>
      </c>
    </row>
    <row r="40" spans="2:2" x14ac:dyDescent="0.75">
      <c r="B40" s="12" t="str">
        <f>IF('Encounter-ConceptMap-1'!S35=0,"//---END",'Encounter-ConceptMap-1'!S35)</f>
        <v>* group[=].element[=].display = ##34#A.2.3.3.1 - Admission urgency [Required]##34#</v>
      </c>
    </row>
    <row r="41" spans="2:2" x14ac:dyDescent="0.75">
      <c r="B41" s="12" t="str">
        <f>IF('Encounter-ConceptMap-1'!S36=0,"//---END",'Encounter-ConceptMap-1'!S36)</f>
        <v>* group[=].element[=].target.code = #Encounter.conformsTo('http://hl7.eu/fhir/ig/xpandh/hdr/StructureDefinition/Encounter-eu-xpandh').priority</v>
      </c>
    </row>
    <row r="42" spans="2:2" x14ac:dyDescent="0.75">
      <c r="B42" s="12" t="str">
        <f>IF('Encounter-ConceptMap-1'!S37=0,"//---END",'Encounter-ConceptMap-1'!S37)</f>
        <v>* group[=].element[=].target.display = ##34###34#</v>
      </c>
    </row>
    <row r="43" spans="2:2" x14ac:dyDescent="0.75">
      <c r="B43" s="12" t="str">
        <f>IF('Encounter-ConceptMap-1'!S38=0,"//---END",'Encounter-ConceptMap-1'!S38)</f>
        <v>* group[=].element[=].target.equivalence = #relatedto</v>
      </c>
    </row>
    <row r="44" spans="2:2" x14ac:dyDescent="0.75">
      <c r="B44" s="12" t="str">
        <f>IF('Encounter-ConceptMap-1'!S39=0,"//---END",'Encounter-ConceptMap-1'!S39)</f>
        <v>* group[=].element[=].target.comment = ##34#to be checked##34#</v>
      </c>
    </row>
    <row r="45" spans="2:2" x14ac:dyDescent="0.75">
      <c r="B45" s="12" t="str">
        <f>IF('Encounter-ConceptMap-1'!S40=0,"//---END",'Encounter-ConceptMap-1'!S40)</f>
        <v>* group[=].element[+].code = #HDREncounter.admission.date</v>
      </c>
    </row>
    <row r="46" spans="2:2" x14ac:dyDescent="0.75">
      <c r="B46" s="12" t="str">
        <f>IF('Encounter-ConceptMap-1'!S41=0,"//---END",'Encounter-ConceptMap-1'!S41)</f>
        <v>* group[=].element[=].display = ##34#A.2.3.3.2 - Admission date [Mandatory]##34#</v>
      </c>
    </row>
    <row r="47" spans="2:2" x14ac:dyDescent="0.75">
      <c r="B47" s="12" t="str">
        <f>IF('Encounter-ConceptMap-1'!S42=0,"//---END",'Encounter-ConceptMap-1'!S42)</f>
        <v>* group[=].element[=].target.code = #Encounter.conformsTo('http://hl7.eu/fhir/ig/xpandh/hdr/StructureDefinition/Encounter-eu-xpandh').period.start</v>
      </c>
    </row>
    <row r="48" spans="2:2" x14ac:dyDescent="0.75">
      <c r="B48" s="12" t="str">
        <f>IF('Encounter-ConceptMap-1'!S43=0,"//---END",'Encounter-ConceptMap-1'!S43)</f>
        <v>* group[=].element[=].target.display = ##34###34#</v>
      </c>
    </row>
    <row r="49" spans="2:2" x14ac:dyDescent="0.75">
      <c r="B49" s="12" t="str">
        <f>IF('Encounter-ConceptMap-1'!S44=0,"//---END",'Encounter-ConceptMap-1'!S44)</f>
        <v>* group[=].element[=].target.equivalence = #equivalent</v>
      </c>
    </row>
    <row r="50" spans="2:2" x14ac:dyDescent="0.75">
      <c r="B50" s="12" t="str">
        <f>IF('Encounter-ConceptMap-1'!S45=0,"//---END",'Encounter-ConceptMap-1'!S45)</f>
        <v>* group[=].element[=].target.comment = ##34#to be checked##34#</v>
      </c>
    </row>
    <row r="51" spans="2:2" x14ac:dyDescent="0.75">
      <c r="B51" s="12" t="str">
        <f>IF('Encounter-ConceptMap-1'!S46=0,"//---END",'Encounter-ConceptMap-1'!S46)</f>
        <v>* group[=].element[+].code = #HDREncounter.admission.admitter</v>
      </c>
    </row>
    <row r="52" spans="2:2" x14ac:dyDescent="0.75">
      <c r="B52" s="12" t="str">
        <f>IF('Encounter-ConceptMap-1'!S47=0,"//---END",'Encounter-ConceptMap-1'!S47)</f>
        <v>* group[=].element[=].display = ##34#- Admitting professional Id []##34#</v>
      </c>
    </row>
    <row r="53" spans="2:2" x14ac:dyDescent="0.75">
      <c r="B53" s="12" t="str">
        <f>IF('Encounter-ConceptMap-1'!S48=0,"//---END",'Encounter-ConceptMap-1'!S48)</f>
        <v>* group[=].element[=].target.code = #Encounter.conformsTo('http://hl7.eu/fhir/ig/xpandh/hdr/StructureDefinition/Encounter-eu-xpandh').participant.where(type='ADM').individual.resolve()</v>
      </c>
    </row>
    <row r="54" spans="2:2" x14ac:dyDescent="0.75">
      <c r="B54" s="12" t="str">
        <f>IF('Encounter-ConceptMap-1'!S49=0,"//---END",'Encounter-ConceptMap-1'!S49)</f>
        <v>* group[=].element[=].target.display = ##34###34#</v>
      </c>
    </row>
    <row r="55" spans="2:2" x14ac:dyDescent="0.75">
      <c r="B55" s="12" t="str">
        <f>IF('Encounter-ConceptMap-1'!S50=0,"//---END",'Encounter-ConceptMap-1'!S50)</f>
        <v>* group[=].element[=].target.equivalence = #equivalent</v>
      </c>
    </row>
    <row r="56" spans="2:2" x14ac:dyDescent="0.75">
      <c r="B56" s="12" t="str">
        <f>IF('Encounter-ConceptMap-1'!S51=0,"//---END",'Encounter-ConceptMap-1'!S51)</f>
        <v/>
      </c>
    </row>
    <row r="57" spans="2:2" x14ac:dyDescent="0.75">
      <c r="B57" s="12" t="str">
        <f>IF('Encounter-ConceptMap-1'!S52=0,"//---END",'Encounter-ConceptMap-1'!S52)</f>
        <v>* group[=].element[+].code = #HDREncounter.admission.admitter.identifier</v>
      </c>
    </row>
    <row r="58" spans="2:2" x14ac:dyDescent="0.75">
      <c r="B58" s="12" t="str">
        <f>IF('Encounter-ConceptMap-1'!S53=0,"//---END",'Encounter-ConceptMap-1'!S53)</f>
        <v>* group[=].element[=].display = ##34#A.2.3.3.3 - Admitting professional Id [Required]##34#</v>
      </c>
    </row>
    <row r="59" spans="2:2" ht="29.5" x14ac:dyDescent="0.75">
      <c r="B59" s="12" t="str">
        <f>IF('Encounter-ConceptMap-1'!S54=0,"//---END",'Encounter-ConceptMap-1'!S54)</f>
        <v>* group[=].element[=].target.code = #Encounter.conformsTo('http://hl7.eu/fhir/ig/xpandh/hdr/StructureDefinition/Encounter-eu-xpandh').participant.where(type='ADM').individual.resolve().identifier</v>
      </c>
    </row>
    <row r="60" spans="2:2" x14ac:dyDescent="0.75">
      <c r="B60" s="12" t="str">
        <f>IF('Encounter-ConceptMap-1'!S55=0,"//---END",'Encounter-ConceptMap-1'!S55)</f>
        <v>* group[=].element[=].target.display = ##34###34#</v>
      </c>
    </row>
    <row r="61" spans="2:2" x14ac:dyDescent="0.75">
      <c r="B61" s="12" t="str">
        <f>IF('Encounter-ConceptMap-1'!S56=0,"//---END",'Encounter-ConceptMap-1'!S56)</f>
        <v>* group[=].element[=].target.equivalence = #equivalent</v>
      </c>
    </row>
    <row r="62" spans="2:2" x14ac:dyDescent="0.75">
      <c r="B62" s="12" t="str">
        <f>IF('Encounter-ConceptMap-1'!S57=0,"//---END",'Encounter-ConceptMap-1'!S57)</f>
        <v/>
      </c>
    </row>
    <row r="63" spans="2:2" x14ac:dyDescent="0.75">
      <c r="B63" s="12" t="str">
        <f>IF('Encounter-ConceptMap-1'!S58=0,"//---END",'Encounter-ConceptMap-1'!S58)</f>
        <v>* group[=].element[+].code = #HDREncounter.admission.admitter.name</v>
      </c>
    </row>
    <row r="64" spans="2:2" x14ac:dyDescent="0.75">
      <c r="B64" s="12" t="str">
        <f>IF('Encounter-ConceptMap-1'!S59=0,"//---END",'Encounter-ConceptMap-1'!S59)</f>
        <v>* group[=].element[=].display = ##34#A.2.3.3.4 - Admitting professional name [Required]##34#</v>
      </c>
    </row>
    <row r="65" spans="2:4" ht="29.5" x14ac:dyDescent="0.75">
      <c r="B65" s="12" t="str">
        <f>IF('Encounter-ConceptMap-1'!S60=0,"//---END",'Encounter-ConceptMap-1'!S60)</f>
        <v>* group[=].element[=].target.code = #Encounter.conformsTo('http://hl7.eu/fhir/ig/xpandh/hdr/StructureDefinition/Encounter-eu-xpandh').participant.where(type='ADM').individual.resolve().ofType(Practictioner).name</v>
      </c>
    </row>
    <row r="66" spans="2:4" x14ac:dyDescent="0.75">
      <c r="B66" s="12" t="str">
        <f>IF('Encounter-ConceptMap-1'!S61=0,"//---END",'Encounter-ConceptMap-1'!S61)</f>
        <v>* group[=].element[=].target.display = ##34###34#</v>
      </c>
    </row>
    <row r="67" spans="2:4" x14ac:dyDescent="0.75">
      <c r="B67" s="12" t="str">
        <f>IF('Encounter-ConceptMap-1'!S62=0,"//---END",'Encounter-ConceptMap-1'!S62)</f>
        <v>* group[=].element[=].target.equivalence = #equivalent</v>
      </c>
    </row>
    <row r="68" spans="2:4" x14ac:dyDescent="0.75">
      <c r="B68" s="12" t="str">
        <f>IF('Encounter-ConceptMap-1'!S63=0,"//---END",'Encounter-ConceptMap-1'!S63)</f>
        <v>* group[=].element[=].target.comment = ##34#to be checked##34#</v>
      </c>
    </row>
    <row r="69" spans="2:4" x14ac:dyDescent="0.75">
      <c r="B69" s="12" t="str">
        <f>IF('Encounter-ConceptMap-1'!S64=0,"//---END",'Encounter-ConceptMap-1'!S64)</f>
        <v>* group[=].element[+].code = #HDREncounter.admission.admitter.name</v>
      </c>
    </row>
    <row r="70" spans="2:4" x14ac:dyDescent="0.75">
      <c r="B70" s="12" t="str">
        <f>IF('Encounter-ConceptMap-1'!S65=0,"//---END",'Encounter-ConceptMap-1'!S65)</f>
        <v>* group[=].element[=].display = ##34#A.2.3.3.4 - Admitting professional name [Required]##34#</v>
      </c>
      <c r="D70" s="39"/>
    </row>
    <row r="71" spans="2:4" ht="29.5" x14ac:dyDescent="0.75">
      <c r="B71" s="12" t="str">
        <f>IF('Encounter-ConceptMap-1'!S66=0,"//---END",'Encounter-ConceptMap-1'!S66)</f>
        <v>* group[=].element[=].target.code = #Encounter.conformsTo('http://hl7.eu/fhir/ig/xpandh/hdr/StructureDefinition/Encounter-eu-xpandh').participant.where(type='ADM').individual.resolve().ofType(PractictionerRole).practitioner.resolve().name</v>
      </c>
    </row>
    <row r="72" spans="2:4" x14ac:dyDescent="0.75">
      <c r="B72" s="12" t="str">
        <f>IF('Encounter-ConceptMap-1'!S67=0,"//---END",'Encounter-ConceptMap-1'!S67)</f>
        <v>* group[=].element[=].target.display = ##34###34#</v>
      </c>
    </row>
    <row r="73" spans="2:4" x14ac:dyDescent="0.75">
      <c r="B73" s="12" t="str">
        <f>IF('Encounter-ConceptMap-1'!S68=0,"//---END",'Encounter-ConceptMap-1'!S68)</f>
        <v>* group[=].element[=].target.equivalence = #equivalent</v>
      </c>
    </row>
    <row r="74" spans="2:4" x14ac:dyDescent="0.75">
      <c r="B74" s="12" t="str">
        <f>IF('Encounter-ConceptMap-1'!S69=0,"//---END",'Encounter-ConceptMap-1'!S69)</f>
        <v>* group[=].element[=].target.comment = ##34#to be checked##34#</v>
      </c>
    </row>
    <row r="75" spans="2:4" x14ac:dyDescent="0.75">
      <c r="B75" s="12" t="str">
        <f>IF('Encounter-ConceptMap-1'!S70=0,"//---END",'Encounter-ConceptMap-1'!S70)</f>
        <v>* group[=].element[+].code = #HDREncounter.admission.source</v>
      </c>
    </row>
    <row r="76" spans="2:4" x14ac:dyDescent="0.75">
      <c r="B76" s="12" t="str">
        <f>IF('Encounter-ConceptMap-1'!S71=0,"//---END",'Encounter-ConceptMap-1'!S71)</f>
        <v>* group[=].element[=].display = ##34#A.2.3.3.5 - Admit Source [Required]##34#</v>
      </c>
    </row>
    <row r="77" spans="2:4" ht="29.5" x14ac:dyDescent="0.75">
      <c r="B77" s="12" t="str">
        <f>IF('Encounter-ConceptMap-1'!S72=0,"//---END",'Encounter-ConceptMap-1'!S72)</f>
        <v>* group[=].element[=].target.code = #Encounter.conformsTo('http://hl7.eu/fhir/ig/xpandh/hdr/StructureDefinition/Encounter-eu-xpandh').hospitalization.admitSource</v>
      </c>
    </row>
    <row r="78" spans="2:4" x14ac:dyDescent="0.75">
      <c r="B78" s="12" t="str">
        <f>IF('Encounter-ConceptMap-1'!S73=0,"//---END",'Encounter-ConceptMap-1'!S73)</f>
        <v>* group[=].element[=].target.display = ##34###34#</v>
      </c>
    </row>
    <row r="79" spans="2:4" x14ac:dyDescent="0.75">
      <c r="B79" s="12" t="str">
        <f>IF('Encounter-ConceptMap-1'!S74=0,"//---END",'Encounter-ConceptMap-1'!S74)</f>
        <v>* group[=].element[=].target.equivalence = #relatedto</v>
      </c>
    </row>
    <row r="80" spans="2:4" x14ac:dyDescent="0.75">
      <c r="B80" s="12" t="str">
        <f>IF('Encounter-ConceptMap-1'!S75=0,"//---END",'Encounter-ConceptMap-1'!S75)</f>
        <v/>
      </c>
    </row>
    <row r="81" spans="2:2" x14ac:dyDescent="0.75">
      <c r="B81" s="12" t="str">
        <f>IF('Encounter-ConceptMap-1'!S76=0,"//---END",'Encounter-ConceptMap-1'!S76)</f>
        <v>* group[=].element[+].code = #HDREncounter.admission.referringHP</v>
      </c>
    </row>
    <row r="82" spans="2:2" x14ac:dyDescent="0.75">
      <c r="B82" s="12" t="str">
        <f>IF('Encounter-ConceptMap-1'!S77=0,"//---END",'Encounter-ConceptMap-1'!S77)</f>
        <v>* group[=].element[=].display = ##34# - Referring professional Id []##34#</v>
      </c>
    </row>
    <row r="83" spans="2:2" ht="29.5" x14ac:dyDescent="0.75">
      <c r="B83" s="12" t="str">
        <f>IF('Encounter-ConceptMap-1'!S78=0,"//---END",'Encounter-ConceptMap-1'!S78)</f>
        <v>* group[=].element[=].target.code = #Encounter.conformsTo('http://hl7.eu/fhir/ig/xpandh/hdr/StructureDefinition/Encounter-eu-xpandh').participant.where(type='REF').individual.resolve()</v>
      </c>
    </row>
    <row r="84" spans="2:2" x14ac:dyDescent="0.75">
      <c r="B84" s="12" t="str">
        <f>IF('Encounter-ConceptMap-1'!S79=0,"//---END",'Encounter-ConceptMap-1'!S79)</f>
        <v>* group[=].element[=].target.display = ##34###34#</v>
      </c>
    </row>
    <row r="85" spans="2:2" x14ac:dyDescent="0.75">
      <c r="B85" s="12" t="str">
        <f>IF('Encounter-ConceptMap-1'!S80=0,"//---END",'Encounter-ConceptMap-1'!S80)</f>
        <v>* group[=].element[=].target.equivalence = #equivalent</v>
      </c>
    </row>
    <row r="86" spans="2:2" x14ac:dyDescent="0.75">
      <c r="B86" s="12" t="str">
        <f>IF('Encounter-ConceptMap-1'!S81=0,"//---END",'Encounter-ConceptMap-1'!S81)</f>
        <v/>
      </c>
    </row>
    <row r="87" spans="2:2" x14ac:dyDescent="0.75">
      <c r="B87" s="12" t="str">
        <f>IF('Encounter-ConceptMap-1'!S82=0,"//---END",'Encounter-ConceptMap-1'!S82)</f>
        <v>* group[=].element[+].code = #HDREncounter.admission.referringHP.identifier</v>
      </c>
    </row>
    <row r="88" spans="2:2" x14ac:dyDescent="0.75">
      <c r="B88" s="12" t="str">
        <f>IF('Encounter-ConceptMap-1'!S83=0,"//---END",'Encounter-ConceptMap-1'!S83)</f>
        <v>* group[=].element[=].display = ##34#A.2.3.3.6 - Referring professional Id [Required]##34#</v>
      </c>
    </row>
    <row r="89" spans="2:2" ht="29.5" x14ac:dyDescent="0.75">
      <c r="B89" s="12" t="str">
        <f>IF('Encounter-ConceptMap-1'!S84=0,"//---END",'Encounter-ConceptMap-1'!S84)</f>
        <v>* group[=].element[=].target.code = #Encounter.conformsTo('http://hl7.eu/fhir/ig/xpandh/hdr/StructureDefinition/Encounter-eu-xpandh').participant.where(type='REF').individual.resolve().identifier</v>
      </c>
    </row>
    <row r="90" spans="2:2" x14ac:dyDescent="0.75">
      <c r="B90" s="12" t="str">
        <f>IF('Encounter-ConceptMap-1'!S85=0,"//---END",'Encounter-ConceptMap-1'!S85)</f>
        <v>* group[=].element[=].target.display = ##34###34#</v>
      </c>
    </row>
    <row r="91" spans="2:2" x14ac:dyDescent="0.75">
      <c r="B91" s="12" t="str">
        <f>IF('Encounter-ConceptMap-1'!S86=0,"//---END",'Encounter-ConceptMap-1'!S86)</f>
        <v>* group[=].element[=].target.equivalence = #equivalent</v>
      </c>
    </row>
    <row r="92" spans="2:2" x14ac:dyDescent="0.75">
      <c r="B92" s="12" t="str">
        <f>IF('Encounter-ConceptMap-1'!S87=0,"//---END",'Encounter-ConceptMap-1'!S87)</f>
        <v/>
      </c>
    </row>
    <row r="93" spans="2:2" x14ac:dyDescent="0.75">
      <c r="B93" s="12" t="str">
        <f>IF('Encounter-ConceptMap-1'!S88=0,"//---END",'Encounter-ConceptMap-1'!S88)</f>
        <v>* group[=].element[+].code = #HDREncounter.admission.referringHP.name</v>
      </c>
    </row>
    <row r="94" spans="2:2" x14ac:dyDescent="0.75">
      <c r="B94" s="12" t="str">
        <f>IF('Encounter-ConceptMap-1'!S89=0,"//---END",'Encounter-ConceptMap-1'!S89)</f>
        <v>* group[=].element[=].display = ##34#A.2.3.3.7 - Referring professional name [Required]##34#</v>
      </c>
    </row>
    <row r="95" spans="2:2" ht="29.5" x14ac:dyDescent="0.75">
      <c r="B95" s="12" t="str">
        <f>IF('Encounter-ConceptMap-1'!S90=0,"//---END",'Encounter-ConceptMap-1'!S90)</f>
        <v>* group[=].element[=].target.code = #Encounter.conformsTo('http://hl7.eu/fhir/ig/xpandh/hdr/StructureDefinition/Encounter-eu-xpandh').participant.where(type='REF').individual.resolve().ofType(Practictioner).name</v>
      </c>
    </row>
    <row r="96" spans="2:2" x14ac:dyDescent="0.75">
      <c r="B96" s="12" t="str">
        <f>IF('Encounter-ConceptMap-1'!S91=0,"//---END",'Encounter-ConceptMap-1'!S91)</f>
        <v>* group[=].element[=].target.display = ##34###34#</v>
      </c>
    </row>
    <row r="97" spans="2:2" x14ac:dyDescent="0.75">
      <c r="B97" s="12" t="str">
        <f>IF('Encounter-ConceptMap-1'!S92=0,"//---END",'Encounter-ConceptMap-1'!S92)</f>
        <v>* group[=].element[=].target.equivalence = #equivalent</v>
      </c>
    </row>
    <row r="98" spans="2:2" x14ac:dyDescent="0.75">
      <c r="B98" s="12" t="str">
        <f>IF('Encounter-ConceptMap-1'!S93=0,"//---END",'Encounter-ConceptMap-1'!S93)</f>
        <v>* group[=].element[=].target.comment = ##34#to be checked##34#</v>
      </c>
    </row>
    <row r="99" spans="2:2" x14ac:dyDescent="0.75">
      <c r="B99" s="12" t="str">
        <f>IF('Encounter-ConceptMap-1'!S94=0,"//---END",'Encounter-ConceptMap-1'!S94)</f>
        <v>* group[=].element[+].code = #HDREncounter.admission.referringHP.organization</v>
      </c>
    </row>
    <row r="100" spans="2:2" x14ac:dyDescent="0.75">
      <c r="B100" s="12" t="str">
        <f>IF('Encounter-ConceptMap-1'!S95=0,"//---END",'Encounter-ConceptMap-1'!S95)</f>
        <v>* group[=].element[=].display = ##34#A.2.3.3.8 - Referring organization [Required]##34#</v>
      </c>
    </row>
    <row r="101" spans="2:2" ht="29.5" x14ac:dyDescent="0.75">
      <c r="B101" s="12" t="str">
        <f>IF('Encounter-ConceptMap-1'!S96=0,"//---END",'Encounter-ConceptMap-1'!S96)</f>
        <v>* group[=].element[=].target.code = #Encounter.conformsTo('http://hl7.eu/fhir/ig/xpandh/hdr/StructureDefinition/Encounter-eu-xpandh').participant.where(type='REF').individual.resolve().ofType(PractictionerRole).practitioner.resolve().name</v>
      </c>
    </row>
    <row r="102" spans="2:2" x14ac:dyDescent="0.75">
      <c r="B102" s="12" t="str">
        <f>IF('Encounter-ConceptMap-1'!S97=0,"//---END",'Encounter-ConceptMap-1'!S97)</f>
        <v>* group[=].element[=].target.display = ##34###34#</v>
      </c>
    </row>
    <row r="103" spans="2:2" x14ac:dyDescent="0.75">
      <c r="B103" s="12" t="str">
        <f>IF('Encounter-ConceptMap-1'!S98=0,"//---END",'Encounter-ConceptMap-1'!S98)</f>
        <v>* group[=].element[=].target.equivalence = #equivalent</v>
      </c>
    </row>
    <row r="104" spans="2:2" x14ac:dyDescent="0.75">
      <c r="B104" s="12" t="str">
        <f>IF('Encounter-ConceptMap-1'!S99=0,"//---END",'Encounter-ConceptMap-1'!S99)</f>
        <v>* group[=].element[=].target.comment = ##34#to be checked##34#</v>
      </c>
    </row>
    <row r="105" spans="2:2" x14ac:dyDescent="0.75">
      <c r="B105" s="12" t="str">
        <f>IF('Encounter-ConceptMap-1'!S100=0,"//---END",'Encounter-ConceptMap-1'!S100)</f>
        <v>* group[=].element[+].code = #HDREncounter.reason</v>
      </c>
    </row>
    <row r="106" spans="2:2" x14ac:dyDescent="0.75">
      <c r="B106" s="12" t="str">
        <f>IF('Encounter-ConceptMap-1'!S101=0,"//---END",'Encounter-ConceptMap-1'!S101)</f>
        <v>* group[=].element[=].display = ##34#A.2.3.4 - Admission reason [Mandatory]##34#</v>
      </c>
    </row>
    <row r="107" spans="2:2" x14ac:dyDescent="0.75">
      <c r="B107" s="12" t="str">
        <f>IF('Encounter-ConceptMap-1'!S102=0,"//---END",'Encounter-ConceptMap-1'!S102)</f>
        <v>* group[=].element[=].target.code = #Encounter.conformsTo('http://hl7.eu/fhir/ig/xpandh/hdr/StructureDefinition/Encounter-eu-xpandh').TBC</v>
      </c>
    </row>
    <row r="108" spans="2:2" x14ac:dyDescent="0.75">
      <c r="B108" s="12" t="str">
        <f>IF('Encounter-ConceptMap-1'!S103=0,"//---END",'Encounter-ConceptMap-1'!S103)</f>
        <v>* group[=].element[=].target.display = ##34###34#</v>
      </c>
    </row>
    <row r="109" spans="2:2" x14ac:dyDescent="0.75">
      <c r="B109" s="12" t="str">
        <f>IF('Encounter-ConceptMap-1'!S104=0,"//---END",'Encounter-ConceptMap-1'!S104)</f>
        <v>* group[=].element[=].target.equivalence = #relatedto</v>
      </c>
    </row>
    <row r="110" spans="2:2" x14ac:dyDescent="0.75">
      <c r="B110" s="12" t="str">
        <f>IF('Encounter-ConceptMap-1'!S105=0,"//---END",'Encounter-ConceptMap-1'!S105)</f>
        <v>* group[=].element[=].target.comment = ##34#to be completed##34#</v>
      </c>
    </row>
    <row r="111" spans="2:2" x14ac:dyDescent="0.75">
      <c r="B111" s="12" t="str">
        <f>IF('Encounter-ConceptMap-1'!S106=0,"//---END",'Encounter-ConceptMap-1'!S106)</f>
        <v>* group[=].element[+].code = #HDREncounter.reason.code</v>
      </c>
    </row>
    <row r="112" spans="2:2" x14ac:dyDescent="0.75">
      <c r="B112" s="12" t="str">
        <f>IF('Encounter-ConceptMap-1'!S107=0,"//---END",'Encounter-ConceptMap-1'!S107)</f>
        <v>* group[=].element[=].display = ##34#A.2.3.4.1 - Admission reason [Required]##34#</v>
      </c>
    </row>
    <row r="113" spans="2:2" x14ac:dyDescent="0.75">
      <c r="B113" s="12" t="str">
        <f>IF('Encounter-ConceptMap-1'!S108=0,"//---END",'Encounter-ConceptMap-1'!S108)</f>
        <v>* group[=].element[=].target.code = #Encounter.conformsTo('http://hl7.eu/fhir/ig/xpandh/hdr/StructureDefinition/Encounter-eu-xpandh').reasonCode</v>
      </c>
    </row>
    <row r="114" spans="2:2" x14ac:dyDescent="0.75">
      <c r="B114" s="12" t="str">
        <f>IF('Encounter-ConceptMap-1'!S109=0,"//---END",'Encounter-ConceptMap-1'!S109)</f>
        <v>* group[=].element[=].target.display = ##34###34#</v>
      </c>
    </row>
    <row r="115" spans="2:2" x14ac:dyDescent="0.75">
      <c r="B115" s="12" t="str">
        <f>IF('Encounter-ConceptMap-1'!S110=0,"//---END",'Encounter-ConceptMap-1'!S110)</f>
        <v>* group[=].element[=].target.equivalence = #equal</v>
      </c>
    </row>
    <row r="116" spans="2:2" x14ac:dyDescent="0.75">
      <c r="B116" s="12" t="str">
        <f>IF('Encounter-ConceptMap-1'!S111=0,"//---END",'Encounter-ConceptMap-1'!S111)</f>
        <v/>
      </c>
    </row>
    <row r="117" spans="2:2" x14ac:dyDescent="0.75">
      <c r="B117" s="12" t="str">
        <f>IF('Encounter-ConceptMap-1'!S112=0,"//---END",'Encounter-ConceptMap-1'!S112)</f>
        <v>* group[=].element[+].code = #HDREncounter.reason.comment</v>
      </c>
    </row>
    <row r="118" spans="2:2" x14ac:dyDescent="0.75">
      <c r="B118" s="12" t="str">
        <f>IF('Encounter-ConceptMap-1'!S113=0,"//---END",'Encounter-ConceptMap-1'!S113)</f>
        <v>* group[=].element[=].display = ##34#A.2.3.4.2 - Admission reason comment [Optional]##34#</v>
      </c>
    </row>
    <row r="119" spans="2:2" x14ac:dyDescent="0.75">
      <c r="B119" s="12" t="str">
        <f>IF('Encounter-ConceptMap-1'!S114=0,"//---END",'Encounter-ConceptMap-1'!S114)</f>
        <v>* group[=].element[=].target.code = #Encounter.conformsTo('http://hl7.eu/fhir/ig/xpandh/hdr/StructureDefinition/Encounter-eu-xpandh').reasonCode.text</v>
      </c>
    </row>
    <row r="120" spans="2:2" x14ac:dyDescent="0.75">
      <c r="B120" s="12" t="str">
        <f>IF('Encounter-ConceptMap-1'!S115=0,"//---END",'Encounter-ConceptMap-1'!S115)</f>
        <v>* group[=].element[=].target.display = ##34###34#</v>
      </c>
    </row>
    <row r="121" spans="2:2" x14ac:dyDescent="0.75">
      <c r="B121" s="12" t="str">
        <f>IF('Encounter-ConceptMap-1'!S116=0,"//---END",'Encounter-ConceptMap-1'!S116)</f>
        <v>* group[=].element[=].target.equivalence = #equivalent</v>
      </c>
    </row>
    <row r="122" spans="2:2" x14ac:dyDescent="0.75">
      <c r="B122" s="12" t="str">
        <f>IF('Encounter-ConceptMap-1'!S117=0,"//---END",'Encounter-ConceptMap-1'!S117)</f>
        <v>* group[=].element[=].target.comment = ##34#to be checked##34#</v>
      </c>
    </row>
    <row r="123" spans="2:2" x14ac:dyDescent="0.75">
      <c r="B123" s="12" t="str">
        <f>IF('Encounter-ConceptMap-1'!S118=0,"//---END",'Encounter-ConceptMap-1'!S118)</f>
        <v>* group[=].element[+].code = #HDREncounter.reason.legalStatus</v>
      </c>
    </row>
    <row r="124" spans="2:2" x14ac:dyDescent="0.75">
      <c r="B124" s="12" t="str">
        <f>IF('Encounter-ConceptMap-1'!S119=0,"//---END",'Encounter-ConceptMap-1'!S119)</f>
        <v>* group[=].element[=].display = ##34#A.2.3.4.3 - Admission legal status [Required]##34#</v>
      </c>
    </row>
    <row r="125" spans="2:2" x14ac:dyDescent="0.75">
      <c r="B125" s="12" t="str">
        <f>IF('Encounter-ConceptMap-1'!S120=0,"//---END",'Encounter-ConceptMap-1'!S120)</f>
        <v>* group[=].element[=].target.code = #Encounter.conformsTo('http://hl7.eu/fhir/ig/xpandh/hdr/StructureDefinition/Encounter-eu-xpandh').TBD</v>
      </c>
    </row>
    <row r="126" spans="2:2" x14ac:dyDescent="0.75">
      <c r="B126" s="12" t="str">
        <f>IF('Encounter-ConceptMap-1'!S121=0,"//---END",'Encounter-ConceptMap-1'!S121)</f>
        <v>* group[=].element[=].target.display = ##34###34#</v>
      </c>
    </row>
    <row r="127" spans="2:2" x14ac:dyDescent="0.75">
      <c r="B127" s="12" t="str">
        <f>IF('Encounter-ConceptMap-1'!S122=0,"//---END",'Encounter-ConceptMap-1'!S122)</f>
        <v>* group[=].element[=].target.equivalence = #relatedto</v>
      </c>
    </row>
    <row r="128" spans="2:2" x14ac:dyDescent="0.75">
      <c r="B128" s="12" t="str">
        <f>IF('Encounter-ConceptMap-1'!S123=0,"//---END",'Encounter-ConceptMap-1'!S123)</f>
        <v/>
      </c>
    </row>
    <row r="129" spans="2:2" x14ac:dyDescent="0.75">
      <c r="B129" s="12" t="str">
        <f>IF('Encounter-ConceptMap-1'!S124=0,"//---END",'Encounter-ConceptMap-1'!S124)</f>
        <v>* group[=].element[+].code = #HDREncounter.discharge</v>
      </c>
    </row>
    <row r="130" spans="2:2" x14ac:dyDescent="0.75">
      <c r="B130" s="12" t="str">
        <f>IF('Encounter-ConceptMap-1'!S125=0,"//---END",'Encounter-ConceptMap-1'!S125)</f>
        <v>* group[=].element[=].display = ##34#A.2.3.5 - Discharge [Mandatory]##34#</v>
      </c>
    </row>
    <row r="131" spans="2:2" x14ac:dyDescent="0.75">
      <c r="B131" s="12" t="str">
        <f>IF('Encounter-ConceptMap-1'!S126=0,"//---END",'Encounter-ConceptMap-1'!S126)</f>
        <v>* group[=].element[=].target.code = #Encounter.conformsTo('http://hl7.eu/fhir/ig/xpandh/hdr/StructureDefinition/Encounter-eu-xpandh').TBC</v>
      </c>
    </row>
    <row r="132" spans="2:2" x14ac:dyDescent="0.75">
      <c r="B132" s="12" t="str">
        <f>IF('Encounter-ConceptMap-1'!S127=0,"//---END",'Encounter-ConceptMap-1'!S127)</f>
        <v>* group[=].element[=].target.display = ##34###34#</v>
      </c>
    </row>
    <row r="133" spans="2:2" x14ac:dyDescent="0.75">
      <c r="B133" s="12" t="str">
        <f>IF('Encounter-ConceptMap-1'!S128=0,"//---END",'Encounter-ConceptMap-1'!S128)</f>
        <v>* group[=].element[=].target.equivalence = #relatedto</v>
      </c>
    </row>
    <row r="134" spans="2:2" x14ac:dyDescent="0.75">
      <c r="B134" s="12" t="str">
        <f>IF('Encounter-ConceptMap-1'!S129=0,"//---END",'Encounter-ConceptMap-1'!S129)</f>
        <v>* group[=].element[=].target.comment = ##34#to be completed##34#</v>
      </c>
    </row>
    <row r="135" spans="2:2" x14ac:dyDescent="0.75">
      <c r="B135" s="12" t="str">
        <f>IF('Encounter-ConceptMap-1'!S130=0,"//---END",'Encounter-ConceptMap-1'!S130)</f>
        <v>* group[=].element[+].code = #HDREncounter.discharge.dateTime</v>
      </c>
    </row>
    <row r="136" spans="2:2" x14ac:dyDescent="0.75">
      <c r="B136" s="12" t="str">
        <f>IF('Encounter-ConceptMap-1'!S131=0,"//---END",'Encounter-ConceptMap-1'!S131)</f>
        <v>* group[=].element[=].display = ##34#A.2.3.5.1 - Discharge date [Mandatory]##34#</v>
      </c>
    </row>
    <row r="137" spans="2:2" x14ac:dyDescent="0.75">
      <c r="B137" s="12" t="str">
        <f>IF('Encounter-ConceptMap-1'!S132=0,"//---END",'Encounter-ConceptMap-1'!S132)</f>
        <v>* group[=].element[=].target.code = #Encounter.conformsTo('http://hl7.eu/fhir/ig/xpandh/hdr/StructureDefinition/Encounter-eu-xpandh').period.end</v>
      </c>
    </row>
    <row r="138" spans="2:2" x14ac:dyDescent="0.75">
      <c r="B138" s="12" t="str">
        <f>IF('Encounter-ConceptMap-1'!S133=0,"//---END",'Encounter-ConceptMap-1'!S133)</f>
        <v>* group[=].element[=].target.display = ##34###34#</v>
      </c>
    </row>
    <row r="139" spans="2:2" x14ac:dyDescent="0.75">
      <c r="B139" s="12" t="str">
        <f>IF('Encounter-ConceptMap-1'!S134=0,"//---END",'Encounter-ConceptMap-1'!S134)</f>
        <v>* group[=].element[=].target.equivalence = #equivalent</v>
      </c>
    </row>
    <row r="140" spans="2:2" x14ac:dyDescent="0.75">
      <c r="B140" s="12" t="str">
        <f>IF('Encounter-ConceptMap-1'!S135=0,"//---END",'Encounter-ConceptMap-1'!S135)</f>
        <v>* group[=].element[=].target.comment = ##34#to be checked##34#</v>
      </c>
    </row>
    <row r="141" spans="2:2" x14ac:dyDescent="0.75">
      <c r="B141" s="12" t="str">
        <f>IF('Encounter-ConceptMap-1'!S136=0,"//---END",'Encounter-ConceptMap-1'!S136)</f>
        <v>* group[=].element[+].code = #HDREncounter.discharge.destinationType</v>
      </c>
    </row>
    <row r="142" spans="2:2" x14ac:dyDescent="0.75">
      <c r="B142" s="12" t="str">
        <f>IF('Encounter-ConceptMap-1'!S137=0,"//---END",'Encounter-ConceptMap-1'!S137)</f>
        <v>* group[=].element[=].display = ##34#A.2.3.5.2 - Discharge destination type [Required]##34#</v>
      </c>
    </row>
    <row r="143" spans="2:2" ht="29.5" x14ac:dyDescent="0.75">
      <c r="B143" s="12" t="str">
        <f>IF('Encounter-ConceptMap-1'!S138=0,"//---END",'Encounter-ConceptMap-1'!S138)</f>
        <v>* group[=].element[=].target.code = #Encounter.conformsTo('http://hl7.eu/fhir/ig/xpandh/hdr/StructureDefinition/Encounter-eu-xpandh').hospitalization.dischargeDisposition</v>
      </c>
    </row>
    <row r="144" spans="2:2" x14ac:dyDescent="0.75">
      <c r="B144" s="12" t="str">
        <f>IF('Encounter-ConceptMap-1'!S139=0,"//---END",'Encounter-ConceptMap-1'!S139)</f>
        <v>* group[=].element[=].target.display = ##34###34#</v>
      </c>
    </row>
    <row r="145" spans="2:2" x14ac:dyDescent="0.75">
      <c r="B145" s="12" t="str">
        <f>IF('Encounter-ConceptMap-1'!S140=0,"//---END",'Encounter-ConceptMap-1'!S140)</f>
        <v>* group[=].element[=].target.equivalence = #relatedto</v>
      </c>
    </row>
    <row r="146" spans="2:2" x14ac:dyDescent="0.75">
      <c r="B146" s="12" t="str">
        <f>IF('Encounter-ConceptMap-1'!S141=0,"//---END",'Encounter-ConceptMap-1'!S141)</f>
        <v>* group[=].element[=].target.comment = ##34#to be checked##34#</v>
      </c>
    </row>
    <row r="147" spans="2:2" x14ac:dyDescent="0.75">
      <c r="B147" s="12" t="str">
        <f>IF('Encounter-ConceptMap-1'!S142=0,"//---END",'Encounter-ConceptMap-1'!S142)</f>
        <v>* group[=].element[+].code = #HDREncounter.discharge.destinationLocation</v>
      </c>
    </row>
    <row r="148" spans="2:2" x14ac:dyDescent="0.75">
      <c r="B148" s="12" t="str">
        <f>IF('Encounter-ConceptMap-1'!S143=0,"//---END",'Encounter-ConceptMap-1'!S143)</f>
        <v>* group[=].element[=].display = ##34#A.2.3.5.3 - Destination location [Required]##34#</v>
      </c>
    </row>
    <row r="149" spans="2:2" x14ac:dyDescent="0.75">
      <c r="B149" s="12" t="str">
        <f>IF('Encounter-ConceptMap-1'!S144=0,"//---END",'Encounter-ConceptMap-1'!S144)</f>
        <v>* group[=].element[=].target.code = #Encounter.conformsTo('http://hl7.eu/fhir/ig/xpandh/hdr/StructureDefinition/Encounter-eu-xpandh').TBD</v>
      </c>
    </row>
    <row r="150" spans="2:2" x14ac:dyDescent="0.75">
      <c r="B150" s="12" t="str">
        <f>IF('Encounter-ConceptMap-1'!S145=0,"//---END",'Encounter-ConceptMap-1'!S145)</f>
        <v>* group[=].element[=].target.display = ##34###34#</v>
      </c>
    </row>
    <row r="151" spans="2:2" x14ac:dyDescent="0.75">
      <c r="B151" s="12" t="str">
        <f>IF('Encounter-ConceptMap-1'!S146=0,"//---END",'Encounter-ConceptMap-1'!S146)</f>
        <v>* group[=].element[=].target.equivalence = #relatedto</v>
      </c>
    </row>
    <row r="152" spans="2:2" x14ac:dyDescent="0.75">
      <c r="B152" s="12" t="str">
        <f>IF('Encounter-ConceptMap-1'!S147=0,"//---END",'Encounter-ConceptMap-1'!S147)</f>
        <v>* group[=].element[=].target.comment = ##34#to be checked##34#</v>
      </c>
    </row>
    <row r="153" spans="2:2" x14ac:dyDescent="0.75">
      <c r="B153" s="12" t="str">
        <f>IF('Encounter-ConceptMap-1'!S148=0,"//---END",'Encounter-ConceptMap-1'!S148)</f>
        <v>* group[=].element[+].code = #HDREncounter.location</v>
      </c>
    </row>
    <row r="154" spans="2:2" x14ac:dyDescent="0.75">
      <c r="B154" s="12" t="str">
        <f>IF('Encounter-ConceptMap-1'!S149=0,"//---END",'Encounter-ConceptMap-1'!S149)</f>
        <v>* group[=].element[=].display = ##34#A.2.3.6 - Location - All locations/departments where the patient stayed within the hospital. [Required]##34#</v>
      </c>
    </row>
    <row r="155" spans="2:2" x14ac:dyDescent="0.75">
      <c r="B155" s="12" t="str">
        <f>IF('Encounter-ConceptMap-1'!S150=0,"//---END",'Encounter-ConceptMap-1'!S150)</f>
        <v>* group[=].element[=].target.code = #Encounter.conformsTo('http://hl7.eu/fhir/ig/xpandh/hdr/StructureDefinition/Encounter-eu-xpandh').location</v>
      </c>
    </row>
    <row r="156" spans="2:2" x14ac:dyDescent="0.75">
      <c r="B156" s="12" t="str">
        <f>IF('Encounter-ConceptMap-1'!S151=0,"//---END",'Encounter-ConceptMap-1'!S151)</f>
        <v>* group[=].element[=].target.display = ##34###34#</v>
      </c>
    </row>
    <row r="157" spans="2:2" x14ac:dyDescent="0.75">
      <c r="B157" s="12" t="str">
        <f>IF('Encounter-ConceptMap-1'!S152=0,"//---END",'Encounter-ConceptMap-1'!S152)</f>
        <v>* group[=].element[=].target.equivalence = #equivalent</v>
      </c>
    </row>
    <row r="158" spans="2:2" x14ac:dyDescent="0.75">
      <c r="B158" s="12" t="str">
        <f>IF('Encounter-ConceptMap-1'!S153=0,"//---END",'Encounter-ConceptMap-1'!S153)</f>
        <v/>
      </c>
    </row>
    <row r="159" spans="2:2" x14ac:dyDescent="0.75">
      <c r="B159" s="12" t="str">
        <f>IF('Encounter-ConceptMap-1'!S154=0,"//---END",'Encounter-ConceptMap-1'!S154)</f>
        <v>* group[=].element[+].code = #HDREncounter.location.period</v>
      </c>
    </row>
    <row r="160" spans="2:2" x14ac:dyDescent="0.75">
      <c r="B160" s="12" t="str">
        <f>IF('Encounter-ConceptMap-1'!S155=0,"//---END",'Encounter-ConceptMap-1'!S155)</f>
        <v>* group[=].element[=].display = ##34#A.2.3.6.1 - Period [Mandatory]##34#</v>
      </c>
    </row>
    <row r="161" spans="2:2" x14ac:dyDescent="0.75">
      <c r="B161" s="12" t="str">
        <f>IF('Encounter-ConceptMap-1'!S156=0,"//---END",'Encounter-ConceptMap-1'!S156)</f>
        <v>* group[=].element[=].target.code = #Encounter.conformsTo('http://hl7.eu/fhir/ig/xpandh/hdr/StructureDefinition/Encounter-eu-xpandh').location.period</v>
      </c>
    </row>
    <row r="162" spans="2:2" x14ac:dyDescent="0.75">
      <c r="B162" s="12" t="str">
        <f>IF('Encounter-ConceptMap-1'!S157=0,"//---END",'Encounter-ConceptMap-1'!S157)</f>
        <v>* group[=].element[=].target.display = ##34###34#</v>
      </c>
    </row>
    <row r="163" spans="2:2" x14ac:dyDescent="0.75">
      <c r="B163" s="12" t="str">
        <f>IF('Encounter-ConceptMap-1'!S158=0,"//---END",'Encounter-ConceptMap-1'!S158)</f>
        <v>* group[=].element[=].target.equivalence = #relatedto</v>
      </c>
    </row>
    <row r="164" spans="2:2" x14ac:dyDescent="0.75">
      <c r="B164" s="12" t="str">
        <f>IF('Encounter-ConceptMap-1'!S159=0,"//---END",'Encounter-ConceptMap-1'!S159)</f>
        <v/>
      </c>
    </row>
    <row r="165" spans="2:2" x14ac:dyDescent="0.75">
      <c r="B165" s="12" t="str">
        <f>IF('Encounter-ConceptMap-1'!S160=0,"//---END",'Encounter-ConceptMap-1'!S160)</f>
        <v>* group[=].element[+].code = #HDREncounter.location.organization</v>
      </c>
    </row>
    <row r="166" spans="2:2" x14ac:dyDescent="0.75">
      <c r="B166" s="12" t="str">
        <f>IF('Encounter-ConceptMap-1'!S161=0,"//---END",'Encounter-ConceptMap-1'!S161)</f>
        <v>* group[=].element[=].display = ##34# - Organization Id []##34#</v>
      </c>
    </row>
    <row r="167" spans="2:2" x14ac:dyDescent="0.75">
      <c r="B167" s="12" t="str">
        <f>IF('Encounter-ConceptMap-1'!S162=0,"//---END",'Encounter-ConceptMap-1'!S162)</f>
        <v>* group[=].element[=].target.code = #Encounter.conformsTo('http://hl7.eu/fhir/ig/xpandh/hdr/StructureDefinition/Encounter-eu-xpandh').TBD</v>
      </c>
    </row>
    <row r="168" spans="2:2" x14ac:dyDescent="0.75">
      <c r="B168" s="12" t="str">
        <f>IF('Encounter-ConceptMap-1'!S163=0,"//---END",'Encounter-ConceptMap-1'!S163)</f>
        <v>* group[=].element[=].target.display = ##34###34#</v>
      </c>
    </row>
    <row r="169" spans="2:2" x14ac:dyDescent="0.75">
      <c r="B169" s="12" t="str">
        <f>IF('Encounter-ConceptMap-1'!S164=0,"//---END",'Encounter-ConceptMap-1'!S164)</f>
        <v>* group[=].element[=].target.equivalence = #relatedto</v>
      </c>
    </row>
    <row r="170" spans="2:2" x14ac:dyDescent="0.75">
      <c r="B170" s="12" t="str">
        <f>IF('Encounter-ConceptMap-1'!S165=0,"//---END",'Encounter-ConceptMap-1'!S165)</f>
        <v>* group[=].element[=].target.comment = ##34#to be checked##34#</v>
      </c>
    </row>
    <row r="171" spans="2:2" x14ac:dyDescent="0.75">
      <c r="B171" s="12" t="str">
        <f>IF('Encounter-ConceptMap-1'!S166=0,"//---END",'Encounter-ConceptMap-1'!S166)</f>
        <v>* group[=].element[+].code = #HDREncounter.location.organization.id</v>
      </c>
    </row>
    <row r="172" spans="2:2" x14ac:dyDescent="0.75">
      <c r="B172" s="12" t="str">
        <f>IF('Encounter-ConceptMap-1'!S167=0,"//---END",'Encounter-ConceptMap-1'!S167)</f>
        <v>* group[=].element[=].display = ##34#A.2.3.6.2 - Organization Id [Required]##34#</v>
      </c>
    </row>
    <row r="173" spans="2:2" x14ac:dyDescent="0.75">
      <c r="B173" s="12" t="str">
        <f>IF('Encounter-ConceptMap-1'!S168=0,"//---END",'Encounter-ConceptMap-1'!S168)</f>
        <v>* group[=].element[=].target.code = #Encounter.conformsTo('http://hl7.eu/fhir/ig/xpandh/hdr/StructureDefinition/Encounter-eu-xpandh').TBD</v>
      </c>
    </row>
    <row r="174" spans="2:2" x14ac:dyDescent="0.75">
      <c r="B174" s="12" t="str">
        <f>IF('Encounter-ConceptMap-1'!S169=0,"//---END",'Encounter-ConceptMap-1'!S169)</f>
        <v>* group[=].element[=].target.display = ##34###34#</v>
      </c>
    </row>
    <row r="175" spans="2:2" x14ac:dyDescent="0.75">
      <c r="B175" s="12" t="str">
        <f>IF('Encounter-ConceptMap-1'!S170=0,"//---END",'Encounter-ConceptMap-1'!S170)</f>
        <v>* group[=].element[=].target.equivalence = #relatedto</v>
      </c>
    </row>
    <row r="176" spans="2:2" x14ac:dyDescent="0.75">
      <c r="B176" s="12" t="str">
        <f>IF('Encounter-ConceptMap-1'!S171=0,"//---END",'Encounter-ConceptMap-1'!S171)</f>
        <v>* group[=].element[=].target.comment = ##34#to be checked##34#</v>
      </c>
    </row>
    <row r="177" spans="2:2" x14ac:dyDescent="0.75">
      <c r="B177" s="12" t="str">
        <f>IF('Encounter-ConceptMap-1'!S172=0,"//---END",'Encounter-ConceptMap-1'!S172)</f>
        <v>* group[=].element[+].code = #HDREncounter.location.organization.name</v>
      </c>
    </row>
    <row r="178" spans="2:2" x14ac:dyDescent="0.75">
      <c r="B178" s="12" t="str">
        <f>IF('Encounter-ConceptMap-1'!S173=0,"//---END",'Encounter-ConceptMap-1'!S173)</f>
        <v>* group[=].element[=].display = ##34#A.2.3.6.3 - Organization Part Name [Mandatory]##34#</v>
      </c>
    </row>
    <row r="179" spans="2:2" x14ac:dyDescent="0.75">
      <c r="B179" s="12" t="str">
        <f>IF('Encounter-ConceptMap-1'!S174=0,"//---END",'Encounter-ConceptMap-1'!S174)</f>
        <v>* group[=].element[=].target.code = #Encounter.conformsTo('http://hl7.eu/fhir/ig/xpandh/hdr/StructureDefinition/Encounter-eu-xpandh').TBD</v>
      </c>
    </row>
    <row r="180" spans="2:2" x14ac:dyDescent="0.75">
      <c r="B180" s="12" t="str">
        <f>IF('Encounter-ConceptMap-1'!S175=0,"//---END",'Encounter-ConceptMap-1'!S175)</f>
        <v>* group[=].element[=].target.display = ##34###34#</v>
      </c>
    </row>
    <row r="181" spans="2:2" x14ac:dyDescent="0.75">
      <c r="B181" s="12" t="str">
        <f>IF('Encounter-ConceptMap-1'!S176=0,"//---END",'Encounter-ConceptMap-1'!S176)</f>
        <v>* group[=].element[=].target.equivalence = #relatedto</v>
      </c>
    </row>
    <row r="182" spans="2:2" x14ac:dyDescent="0.75">
      <c r="B182" s="12" t="str">
        <f>IF('Encounter-ConceptMap-1'!S177=0,"//---END",'Encounter-ConceptMap-1'!S177)</f>
        <v>* group[=].element[=].target.comment = ##34#to be checked##34#</v>
      </c>
    </row>
    <row r="183" spans="2:2" x14ac:dyDescent="0.75">
      <c r="B183" s="12" t="str">
        <f>IF('Encounter-ConceptMap-1'!S178=0,"//---END",'Encounter-ConceptMap-1'!S178)</f>
        <v>* group[=].element[+].code = #HDREncounter.location.organization.details</v>
      </c>
    </row>
    <row r="184" spans="2:2" x14ac:dyDescent="0.75">
      <c r="B184" s="12" t="str">
        <f>IF('Encounter-ConceptMap-1'!S179=0,"//---END",'Encounter-ConceptMap-1'!S179)</f>
        <v>* group[=].element[=].display = ##34#A.2.3.6.4 - Organization Part Details [Required]##34#</v>
      </c>
    </row>
    <row r="185" spans="2:2" x14ac:dyDescent="0.75">
      <c r="B185" s="12" t="str">
        <f>IF('Encounter-ConceptMap-1'!S180=0,"//---END",'Encounter-ConceptMap-1'!S180)</f>
        <v>* group[=].element[=].target.code = #Encounter.conformsTo('http://hl7.eu/fhir/ig/xpandh/hdr/StructureDefinition/Encounter-eu-xpandh').TBD</v>
      </c>
    </row>
    <row r="186" spans="2:2" x14ac:dyDescent="0.75">
      <c r="B186" s="12" t="str">
        <f>IF('Encounter-ConceptMap-1'!S181=0,"//---END",'Encounter-ConceptMap-1'!S181)</f>
        <v>* group[=].element[=].target.display = ##34###34#</v>
      </c>
    </row>
    <row r="187" spans="2:2" x14ac:dyDescent="0.75">
      <c r="B187" s="12" t="str">
        <f>IF('Encounter-ConceptMap-1'!S182=0,"//---END",'Encounter-ConceptMap-1'!S182)</f>
        <v>* group[=].element[=].target.equivalence = #relatedto</v>
      </c>
    </row>
    <row r="188" spans="2:2" x14ac:dyDescent="0.75">
      <c r="B188" s="12" t="str">
        <f>IF('Encounter-ConceptMap-1'!S183=0,"//---END",'Encounter-ConceptMap-1'!S183)</f>
        <v>* group[=].element[=].target.comment = ##34#to be checked##34#</v>
      </c>
    </row>
    <row r="189" spans="2:2" x14ac:dyDescent="0.75">
      <c r="B189" s="12" t="str">
        <f>IF('Encounter-ConceptMap-1'!S184=0,"//---END",'Encounter-ConceptMap-1'!S184)</f>
        <v>//---END</v>
      </c>
    </row>
    <row r="190" spans="2:2" x14ac:dyDescent="0.75">
      <c r="B190" s="12" t="str">
        <f>IF('Encounter-ConceptMap-1'!S185=0,"//---END",'Encounter-ConceptMap-1'!S185)</f>
        <v>//---END</v>
      </c>
    </row>
    <row r="191" spans="2:2" x14ac:dyDescent="0.75">
      <c r="B191" s="12" t="str">
        <f>IF('Encounter-ConceptMap-1'!S186=0,"//---END",'Encounter-ConceptMap-1'!S186)</f>
        <v>//---END</v>
      </c>
    </row>
    <row r="192" spans="2:2" x14ac:dyDescent="0.75">
      <c r="B192" s="12" t="str">
        <f>IF('Encounter-ConceptMap-1'!S187=0,"//---END",'Encounter-ConceptMap-1'!S187)</f>
        <v>//---END</v>
      </c>
    </row>
    <row r="193" spans="2:2" x14ac:dyDescent="0.75">
      <c r="B193" s="12" t="str">
        <f>IF('Encounter-ConceptMap-1'!S188=0,"//---END",'Encounter-ConceptMap-1'!S188)</f>
        <v>//---END</v>
      </c>
    </row>
    <row r="194" spans="2:2" x14ac:dyDescent="0.75">
      <c r="B194" s="12" t="str">
        <f>IF('Encounter-ConceptMap-1'!S189=0,"//---END",'Encounter-ConceptMap-1'!S189)</f>
        <v>//---END</v>
      </c>
    </row>
    <row r="195" spans="2:2" x14ac:dyDescent="0.75">
      <c r="B195" s="12"/>
    </row>
    <row r="196" spans="2:2" x14ac:dyDescent="0.75">
      <c r="B196" s="12"/>
    </row>
    <row r="197" spans="2:2" x14ac:dyDescent="0.75">
      <c r="B197" s="12"/>
    </row>
    <row r="198" spans="2:2" x14ac:dyDescent="0.75">
      <c r="B198" s="12"/>
    </row>
    <row r="199" spans="2:2" x14ac:dyDescent="0.75">
      <c r="B199" s="12"/>
    </row>
    <row r="200" spans="2:2" x14ac:dyDescent="0.75">
      <c r="B200" s="12"/>
    </row>
    <row r="201" spans="2:2" x14ac:dyDescent="0.75">
      <c r="B201" s="12"/>
    </row>
    <row r="202" spans="2:2" x14ac:dyDescent="0.75">
      <c r="B202" s="12"/>
    </row>
    <row r="203" spans="2:2" x14ac:dyDescent="0.75">
      <c r="B203" s="12"/>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7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6" sqref="D6"/>
    </sheetView>
  </sheetViews>
  <sheetFormatPr defaultRowHeight="14.75" x14ac:dyDescent="0.75"/>
  <cols>
    <col min="4" max="4" width="18" customWidth="1"/>
  </cols>
  <sheetData>
    <row r="6" spans="3:6" x14ac:dyDescent="0.75">
      <c r="C6">
        <v>1</v>
      </c>
      <c r="D6" t="s">
        <v>41</v>
      </c>
      <c r="E6" t="s">
        <v>42</v>
      </c>
      <c r="F6" t="s">
        <v>43</v>
      </c>
    </row>
    <row r="7" spans="3:6" x14ac:dyDescent="0.75">
      <c r="C7">
        <v>2</v>
      </c>
      <c r="D7" t="s">
        <v>63</v>
      </c>
      <c r="E7" t="s">
        <v>44</v>
      </c>
      <c r="F7" t="s">
        <v>45</v>
      </c>
    </row>
    <row r="8" spans="3:6" x14ac:dyDescent="0.75">
      <c r="C8">
        <v>3</v>
      </c>
      <c r="D8" t="s">
        <v>64</v>
      </c>
      <c r="E8" t="s">
        <v>46</v>
      </c>
      <c r="F8" t="s">
        <v>47</v>
      </c>
    </row>
    <row r="9" spans="3:6" x14ac:dyDescent="0.75">
      <c r="C9">
        <v>2</v>
      </c>
      <c r="D9" t="s">
        <v>65</v>
      </c>
      <c r="E9" t="s">
        <v>48</v>
      </c>
      <c r="F9" t="s">
        <v>49</v>
      </c>
    </row>
    <row r="10" spans="3:6" x14ac:dyDescent="0.75">
      <c r="C10">
        <v>2</v>
      </c>
      <c r="D10" t="s">
        <v>66</v>
      </c>
      <c r="E10" t="s">
        <v>50</v>
      </c>
      <c r="F10" t="s">
        <v>51</v>
      </c>
    </row>
    <row r="11" spans="3:6" x14ac:dyDescent="0.75">
      <c r="C11">
        <v>2</v>
      </c>
      <c r="D11" t="s">
        <v>67</v>
      </c>
      <c r="E11" t="s">
        <v>52</v>
      </c>
      <c r="F11" t="s">
        <v>53</v>
      </c>
    </row>
    <row r="12" spans="3:6" x14ac:dyDescent="0.75">
      <c r="C12">
        <v>2</v>
      </c>
      <c r="D12" t="s">
        <v>68</v>
      </c>
      <c r="E12" t="s">
        <v>54</v>
      </c>
      <c r="F12" t="s">
        <v>55</v>
      </c>
    </row>
    <row r="13" spans="3:6" x14ac:dyDescent="0.75">
      <c r="C13">
        <v>2</v>
      </c>
      <c r="D13" t="s">
        <v>69</v>
      </c>
      <c r="E13" t="s">
        <v>56</v>
      </c>
      <c r="F13" t="s">
        <v>57</v>
      </c>
    </row>
    <row r="14" spans="3:6" x14ac:dyDescent="0.75">
      <c r="C14">
        <v>1</v>
      </c>
      <c r="D14" t="s">
        <v>58</v>
      </c>
      <c r="E14" t="s">
        <v>59</v>
      </c>
      <c r="F14" t="s">
        <v>60</v>
      </c>
    </row>
    <row r="15" spans="3:6" x14ac:dyDescent="0.75">
      <c r="C15">
        <v>2</v>
      </c>
      <c r="D15" t="s">
        <v>70</v>
      </c>
      <c r="E15" t="s">
        <v>61</v>
      </c>
      <c r="F15" t="s">
        <v>62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17</vt:i4>
      </vt:variant>
    </vt:vector>
  </HeadingPairs>
  <TitlesOfParts>
    <vt:vector size="17" baseType="lpstr">
      <vt:lpstr>Hospital Discharge Report </vt:lpstr>
      <vt:lpstr>HospitalDischargeReport</vt:lpstr>
      <vt:lpstr>HospitalDischargeReport-Map-1</vt:lpstr>
      <vt:lpstr>HospitalDischargeReport-fsh</vt:lpstr>
      <vt:lpstr>HospitalDischargeRep-ConceptMap</vt:lpstr>
      <vt:lpstr>HospitalDischargeReport-CM-fsh</vt:lpstr>
      <vt:lpstr>HDR-SK</vt:lpstr>
      <vt:lpstr>HospitalDischargeReportSK</vt:lpstr>
      <vt:lpstr>HospitalDischargeReportSK-Map</vt:lpstr>
      <vt:lpstr>HospitalDischargeReportSK-fsh</vt:lpstr>
      <vt:lpstr>ENC-eHN</vt:lpstr>
      <vt:lpstr>Encounter</vt:lpstr>
      <vt:lpstr>Encounter-Map</vt:lpstr>
      <vt:lpstr>Encounter-fsh</vt:lpstr>
      <vt:lpstr>Encounter-ConceptMap-1</vt:lpstr>
      <vt:lpstr>Encounter-CM-fsh</vt:lpstr>
      <vt:lpstr>CM-relationships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2023-06-20T15:57:07Z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